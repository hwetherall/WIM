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FL" sheetId="1" r:id="rId4"/>
    <sheet state="visible" name="Ligue 1" sheetId="2" r:id="rId5"/>
    <sheet state="visible" name="Prem League" sheetId="3" r:id="rId6"/>
  </sheets>
  <definedNames/>
  <calcPr/>
</workbook>
</file>

<file path=xl/sharedStrings.xml><?xml version="1.0" encoding="utf-8"?>
<sst xmlns="http://schemas.openxmlformats.org/spreadsheetml/2006/main" count="3025" uniqueCount="2116">
  <si>
    <r>
      <t xml:space="preserve">2025 </t>
    </r>
    <r>
      <rPr>
        <b/>
        <color rgb="FF1155CC"/>
        <u/>
      </rPr>
      <t>Ladder</t>
    </r>
    <r>
      <rPr>
        <b/>
      </rPr>
      <t xml:space="preserve"> [</t>
    </r>
    <r>
      <rPr>
        <b/>
        <color rgb="FF1155CC"/>
        <u/>
      </rPr>
      <t>Recent Form</t>
    </r>
    <r>
      <rPr>
        <b/>
      </rPr>
      <t>]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</si>
  <si>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</si>
  <si>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</si>
  <si>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t>Year</t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</si>
  <si>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</si>
  <si>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</si>
  <si>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</si>
  <si>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</si>
  <si>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</si>
  <si>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</si>
  <si>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</si>
  <si>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</si>
  <si>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</si>
  <si>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</si>
  <si>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</si>
  <si>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</si>
  <si>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b/>
        <color rgb="FF1155CC"/>
        <u/>
      </rPr>
      <t>MR</t>
    </r>
  </si>
  <si>
    <r>
      <rPr>
        <color rgb="FF1155CC"/>
        <u/>
      </rPr>
      <t>Adelaide</t>
    </r>
  </si>
  <si>
    <t>11-0-1</t>
  </si>
  <si>
    <t>7-0-4</t>
  </si>
  <si>
    <t>339.244 (58%)</t>
  </si>
  <si>
    <t>234.231 (50%)</t>
  </si>
  <si>
    <t>1 (78.26)</t>
  </si>
  <si>
    <r>
      <rPr>
        <color rgb="FF1155CC"/>
        <u/>
      </rPr>
      <t>Geelong</t>
    </r>
  </si>
  <si>
    <t>9-0-2</t>
  </si>
  <si>
    <t>8-0-4</t>
  </si>
  <si>
    <t>356.289 (55%)</t>
  </si>
  <si>
    <t>249.220 (53%)</t>
  </si>
  <si>
    <t>2 (73.91)</t>
  </si>
  <si>
    <r>
      <rPr>
        <color rgb="FF1155CC"/>
        <u/>
      </rPr>
      <t>Brisbane Lions</t>
    </r>
  </si>
  <si>
    <t>297.279 (52%)</t>
  </si>
  <si>
    <t>263.226 (54%)</t>
  </si>
  <si>
    <t>3 (71.74)</t>
  </si>
  <si>
    <r>
      <rPr>
        <color rgb="FF1155CC"/>
        <u/>
      </rPr>
      <t>Collingwood</t>
    </r>
  </si>
  <si>
    <t>9-0-3</t>
  </si>
  <si>
    <t>286.275 (51%)</t>
  </si>
  <si>
    <t>236.211 (53%)</t>
  </si>
  <si>
    <t>4 (69.57)</t>
  </si>
  <si>
    <r>
      <rPr>
        <color rgb="FF1155CC"/>
        <u/>
      </rPr>
      <t>Greater Western Sydney</t>
    </r>
  </si>
  <si>
    <t>8-0-3</t>
  </si>
  <si>
    <t>312.242 (56%)</t>
  </si>
  <si>
    <t>259.280 (48%)</t>
  </si>
  <si>
    <t>5 (69.57)</t>
  </si>
  <si>
    <r>
      <rPr>
        <color rgb="FF1155CC"/>
        <u/>
      </rPr>
      <t>Fremantle</t>
    </r>
  </si>
  <si>
    <t>288.250 (54%)</t>
  </si>
  <si>
    <t>265.225 (54%)</t>
  </si>
  <si>
    <t>6 (69.57)</t>
  </si>
  <si>
    <r>
      <rPr>
        <color rgb="FF1155CC"/>
        <u/>
      </rPr>
      <t>Gold Coast</t>
    </r>
  </si>
  <si>
    <t>6-0-6</t>
  </si>
  <si>
    <t>317.271 (54%)</t>
  </si>
  <si>
    <t>252.228 (53%)</t>
  </si>
  <si>
    <t>7 (65.22)</t>
  </si>
  <si>
    <r>
      <rPr>
        <color rgb="FF1155CC"/>
        <u/>
      </rPr>
      <t>Hawthorn</t>
    </r>
  </si>
  <si>
    <t>10-0-1</t>
  </si>
  <si>
    <t>5-0-7</t>
  </si>
  <si>
    <t>300.245 (55%)</t>
  </si>
  <si>
    <t>240.251 (49%)</t>
  </si>
  <si>
    <t>8 (65.22)</t>
  </si>
  <si>
    <r>
      <rPr>
        <color rgb="FF1155CC"/>
        <u/>
      </rPr>
      <t>Western Bulldogs</t>
    </r>
  </si>
  <si>
    <t>7-0-5</t>
  </si>
  <si>
    <t>369.279 (57%)</t>
  </si>
  <si>
    <t>265.230 (54%)</t>
  </si>
  <si>
    <t>9 (60.87)</t>
  </si>
  <si>
    <r>
      <rPr>
        <color rgb="FF1155CC"/>
        <u/>
      </rPr>
      <t>Sydney</t>
    </r>
  </si>
  <si>
    <t>5-0-6</t>
  </si>
  <si>
    <t>264.261 (50%)</t>
  </si>
  <si>
    <t>276.246 (53%)</t>
  </si>
  <si>
    <t>10 (52.17)</t>
  </si>
  <si>
    <r>
      <rPr>
        <color rgb="FF1155CC"/>
        <u/>
      </rPr>
      <t>Carlton</t>
    </r>
  </si>
  <si>
    <t>4-0-7</t>
  </si>
  <si>
    <t>259.245 (51%)</t>
  </si>
  <si>
    <t>274.217 (56%)</t>
  </si>
  <si>
    <t>11 (39.13)</t>
  </si>
  <si>
    <r>
      <rPr>
        <color rgb="FF1155CC"/>
        <u/>
      </rPr>
      <t>St Kilda</t>
    </r>
  </si>
  <si>
    <t>268.231 (54%)</t>
  </si>
  <si>
    <t>301.271 (53%)</t>
  </si>
  <si>
    <t>12 (39.13)</t>
  </si>
  <si>
    <r>
      <rPr>
        <color rgb="FF1155CC"/>
        <u/>
      </rPr>
      <t>Port Adelaide</t>
    </r>
  </si>
  <si>
    <t>2-0-9</t>
  </si>
  <si>
    <t>244.241 (50%)</t>
  </si>
  <si>
    <t>310.276 (53%)</t>
  </si>
  <si>
    <t>13 (39.13)</t>
  </si>
  <si>
    <r>
      <rPr>
        <color rgb="FF1155CC"/>
        <u/>
      </rPr>
      <t>Melbourne</t>
    </r>
  </si>
  <si>
    <t>271.276 (50%)</t>
  </si>
  <si>
    <t>300.238 (56%)</t>
  </si>
  <si>
    <t>14 (30.43)</t>
  </si>
  <si>
    <r>
      <rPr>
        <color rgb="FF1155CC"/>
        <u/>
      </rPr>
      <t>Essendon</t>
    </r>
  </si>
  <si>
    <t>2-0-10</t>
  </si>
  <si>
    <t>220.215 (51%)</t>
  </si>
  <si>
    <t>324.265 (55%)</t>
  </si>
  <si>
    <t>15 (26.09)</t>
  </si>
  <si>
    <r>
      <rPr>
        <color rgb="FF1155CC"/>
        <u/>
      </rPr>
      <t>North Melbourne</t>
    </r>
  </si>
  <si>
    <t>267.203 (57%)</t>
  </si>
  <si>
    <t>347.283 (55%)</t>
  </si>
  <si>
    <t>16 (23.91)</t>
  </si>
  <si>
    <r>
      <rPr>
        <color rgb="FF1155CC"/>
        <u/>
      </rPr>
      <t>Richmond</t>
    </r>
  </si>
  <si>
    <t>4-0-8</t>
  </si>
  <si>
    <t>1-0-10</t>
  </si>
  <si>
    <t>204.225 (48%)</t>
  </si>
  <si>
    <t>318.289 (52%)</t>
  </si>
  <si>
    <t>17 (21.74)</t>
  </si>
  <si>
    <r>
      <rPr>
        <color rgb="FF1155CC"/>
        <u/>
      </rPr>
      <t>West Coast</t>
    </r>
  </si>
  <si>
    <t>0-0-12</t>
  </si>
  <si>
    <t>209.212 (50%)</t>
  </si>
  <si>
    <t>357.296 (55%)</t>
  </si>
  <si>
    <t>18 (4.35)</t>
  </si>
  <si>
    <r>
      <t xml:space="preserve">2024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</si>
  <si>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</si>
  <si>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</si>
  <si>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</si>
  <si>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</si>
  <si>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</si>
  <si>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</si>
  <si>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</si>
  <si>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</si>
  <si>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</si>
  <si>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</si>
  <si>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</si>
  <si>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</si>
  <si>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</si>
  <si>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</si>
  <si>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b/>
        <color rgb="FF1155CC"/>
        <u/>
      </rPr>
      <t>MR</t>
    </r>
  </si>
  <si>
    <r>
      <rPr>
        <color rgb="FF1155CC"/>
        <u/>
      </rPr>
      <t>Sydney</t>
    </r>
  </si>
  <si>
    <t>328.274 (54%)</t>
  </si>
  <si>
    <t>252.257 (50%)</t>
  </si>
  <si>
    <t>1 (73.91)</t>
  </si>
  <si>
    <r>
      <rPr>
        <color rgb="FF1155CC"/>
        <u/>
      </rPr>
      <t>Port Adelaide</t>
    </r>
  </si>
  <si>
    <t>284.307 (48%)</t>
  </si>
  <si>
    <t>253.234 (52%)</t>
  </si>
  <si>
    <t>2 (69.57)</t>
  </si>
  <si>
    <r>
      <rPr>
        <color rgb="FF1155CC"/>
        <u/>
      </rPr>
      <t>Geelong</t>
    </r>
  </si>
  <si>
    <t>321.238 (57%)</t>
  </si>
  <si>
    <t>282.236 (54%)</t>
  </si>
  <si>
    <t>3 (65.22)</t>
  </si>
  <si>
    <r>
      <rPr>
        <color rgb="FF1155CC"/>
        <u/>
      </rPr>
      <t>Greater Western Sydney</t>
    </r>
  </si>
  <si>
    <t>303.216 (58%)</t>
  </si>
  <si>
    <t>264.280 (49%)</t>
  </si>
  <si>
    <t>4 (65.22)</t>
  </si>
  <si>
    <r>
      <rPr>
        <color rgb="FF1155CC"/>
        <u/>
      </rPr>
      <t>Brisbane Lions</t>
    </r>
  </si>
  <si>
    <t>304.306 (50%)</t>
  </si>
  <si>
    <t>254.223 (53%)</t>
  </si>
  <si>
    <t>5 (63.04)</t>
  </si>
  <si>
    <r>
      <rPr>
        <color rgb="FF1155CC"/>
        <u/>
      </rPr>
      <t>Western Bulldogs</t>
    </r>
  </si>
  <si>
    <t>312.299 (51%)</t>
  </si>
  <si>
    <t>255.206 (55%)</t>
  </si>
  <si>
    <t>6 (60.87)</t>
  </si>
  <si>
    <r>
      <rPr>
        <color rgb="FF1155CC"/>
        <u/>
      </rPr>
      <t>Hawthorn</t>
    </r>
  </si>
  <si>
    <t>306.254 (55%)</t>
  </si>
  <si>
    <t>256.227 (53%)</t>
  </si>
  <si>
    <t>7 (60.87)</t>
  </si>
  <si>
    <r>
      <rPr>
        <color rgb="FF1155CC"/>
        <u/>
      </rPr>
      <t>Carlton</t>
    </r>
  </si>
  <si>
    <t>6-0-5</t>
  </si>
  <si>
    <t>316.255 (55%)</t>
  </si>
  <si>
    <t>285.242 (54%)</t>
  </si>
  <si>
    <t>8 (56.52)</t>
  </si>
  <si>
    <r>
      <rPr>
        <color rgb="FF1155CC"/>
        <u/>
      </rPr>
      <t>Collingwood</t>
    </r>
  </si>
  <si>
    <t>288.263 (52%)</t>
  </si>
  <si>
    <t>283.245 (54%)</t>
  </si>
  <si>
    <t>9 (56.52)</t>
  </si>
  <si>
    <r>
      <rPr>
        <color rgb="FF1155CC"/>
        <u/>
      </rPr>
      <t>Fremantle</t>
    </r>
  </si>
  <si>
    <t>286.248 (54%)</t>
  </si>
  <si>
    <t>253.237 (52%)</t>
  </si>
  <si>
    <t>10 (54.35)</t>
  </si>
  <si>
    <r>
      <rPr>
        <color rgb="FF1155CC"/>
        <u/>
      </rPr>
      <t>Essendon</t>
    </r>
  </si>
  <si>
    <t>275.242 (53%)</t>
  </si>
  <si>
    <t>298.236 (56%)</t>
  </si>
  <si>
    <t>11 (50.00)</t>
  </si>
  <si>
    <r>
      <rPr>
        <color rgb="FF1155CC"/>
        <u/>
      </rPr>
      <t>St Kilda</t>
    </r>
  </si>
  <si>
    <t>254.224 (53%)</t>
  </si>
  <si>
    <t>253.240 (51%)</t>
  </si>
  <si>
    <t>12 (47.83)</t>
  </si>
  <si>
    <r>
      <rPr>
        <color rgb="FF1155CC"/>
        <u/>
      </rPr>
      <t>Gold Coast</t>
    </r>
  </si>
  <si>
    <t>281.239 (54%)</t>
  </si>
  <si>
    <t>287.221 (56%)</t>
  </si>
  <si>
    <t>13 (47.83)</t>
  </si>
  <si>
    <r>
      <rPr>
        <color rgb="FF1155CC"/>
        <u/>
      </rPr>
      <t>Melbourne</t>
    </r>
  </si>
  <si>
    <t>259.231 (53%)</t>
  </si>
  <si>
    <t>261.246 (51%)</t>
  </si>
  <si>
    <t>14 (47.83)</t>
  </si>
  <si>
    <r>
      <rPr>
        <color rgb="FF1155CC"/>
        <u/>
      </rPr>
      <t>Adelaide</t>
    </r>
  </si>
  <si>
    <t>3-0-8</t>
  </si>
  <si>
    <t>279.232 (55%)</t>
  </si>
  <si>
    <t>274.279 (50%)</t>
  </si>
  <si>
    <t>15 (36.96)</t>
  </si>
  <si>
    <r>
      <rPr>
        <color rgb="FF1155CC"/>
        <u/>
      </rPr>
      <t>West Coast</t>
    </r>
  </si>
  <si>
    <t>229.220 (51%)</t>
  </si>
  <si>
    <t>347.257 (57%)</t>
  </si>
  <si>
    <t>16 (21.74)</t>
  </si>
  <si>
    <r>
      <rPr>
        <color rgb="FF1155CC"/>
        <u/>
      </rPr>
      <t>North Melbourne</t>
    </r>
  </si>
  <si>
    <t>1-0-11</t>
  </si>
  <si>
    <t>244.155 (61%)</t>
  </si>
  <si>
    <t>374.306 (55%)</t>
  </si>
  <si>
    <t>17 (13.04)</t>
  </si>
  <si>
    <r>
      <rPr>
        <color rgb="FF1155CC"/>
        <u/>
      </rPr>
      <t>Richmond</t>
    </r>
  </si>
  <si>
    <t>211.239 (47%)</t>
  </si>
  <si>
    <t>349.270 (56%)</t>
  </si>
  <si>
    <t>18 (8.70)</t>
  </si>
  <si>
    <r>
      <t xml:space="preserve">2023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</si>
  <si>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</si>
  <si>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</si>
  <si>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</si>
  <si>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</si>
  <si>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</si>
  <si>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</si>
  <si>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</si>
  <si>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</si>
  <si>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</si>
  <si>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</si>
  <si>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</si>
  <si>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</si>
  <si>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</si>
  <si>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</si>
  <si>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color rgb="FF1155CC"/>
        <u/>
      </rPr>
      <t>Collingwood</t>
    </r>
  </si>
  <si>
    <t>10-0-2</t>
  </si>
  <si>
    <t>317.240 (57%)</t>
  </si>
  <si>
    <t>239.253 (49%)</t>
  </si>
  <si>
    <r>
      <rPr>
        <color rgb="FF1155CC"/>
        <u/>
      </rPr>
      <t>Brisbane Lions</t>
    </r>
  </si>
  <si>
    <t>12-0-0</t>
  </si>
  <si>
    <t>316.284 (53%)</t>
  </si>
  <si>
    <t>260.211 (55%)</t>
  </si>
  <si>
    <r>
      <rPr>
        <color rgb="FF1155CC"/>
        <u/>
      </rPr>
      <t>Port Adelaide</t>
    </r>
  </si>
  <si>
    <t>310.289 (52%)</t>
  </si>
  <si>
    <t>280.226 (55%)</t>
  </si>
  <si>
    <r>
      <rPr>
        <color rgb="FF1155CC"/>
        <u/>
      </rPr>
      <t>Melbourne</t>
    </r>
  </si>
  <si>
    <t>305.249 (55%)</t>
  </si>
  <si>
    <t>240.220 (52%)</t>
  </si>
  <si>
    <r>
      <rPr>
        <color rgb="FF1155CC"/>
        <u/>
      </rPr>
      <t>Carlton</t>
    </r>
  </si>
  <si>
    <t>275.272 (50%)</t>
  </si>
  <si>
    <t>243.239 (50%)</t>
  </si>
  <si>
    <r>
      <rPr>
        <color rgb="FF1155CC"/>
        <u/>
      </rPr>
      <t>St Kilda</t>
    </r>
  </si>
  <si>
    <t>260.215 (55%)</t>
  </si>
  <si>
    <t>235.237 (50%)</t>
  </si>
  <si>
    <r>
      <rPr>
        <color rgb="FF1155CC"/>
        <u/>
      </rPr>
      <t>Greater Western Sydney</t>
    </r>
  </si>
  <si>
    <t>294.254 (54%)</t>
  </si>
  <si>
    <t>269.271 (50%)</t>
  </si>
  <si>
    <r>
      <rPr>
        <color rgb="FF1155CC"/>
        <u/>
      </rPr>
      <t>Sydney</t>
    </r>
  </si>
  <si>
    <t>299.256 (54%)</t>
  </si>
  <si>
    <t>271.237 (53%)</t>
  </si>
  <si>
    <r>
      <rPr>
        <color rgb="FF1155CC"/>
        <u/>
      </rPr>
      <t>Western Bulldogs</t>
    </r>
  </si>
  <si>
    <t>276.263 (51%)</t>
  </si>
  <si>
    <t>256.230 (53%)</t>
  </si>
  <si>
    <r>
      <rPr>
        <color rgb="FF1155CC"/>
        <u/>
      </rPr>
      <t>Adelaide</t>
    </r>
  </si>
  <si>
    <t>319.279 (53%)</t>
  </si>
  <si>
    <t>272.245 (53%)</t>
  </si>
  <si>
    <r>
      <rPr>
        <color rgb="FF1155CC"/>
        <u/>
      </rPr>
      <t>Essendon</t>
    </r>
  </si>
  <si>
    <t>267.236 (53%)</t>
  </si>
  <si>
    <t>300.250 (55%)</t>
  </si>
  <si>
    <r>
      <rPr>
        <color rgb="FF1155CC"/>
        <u/>
      </rPr>
      <t>Geelong</t>
    </r>
  </si>
  <si>
    <t>306.252 (55%)</t>
  </si>
  <si>
    <t>268.247 (52%)</t>
  </si>
  <si>
    <r>
      <rPr>
        <color rgb="FF1155CC"/>
        <u/>
      </rPr>
      <t>Richmond</t>
    </r>
  </si>
  <si>
    <t>265.266 (50%)</t>
  </si>
  <si>
    <t>287.261 (52%)</t>
  </si>
  <si>
    <r>
      <rPr>
        <color rgb="FF1155CC"/>
        <u/>
      </rPr>
      <t>Fremantle</t>
    </r>
  </si>
  <si>
    <t>271.209 (56%)</t>
  </si>
  <si>
    <t>279.224 (55%)</t>
  </si>
  <si>
    <r>
      <rPr>
        <color rgb="FF1155CC"/>
        <u/>
      </rPr>
      <t>Gold Coast</t>
    </r>
  </si>
  <si>
    <t>265.249 (52%)</t>
  </si>
  <si>
    <t>294.242 (55%)</t>
  </si>
  <si>
    <r>
      <rPr>
        <color rgb="FF1155CC"/>
        <u/>
      </rPr>
      <t>Hawthorn</t>
    </r>
  </si>
  <si>
    <t>243.228 (52%)</t>
  </si>
  <si>
    <t>311.235 (57%)</t>
  </si>
  <si>
    <r>
      <rPr>
        <color rgb="FF1155CC"/>
        <u/>
      </rPr>
      <t>North Melbourne</t>
    </r>
  </si>
  <si>
    <t>243.199 (55%)</t>
  </si>
  <si>
    <t>338.290 (54%)</t>
  </si>
  <si>
    <r>
      <rPr>
        <color rgb="FF1155CC"/>
        <u/>
      </rPr>
      <t>West Coast</t>
    </r>
  </si>
  <si>
    <t>204.194 (51%)</t>
  </si>
  <si>
    <t>393.316 (55%)</t>
  </si>
  <si>
    <r>
      <t xml:space="preserve">2022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</si>
  <si>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</si>
  <si>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</si>
  <si>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</si>
  <si>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</si>
  <si>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</si>
  <si>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</si>
  <si>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</si>
  <si>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</si>
  <si>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</si>
  <si>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</si>
  <si>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</si>
  <si>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</si>
  <si>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</si>
  <si>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</si>
  <si>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color rgb="FF1155CC"/>
        <u/>
      </rPr>
      <t>Geelong</t>
    </r>
  </si>
  <si>
    <t>310.286 (52%)</t>
  </si>
  <si>
    <t>219.174 (56%)</t>
  </si>
  <si>
    <r>
      <rPr>
        <color rgb="FF1155CC"/>
        <u/>
      </rPr>
      <t>Melbourne</t>
    </r>
  </si>
  <si>
    <t>279.262 (52%)</t>
  </si>
  <si>
    <t>212.211 (50%)</t>
  </si>
  <si>
    <r>
      <rPr>
        <color rgb="FF1155CC"/>
        <u/>
      </rPr>
      <t>Sydney</t>
    </r>
  </si>
  <si>
    <t>300.267 (53%)</t>
  </si>
  <si>
    <t>232.224 (51%)</t>
  </si>
  <si>
    <r>
      <rPr>
        <color rgb="FF1155CC"/>
        <u/>
      </rPr>
      <t>Collingwood</t>
    </r>
  </si>
  <si>
    <t>259.209 (55%)</t>
  </si>
  <si>
    <r>
      <rPr>
        <color rgb="FF1155CC"/>
        <u/>
      </rPr>
      <t>Fremantle</t>
    </r>
  </si>
  <si>
    <t>251.233 (52%)</t>
  </si>
  <si>
    <t>214.202 (51%)</t>
  </si>
  <si>
    <r>
      <rPr>
        <color rgb="FF1155CC"/>
        <u/>
      </rPr>
      <t>Brisbane Lions</t>
    </r>
  </si>
  <si>
    <t>319.233 (58%)</t>
  </si>
  <si>
    <t>262.227 (54%)</t>
  </si>
  <si>
    <r>
      <rPr>
        <color rgb="FF1155CC"/>
        <u/>
      </rPr>
      <t>Richmond</t>
    </r>
  </si>
  <si>
    <t>318.257 (55%)</t>
  </si>
  <si>
    <t>254.256 (50%)</t>
  </si>
  <si>
    <r>
      <rPr>
        <color rgb="FF1155CC"/>
        <u/>
      </rPr>
      <t>Western Bulldogs</t>
    </r>
  </si>
  <si>
    <t>287.251 (53%)</t>
  </si>
  <si>
    <t>265.222 (54%)</t>
  </si>
  <si>
    <r>
      <rPr>
        <color rgb="FF1155CC"/>
        <u/>
      </rPr>
      <t>Carlton</t>
    </r>
  </si>
  <si>
    <t>268.249 (52%)</t>
  </si>
  <si>
    <t>248.226 (52%)</t>
  </si>
  <si>
    <r>
      <rPr>
        <color rgb="FF1155CC"/>
        <u/>
      </rPr>
      <t>St Kilda</t>
    </r>
  </si>
  <si>
    <t>247.221 (53%)</t>
  </si>
  <si>
    <t>247.233 (51%)</t>
  </si>
  <si>
    <r>
      <rPr>
        <color rgb="FF1155CC"/>
        <u/>
      </rPr>
      <t>Port Adelaide</t>
    </r>
  </si>
  <si>
    <t>261.240 (52%)</t>
  </si>
  <si>
    <t>233.240 (49%)</t>
  </si>
  <si>
    <r>
      <rPr>
        <color rgb="FF1155CC"/>
        <u/>
      </rPr>
      <t>Gold Coast</t>
    </r>
  </si>
  <si>
    <t>271.245 (53%)</t>
  </si>
  <si>
    <t>261.254 (51%)</t>
  </si>
  <si>
    <r>
      <rPr>
        <color rgb="FF1155CC"/>
        <u/>
      </rPr>
      <t>Hawthorn</t>
    </r>
  </si>
  <si>
    <t>262.215 (55%)</t>
  </si>
  <si>
    <t>291.245 (54%)</t>
  </si>
  <si>
    <r>
      <rPr>
        <color rgb="FF1155CC"/>
        <u/>
      </rPr>
      <t>Adelaide</t>
    </r>
  </si>
  <si>
    <t>249.227 (52%)</t>
  </si>
  <si>
    <t>293.228 (56%)</t>
  </si>
  <si>
    <r>
      <rPr>
        <color rgb="FF1155CC"/>
        <u/>
      </rPr>
      <t>Essendon</t>
    </r>
  </si>
  <si>
    <t>249.243 (51%)</t>
  </si>
  <si>
    <t>307.245 (56%)</t>
  </si>
  <si>
    <r>
      <rPr>
        <color rgb="FF1155CC"/>
        <u/>
      </rPr>
      <t>Greater Western Sydney</t>
    </r>
  </si>
  <si>
    <t>237.209 (53%)</t>
  </si>
  <si>
    <t>280.247 (53%)</t>
  </si>
  <si>
    <r>
      <rPr>
        <color rgb="FF1155CC"/>
        <u/>
      </rPr>
      <t>West Coast</t>
    </r>
  </si>
  <si>
    <t>212.157 (57%)</t>
  </si>
  <si>
    <t>355.259 (58%)</t>
  </si>
  <si>
    <r>
      <rPr>
        <color rgb="FF1155CC"/>
        <u/>
      </rPr>
      <t>North Melbourne</t>
    </r>
  </si>
  <si>
    <t>0-0-11</t>
  </si>
  <si>
    <t>193.179 (52%)</t>
  </si>
  <si>
    <t>349.303 (54%)</t>
  </si>
  <si>
    <r>
      <t xml:space="preserve">2021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</si>
  <si>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</si>
  <si>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</si>
  <si>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</si>
  <si>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</si>
  <si>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</si>
  <si>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</si>
  <si>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</si>
  <si>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</si>
  <si>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</si>
  <si>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</si>
  <si>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</si>
  <si>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</si>
  <si>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</si>
  <si>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</si>
  <si>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color rgb="FF1155CC"/>
        <u/>
      </rPr>
      <t>Melbourne</t>
    </r>
  </si>
  <si>
    <t>270.268 (50%)</t>
  </si>
  <si>
    <t>211.177 (54%)</t>
  </si>
  <si>
    <r>
      <rPr>
        <color rgb="FF1155CC"/>
        <u/>
      </rPr>
      <t>Port Adelaide</t>
    </r>
  </si>
  <si>
    <t>276.228 (55%)</t>
  </si>
  <si>
    <t>210.232 (48%)</t>
  </si>
  <si>
    <r>
      <rPr>
        <color rgb="FF1155CC"/>
        <u/>
      </rPr>
      <t>Geelong</t>
    </r>
  </si>
  <si>
    <t>269.231 (54%)</t>
  </si>
  <si>
    <t>205.226 (48%)</t>
  </si>
  <si>
    <r>
      <rPr>
        <color rgb="FF1155CC"/>
        <u/>
      </rPr>
      <t>Brisbane Lions</t>
    </r>
  </si>
  <si>
    <t>313.253 (55%)</t>
  </si>
  <si>
    <t>231.213 (52%)</t>
  </si>
  <si>
    <r>
      <rPr>
        <color rgb="FF1155CC"/>
        <u/>
      </rPr>
      <t>Western Bulldogs</t>
    </r>
  </si>
  <si>
    <t>288.266 (52%)</t>
  </si>
  <si>
    <t>215.211 (50%)</t>
  </si>
  <si>
    <r>
      <rPr>
        <color rgb="FF1155CC"/>
        <u/>
      </rPr>
      <t>Sydney</t>
    </r>
  </si>
  <si>
    <t>237.234 (50%)</t>
  </si>
  <si>
    <r>
      <rPr>
        <color rgb="FF1155CC"/>
        <u/>
      </rPr>
      <t>Greater Western Sydney</t>
    </r>
  </si>
  <si>
    <t>258.220 (54%)</t>
  </si>
  <si>
    <t>255.243 (51%)</t>
  </si>
  <si>
    <r>
      <rPr>
        <color rgb="FF1155CC"/>
        <u/>
      </rPr>
      <t>Essendon</t>
    </r>
  </si>
  <si>
    <t>287.231 (55%)</t>
  </si>
  <si>
    <t>261.224 (54%)</t>
  </si>
  <si>
    <r>
      <rPr>
        <color rgb="FF1155CC"/>
        <u/>
      </rPr>
      <t>West Coast</t>
    </r>
  </si>
  <si>
    <t>257.210 (55%)</t>
  </si>
  <si>
    <t>274.236 (54%)</t>
  </si>
  <si>
    <r>
      <rPr>
        <color rgb="FF1155CC"/>
        <u/>
      </rPr>
      <t>St Kilda</t>
    </r>
  </si>
  <si>
    <t>237.222 (52%)</t>
  </si>
  <si>
    <t>260.236 (52%)</t>
  </si>
  <si>
    <r>
      <rPr>
        <color rgb="FF1155CC"/>
        <u/>
      </rPr>
      <t>Fremantle</t>
    </r>
  </si>
  <si>
    <t>219.264 (45%)</t>
  </si>
  <si>
    <t>265.235 (53%)</t>
  </si>
  <si>
    <r>
      <rPr>
        <color rgb="FF1155CC"/>
        <u/>
      </rPr>
      <t>Richmond</t>
    </r>
  </si>
  <si>
    <t>253.225 (53%)</t>
  </si>
  <si>
    <t>258.232 (53%)</t>
  </si>
  <si>
    <r>
      <rPr>
        <color rgb="FF1155CC"/>
        <u/>
      </rPr>
      <t>Carlton</t>
    </r>
  </si>
  <si>
    <t>250.246 (50%)</t>
  </si>
  <si>
    <t>288.244 (54%)</t>
  </si>
  <si>
    <r>
      <rPr>
        <color rgb="FF1155CC"/>
        <u/>
      </rPr>
      <t>Hawthorn</t>
    </r>
  </si>
  <si>
    <t>239.195 (55%)</t>
  </si>
  <si>
    <t>282.220 (56%)</t>
  </si>
  <si>
    <r>
      <rPr>
        <color rgb="FF1155CC"/>
        <u/>
      </rPr>
      <t>Adelaide</t>
    </r>
  </si>
  <si>
    <t>230.236 (49%)</t>
  </si>
  <si>
    <t>287.249 (54%)</t>
  </si>
  <si>
    <r>
      <rPr>
        <color rgb="FF1155CC"/>
        <u/>
      </rPr>
      <t>Gold Coast</t>
    </r>
  </si>
  <si>
    <t>201.224 (47%)</t>
  </si>
  <si>
    <t>268.255 (51%)</t>
  </si>
  <si>
    <r>
      <rPr>
        <color rgb="FF1155CC"/>
        <u/>
      </rPr>
      <t>Collingwood</t>
    </r>
  </si>
  <si>
    <t>225.207 (52%)</t>
  </si>
  <si>
    <t>269.204 (57%)</t>
  </si>
  <si>
    <r>
      <rPr>
        <color rgb="FF1155CC"/>
        <u/>
      </rPr>
      <t>North Melbourne</t>
    </r>
  </si>
  <si>
    <t>210.198 (51%)</t>
  </si>
  <si>
    <t>299.281 (52%)</t>
  </si>
  <si>
    <r>
      <t xml:space="preserve">2020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</si>
  <si>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</si>
  <si>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</si>
  <si>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</si>
  <si>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</si>
  <si>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</si>
  <si>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</si>
  <si>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</si>
  <si>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</si>
  <si>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</si>
  <si>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</si>
  <si>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</si>
  <si>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</si>
  <si>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</si>
  <si>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</si>
  <si>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color rgb="FF1155CC"/>
        <u/>
      </rPr>
      <t>Port Adelaide</t>
    </r>
  </si>
  <si>
    <t>8-0-1</t>
  </si>
  <si>
    <t>6-0-2</t>
  </si>
  <si>
    <t>168.177 (49%)</t>
  </si>
  <si>
    <t>127.107 (54%)</t>
  </si>
  <si>
    <r>
      <rPr>
        <color rgb="FF1155CC"/>
        <u/>
      </rPr>
      <t>Brisbane Lions</t>
    </r>
  </si>
  <si>
    <t>9-0-0</t>
  </si>
  <si>
    <t>5-0-3</t>
  </si>
  <si>
    <t>165.194 (46%)</t>
  </si>
  <si>
    <t>139.114 (55%)</t>
  </si>
  <si>
    <r>
      <rPr>
        <color rgb="FF1155CC"/>
        <u/>
      </rPr>
      <t>Richmond</t>
    </r>
  </si>
  <si>
    <t>7-0-1</t>
  </si>
  <si>
    <t>164.151 (52%)</t>
  </si>
  <si>
    <t>124.130 (49%)</t>
  </si>
  <si>
    <r>
      <rPr>
        <color rgb="FF1155CC"/>
        <u/>
      </rPr>
      <t>Geelong</t>
    </r>
  </si>
  <si>
    <t>6-0-3</t>
  </si>
  <si>
    <t>182.141 (56%)</t>
  </si>
  <si>
    <t>129.127 (50%)</t>
  </si>
  <si>
    <r>
      <rPr>
        <color rgb="FF1155CC"/>
        <u/>
      </rPr>
      <t>West Coast</t>
    </r>
  </si>
  <si>
    <t>3-0-5</t>
  </si>
  <si>
    <t>162.123 (57%)</t>
  </si>
  <si>
    <t>133.138 (49%)</t>
  </si>
  <si>
    <r>
      <rPr>
        <color rgb="FF1155CC"/>
        <u/>
      </rPr>
      <t>St Kilda</t>
    </r>
  </si>
  <si>
    <t>4-0-5</t>
  </si>
  <si>
    <t>171.133 (56%)</t>
  </si>
  <si>
    <t>142.145 (49%)</t>
  </si>
  <si>
    <r>
      <rPr>
        <color rgb="FF1155CC"/>
        <u/>
      </rPr>
      <t>Western Bulldogs</t>
    </r>
  </si>
  <si>
    <t>5-0-4</t>
  </si>
  <si>
    <t>159.149 (52%)</t>
  </si>
  <si>
    <t>149.140 (52%)</t>
  </si>
  <si>
    <r>
      <rPr>
        <color rgb="FF1155CC"/>
        <u/>
      </rPr>
      <t>Collingwood</t>
    </r>
  </si>
  <si>
    <t>139.131 (51%)</t>
  </si>
  <si>
    <t>131.95 (58%)</t>
  </si>
  <si>
    <r>
      <rPr>
        <color rgb="FF1155CC"/>
        <u/>
      </rPr>
      <t>Melbourne</t>
    </r>
  </si>
  <si>
    <t>155.133 (54%)</t>
  </si>
  <si>
    <t>142.134 (51%)</t>
  </si>
  <si>
    <r>
      <rPr>
        <color rgb="FF1155CC"/>
        <u/>
      </rPr>
      <t>Greater Western Sydney</t>
    </r>
  </si>
  <si>
    <t>3-0-6</t>
  </si>
  <si>
    <t>145.137 (51%)</t>
  </si>
  <si>
    <t>151.147 (51%)</t>
  </si>
  <si>
    <r>
      <rPr>
        <color rgb="FF1155CC"/>
        <u/>
      </rPr>
      <t>Carlton</t>
    </r>
  </si>
  <si>
    <t>2-0-6</t>
  </si>
  <si>
    <t>146.141 (51%)</t>
  </si>
  <si>
    <t>158.130 (55%)</t>
  </si>
  <si>
    <r>
      <rPr>
        <color rgb="FF1155CC"/>
        <u/>
      </rPr>
      <t>Fremantle</t>
    </r>
  </si>
  <si>
    <t>4-0-6</t>
  </si>
  <si>
    <t>3-0-4</t>
  </si>
  <si>
    <t>127.104 (55%)</t>
  </si>
  <si>
    <t>131.138 (49%)</t>
  </si>
  <si>
    <r>
      <rPr>
        <color rgb="FF1155CC"/>
        <u/>
      </rPr>
      <t>Essendon</t>
    </r>
  </si>
  <si>
    <t>136.122 (53%)</t>
  </si>
  <si>
    <t>172.153 (53%)</t>
  </si>
  <si>
    <r>
      <rPr>
        <color rgb="FF1155CC"/>
        <u/>
      </rPr>
      <t>Gold Coast</t>
    </r>
  </si>
  <si>
    <t>1-0-6</t>
  </si>
  <si>
    <t>142.144 (50%)</t>
  </si>
  <si>
    <t>160.139 (54%)</t>
  </si>
  <si>
    <r>
      <rPr>
        <color rgb="FF1155CC"/>
        <u/>
      </rPr>
      <t>Hawthorn</t>
    </r>
  </si>
  <si>
    <t>2-0-8</t>
  </si>
  <si>
    <t>147.122 (55%)</t>
  </si>
  <si>
    <t>175.144 (55%)</t>
  </si>
  <si>
    <r>
      <rPr>
        <color rgb="FF1155CC"/>
        <u/>
      </rPr>
      <t>Sydney</t>
    </r>
  </si>
  <si>
    <t>2-0-7</t>
  </si>
  <si>
    <t>128.122 (51%)</t>
  </si>
  <si>
    <t>153.159 (49%)</t>
  </si>
  <si>
    <r>
      <rPr>
        <color rgb="FF1155CC"/>
        <u/>
      </rPr>
      <t>North Melbourne</t>
    </r>
  </si>
  <si>
    <t>1-0-8</t>
  </si>
  <si>
    <t>124.114 (52%)</t>
  </si>
  <si>
    <t>170.185 (48%)</t>
  </si>
  <si>
    <r>
      <rPr>
        <color rgb="FF1155CC"/>
        <u/>
      </rPr>
      <t>Adelaide</t>
    </r>
  </si>
  <si>
    <t>116.130 (47%)</t>
  </si>
  <si>
    <t>190.143 (57%)</t>
  </si>
  <si>
    <r>
      <t xml:space="preserve">2019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</si>
  <si>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</si>
  <si>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</si>
  <si>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</si>
  <si>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</si>
  <si>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</si>
  <si>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</si>
  <si>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</si>
  <si>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</si>
  <si>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</si>
  <si>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</si>
  <si>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</si>
  <si>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</si>
  <si>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</si>
  <si>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</si>
  <si>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color rgb="FF1155CC"/>
        <u/>
      </rPr>
      <t>Geelong</t>
    </r>
  </si>
  <si>
    <t>291.238 (55%)</t>
  </si>
  <si>
    <t>203.244 (45%)</t>
  </si>
  <si>
    <r>
      <rPr>
        <color rgb="FF1155CC"/>
        <u/>
      </rPr>
      <t>Brisbane Lions</t>
    </r>
  </si>
  <si>
    <t>288.276 (51%)</t>
  </si>
  <si>
    <t>243.236 (51%)</t>
  </si>
  <si>
    <r>
      <rPr>
        <color rgb="FF1155CC"/>
        <u/>
      </rPr>
      <t>Richmond</t>
    </r>
  </si>
  <si>
    <t>244.200 (55%)</t>
  </si>
  <si>
    <r>
      <rPr>
        <color rgb="FF1155CC"/>
        <u/>
      </rPr>
      <t>Collingwood</t>
    </r>
  </si>
  <si>
    <t>274.241 (53%)</t>
  </si>
  <si>
    <t>230.221 (51%)</t>
  </si>
  <si>
    <r>
      <rPr>
        <color rgb="FF1155CC"/>
        <u/>
      </rPr>
      <t>West Coast</t>
    </r>
  </si>
  <si>
    <t>282.210 (57%)</t>
  </si>
  <si>
    <t>239.257 (48%)</t>
  </si>
  <si>
    <r>
      <rPr>
        <color rgb="FF1155CC"/>
        <u/>
      </rPr>
      <t>Greater Western Sydney</t>
    </r>
  </si>
  <si>
    <t>283.228 (55%)</t>
  </si>
  <si>
    <t>243.211 (54%)</t>
  </si>
  <si>
    <r>
      <rPr>
        <color rgb="FF1155CC"/>
        <u/>
      </rPr>
      <t>Western Bulldogs</t>
    </r>
  </si>
  <si>
    <t>279.267 (51%)</t>
  </si>
  <si>
    <t>264.226 (54%)</t>
  </si>
  <si>
    <r>
      <rPr>
        <color rgb="FF1155CC"/>
        <u/>
      </rPr>
      <t>Essendon</t>
    </r>
  </si>
  <si>
    <t>247.220 (53%)</t>
  </si>
  <si>
    <t>253.266 (49%)</t>
  </si>
  <si>
    <r>
      <rPr>
        <color rgb="FF1155CC"/>
        <u/>
      </rPr>
      <t>Hawthorn</t>
    </r>
  </si>
  <si>
    <t>250.242 (51%)</t>
  </si>
  <si>
    <t>228.234 (49%)</t>
  </si>
  <si>
    <r>
      <rPr>
        <color rgb="FF1155CC"/>
        <u/>
      </rPr>
      <t>Port Adelaide</t>
    </r>
  </si>
  <si>
    <t>257.264 (49%)</t>
  </si>
  <si>
    <r>
      <rPr>
        <color rgb="FF1155CC"/>
        <u/>
      </rPr>
      <t>Adelaide</t>
    </r>
  </si>
  <si>
    <t>256.240 (52%)</t>
  </si>
  <si>
    <t>252.249 (50%)</t>
  </si>
  <si>
    <r>
      <rPr>
        <color rgb="FF1155CC"/>
        <u/>
      </rPr>
      <t>North Melbourne</t>
    </r>
  </si>
  <si>
    <t>265.234 (53%)</t>
  </si>
  <si>
    <t>265.244 (52%)</t>
  </si>
  <si>
    <r>
      <rPr>
        <color rgb="FF1155CC"/>
        <u/>
      </rPr>
      <t>Fremantle</t>
    </r>
  </si>
  <si>
    <t>225.229 (50%)</t>
  </si>
  <si>
    <t>245.248 (50%)</t>
  </si>
  <si>
    <r>
      <rPr>
        <color rgb="FF1155CC"/>
        <u/>
      </rPr>
      <t>St Kilda</t>
    </r>
  </si>
  <si>
    <t>233.247 (49%)</t>
  </si>
  <si>
    <t>294.197 (60%)</t>
  </si>
  <si>
    <r>
      <rPr>
        <color rgb="FF1155CC"/>
        <u/>
      </rPr>
      <t>Sydney</t>
    </r>
  </si>
  <si>
    <t>248.218 (53%)</t>
  </si>
  <si>
    <t>246.270 (48%)</t>
  </si>
  <si>
    <r>
      <rPr>
        <color rgb="FF1155CC"/>
        <u/>
      </rPr>
      <t>Carlton</t>
    </r>
  </si>
  <si>
    <t>231.223 (51%)</t>
  </si>
  <si>
    <t>276.249 (53%)</t>
  </si>
  <si>
    <r>
      <rPr>
        <color rgb="FF1155CC"/>
        <u/>
      </rPr>
      <t>Melbourne</t>
    </r>
  </si>
  <si>
    <t>223.231 (49%)</t>
  </si>
  <si>
    <t>297.213 (58%)</t>
  </si>
  <si>
    <r>
      <rPr>
        <color rgb="FF1155CC"/>
        <u/>
      </rPr>
      <t>Gold Coast</t>
    </r>
  </si>
  <si>
    <t>194.187 (51%)</t>
  </si>
  <si>
    <t>330.252 (57%)</t>
  </si>
  <si>
    <r>
      <t xml:space="preserve">2018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</si>
  <si>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</si>
  <si>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</si>
  <si>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</si>
  <si>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</si>
  <si>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</si>
  <si>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</si>
  <si>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</si>
  <si>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</si>
  <si>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</si>
  <si>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</si>
  <si>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</si>
  <si>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</si>
  <si>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</si>
  <si>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</si>
  <si>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color rgb="FF1155CC"/>
        <u/>
      </rPr>
      <t>Richmond</t>
    </r>
  </si>
  <si>
    <t>11-0-0</t>
  </si>
  <si>
    <t>311.277 (53%)</t>
  </si>
  <si>
    <t>232.182 (56%)</t>
  </si>
  <si>
    <r>
      <rPr>
        <color rgb="FF1155CC"/>
        <u/>
      </rPr>
      <t>West Coast</t>
    </r>
  </si>
  <si>
    <t>295.242 (55%)</t>
  </si>
  <si>
    <t>241.211 (53%)</t>
  </si>
  <si>
    <r>
      <rPr>
        <color rgb="FF1155CC"/>
        <u/>
      </rPr>
      <t>Collingwood</t>
    </r>
  </si>
  <si>
    <t>300.246 (55%)</t>
  </si>
  <si>
    <t>251.193 (57%)</t>
  </si>
  <si>
    <r>
      <rPr>
        <color rgb="FF1155CC"/>
        <u/>
      </rPr>
      <t>Hawthorn</t>
    </r>
  </si>
  <si>
    <t>290.232 (56%)</t>
  </si>
  <si>
    <t>236.226 (51%)</t>
  </si>
  <si>
    <r>
      <rPr>
        <color rgb="FF1155CC"/>
        <u/>
      </rPr>
      <t>Melbourne</t>
    </r>
  </si>
  <si>
    <t>336.283 (54%)</t>
  </si>
  <si>
    <t>256.213 (55%)</t>
  </si>
  <si>
    <r>
      <rPr>
        <color rgb="FF1155CC"/>
        <u/>
      </rPr>
      <t>Sydney</t>
    </r>
  </si>
  <si>
    <t>268.214 (56%)</t>
  </si>
  <si>
    <t>231.278 (45%)</t>
  </si>
  <si>
    <r>
      <rPr>
        <color rgb="FF1155CC"/>
        <u/>
      </rPr>
      <t>Greater Western Sydney</t>
    </r>
  </si>
  <si>
    <t>268.290 (48%)</t>
  </si>
  <si>
    <t>239.227 (51%)</t>
  </si>
  <si>
    <r>
      <rPr>
        <color rgb="FF1155CC"/>
        <u/>
      </rPr>
      <t>Geelong</t>
    </r>
  </si>
  <si>
    <t>298.257 (54%)</t>
  </si>
  <si>
    <t>216.258 (46%)</t>
  </si>
  <si>
    <r>
      <rPr>
        <color rgb="FF1155CC"/>
        <u/>
      </rPr>
      <t>North Melbourne</t>
    </r>
  </si>
  <si>
    <t>285.240 (54%)</t>
  </si>
  <si>
    <t>259.236 (52%)</t>
  </si>
  <si>
    <r>
      <rPr>
        <color rgb="FF1155CC"/>
        <u/>
      </rPr>
      <t>Port Adelaide</t>
    </r>
  </si>
  <si>
    <t>259.226 (53%)</t>
  </si>
  <si>
    <t>241.208 (54%)</t>
  </si>
  <si>
    <r>
      <rPr>
        <color rgb="FF1155CC"/>
        <u/>
      </rPr>
      <t>Essendon</t>
    </r>
  </si>
  <si>
    <t>280.252 (53%)</t>
  </si>
  <si>
    <t>264.254 (51%)</t>
  </si>
  <si>
    <r>
      <rPr>
        <color rgb="FF1155CC"/>
        <u/>
      </rPr>
      <t>Adelaide</t>
    </r>
  </si>
  <si>
    <t>268.257 (51%)</t>
  </si>
  <si>
    <r>
      <rPr>
        <color rgb="FF1155CC"/>
        <u/>
      </rPr>
      <t>Western Bulldogs</t>
    </r>
  </si>
  <si>
    <t>224.231 (49%)</t>
  </si>
  <si>
    <t>300.237 (56%)</t>
  </si>
  <si>
    <r>
      <rPr>
        <color rgb="FF1155CC"/>
        <u/>
      </rPr>
      <t>Fremantle</t>
    </r>
  </si>
  <si>
    <t>224.212 (51%)</t>
  </si>
  <si>
    <t>294.277 (51%)</t>
  </si>
  <si>
    <r>
      <rPr>
        <color rgb="FF1155CC"/>
        <u/>
      </rPr>
      <t>Brisbane Lions</t>
    </r>
  </si>
  <si>
    <t>266.229 (54%)</t>
  </si>
  <si>
    <t>297.267 (53%)</t>
  </si>
  <si>
    <r>
      <rPr>
        <color rgb="FF1155CC"/>
        <u/>
      </rPr>
      <t>St Kilda</t>
    </r>
  </si>
  <si>
    <t>225.256 (47%)</t>
  </si>
  <si>
    <t>310.265 (54%)</t>
  </si>
  <si>
    <r>
      <rPr>
        <color rgb="FF1155CC"/>
        <u/>
      </rPr>
      <t>Gold Coast</t>
    </r>
  </si>
  <si>
    <t>181.222 (45%)</t>
  </si>
  <si>
    <t>311.316 (50%)</t>
  </si>
  <si>
    <r>
      <rPr>
        <color rgb="FF1155CC"/>
        <u/>
      </rPr>
      <t>Carlton</t>
    </r>
  </si>
  <si>
    <t>192.201 (49%)</t>
  </si>
  <si>
    <t>335.272 (55%)</t>
  </si>
  <si>
    <r>
      <t xml:space="preserve">2017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</si>
  <si>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</si>
  <si>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</si>
  <si>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</si>
  <si>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</si>
  <si>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</si>
  <si>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</si>
  <si>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</si>
  <si>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</si>
  <si>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</si>
  <si>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</si>
  <si>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</si>
  <si>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</si>
  <si>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</si>
  <si>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</si>
  <si>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color rgb="FF1155CC"/>
        <u/>
      </rPr>
      <t>Adelaide</t>
    </r>
  </si>
  <si>
    <t>354.291 (55%)</t>
  </si>
  <si>
    <t>260.216 (55%)</t>
  </si>
  <si>
    <r>
      <rPr>
        <color rgb="FF1155CC"/>
        <u/>
      </rPr>
      <t>Geelong</t>
    </r>
  </si>
  <si>
    <t>313.256 (55%)</t>
  </si>
  <si>
    <t>260.258 (50%)</t>
  </si>
  <si>
    <r>
      <rPr>
        <color rgb="FF1155CC"/>
        <u/>
      </rPr>
      <t>Richmond</t>
    </r>
  </si>
  <si>
    <t>287.270 (52%)</t>
  </si>
  <si>
    <t>242.232 (51%)</t>
  </si>
  <si>
    <r>
      <rPr>
        <color rgb="FF1155CC"/>
        <u/>
      </rPr>
      <t>Greater Western Sydney</t>
    </r>
  </si>
  <si>
    <t>302.269 (53%)</t>
  </si>
  <si>
    <t>262.240 (52%)</t>
  </si>
  <si>
    <r>
      <rPr>
        <color rgb="FF1155CC"/>
        <u/>
      </rPr>
      <t>Port Adelaide</t>
    </r>
  </si>
  <si>
    <t>313.290 (52%)</t>
  </si>
  <si>
    <t>239.237 (50%)</t>
  </si>
  <si>
    <r>
      <rPr>
        <color rgb="FF1155CC"/>
        <u/>
      </rPr>
      <t>Sydney</t>
    </r>
  </si>
  <si>
    <t>305.263 (54%)</t>
  </si>
  <si>
    <t>237.229 (51%)</t>
  </si>
  <si>
    <r>
      <rPr>
        <color rgb="FF1155CC"/>
        <u/>
      </rPr>
      <t>Essendon</t>
    </r>
  </si>
  <si>
    <t>311.269 (54%)</t>
  </si>
  <si>
    <r>
      <rPr>
        <color rgb="FF1155CC"/>
        <u/>
      </rPr>
      <t>West Coast</t>
    </r>
  </si>
  <si>
    <t>288.236 (55%)</t>
  </si>
  <si>
    <t>266.262 (50%)</t>
  </si>
  <si>
    <r>
      <rPr>
        <color rgb="FF1155CC"/>
        <u/>
      </rPr>
      <t>Melbourne</t>
    </r>
  </si>
  <si>
    <t>302.223 (58%)</t>
  </si>
  <si>
    <t>280.254 (52%)</t>
  </si>
  <si>
    <r>
      <rPr>
        <color rgb="FF1155CC"/>
        <u/>
      </rPr>
      <t>Western Bulldogs</t>
    </r>
  </si>
  <si>
    <t>260.297 (47%)</t>
  </si>
  <si>
    <t>279.239 (54%)</t>
  </si>
  <si>
    <r>
      <rPr>
        <color rgb="FF1155CC"/>
        <u/>
      </rPr>
      <t>St Kilda</t>
    </r>
  </si>
  <si>
    <t>271.299 (48%)</t>
  </si>
  <si>
    <t>291.240 (55%)</t>
  </si>
  <si>
    <r>
      <rPr>
        <color rgb="FF1155CC"/>
        <u/>
      </rPr>
      <t>Hawthorn</t>
    </r>
  </si>
  <si>
    <t>273.226 (55%)</t>
  </si>
  <si>
    <t>301.249 (55%)</t>
  </si>
  <si>
    <r>
      <rPr>
        <color rgb="FF1155CC"/>
        <u/>
      </rPr>
      <t>Collingwood</t>
    </r>
  </si>
  <si>
    <t>278.276 (50%)</t>
  </si>
  <si>
    <t>287.241 (54%)</t>
  </si>
  <si>
    <r>
      <rPr>
        <color rgb="FF1155CC"/>
        <u/>
      </rPr>
      <t>Fremantle</t>
    </r>
  </si>
  <si>
    <t>231.221 (51%)</t>
  </si>
  <si>
    <t>317.258 (55%)</t>
  </si>
  <si>
    <r>
      <rPr>
        <color rgb="FF1155CC"/>
        <u/>
      </rPr>
      <t>North Melbourne</t>
    </r>
  </si>
  <si>
    <t>290.243 (54%)</t>
  </si>
  <si>
    <t>331.278 (54%)</t>
  </si>
  <si>
    <r>
      <rPr>
        <color rgb="FF1155CC"/>
        <u/>
      </rPr>
      <t>Carlton</t>
    </r>
  </si>
  <si>
    <t>232.202 (53%)</t>
  </si>
  <si>
    <t>299.244 (55%)</t>
  </si>
  <si>
    <r>
      <rPr>
        <color rgb="FF1155CC"/>
        <u/>
      </rPr>
      <t>Gold Coast</t>
    </r>
  </si>
  <si>
    <t>257.214 (55%)</t>
  </si>
  <si>
    <t>337.289 (54%)</t>
  </si>
  <si>
    <r>
      <rPr>
        <color rgb="FF1155CC"/>
        <u/>
      </rPr>
      <t>Brisbane Lions</t>
    </r>
  </si>
  <si>
    <t>276.221 (56%)</t>
  </si>
  <si>
    <t>367.324 (53%)</t>
  </si>
  <si>
    <r>
      <t xml:space="preserve">2016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</si>
  <si>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</si>
  <si>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</si>
  <si>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</si>
  <si>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</si>
  <si>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</si>
  <si>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</si>
  <si>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</si>
  <si>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</si>
  <si>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</si>
  <si>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</si>
  <si>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</si>
  <si>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</si>
  <si>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</si>
  <si>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</si>
  <si>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color rgb="FF1155CC"/>
        <u/>
      </rPr>
      <t>Sydney</t>
    </r>
  </si>
  <si>
    <t>326.265 (55%)</t>
  </si>
  <si>
    <t>208.221 (48%)</t>
  </si>
  <si>
    <r>
      <rPr>
        <color rgb="FF1155CC"/>
        <u/>
      </rPr>
      <t>Geelong</t>
    </r>
  </si>
  <si>
    <t>325.285 (53%)</t>
  </si>
  <si>
    <t>227.192 (54%)</t>
  </si>
  <si>
    <r>
      <rPr>
        <color rgb="FF1155CC"/>
        <u/>
      </rPr>
      <t>Hawthorn</t>
    </r>
  </si>
  <si>
    <t>312.262 (54%)</t>
  </si>
  <si>
    <t>263.222 (54%)</t>
  </si>
  <si>
    <r>
      <rPr>
        <color rgb="FF1155CC"/>
        <u/>
      </rPr>
      <t>Greater Western Sydney</t>
    </r>
  </si>
  <si>
    <t>351.274 (56%)</t>
  </si>
  <si>
    <t>240.223 (52%)</t>
  </si>
  <si>
    <r>
      <rPr>
        <color rgb="FF1155CC"/>
        <u/>
      </rPr>
      <t>Adelaide</t>
    </r>
  </si>
  <si>
    <t>363.305 (54%)</t>
  </si>
  <si>
    <t>260.235 (53%)</t>
  </si>
  <si>
    <r>
      <rPr>
        <color rgb="FF1155CC"/>
        <u/>
      </rPr>
      <t>West Coast</t>
    </r>
  </si>
  <si>
    <t>323.243 (57%)</t>
  </si>
  <si>
    <t>240.238 (50%)</t>
  </si>
  <si>
    <r>
      <rPr>
        <color rgb="FF1155CC"/>
        <u/>
      </rPr>
      <t>Western Bulldogs</t>
    </r>
  </si>
  <si>
    <t>237.187 (56%)</t>
  </si>
  <si>
    <r>
      <rPr>
        <color rgb="FF1155CC"/>
        <u/>
      </rPr>
      <t>North Melbourne</t>
    </r>
  </si>
  <si>
    <t>284.252 (53%)</t>
  </si>
  <si>
    <t>264.275 (49%)</t>
  </si>
  <si>
    <r>
      <rPr>
        <color rgb="FF1155CC"/>
        <u/>
      </rPr>
      <t>St Kilda</t>
    </r>
  </si>
  <si>
    <t>286.237 (55%)</t>
  </si>
  <si>
    <t>300.241 (55%)</t>
  </si>
  <si>
    <r>
      <rPr>
        <color rgb="FF1155CC"/>
        <u/>
      </rPr>
      <t>Port Adelaide</t>
    </r>
  </si>
  <si>
    <t>300.255 (54%)</t>
  </si>
  <si>
    <t>275.289 (49%)</t>
  </si>
  <si>
    <r>
      <rPr>
        <color rgb="FF1155CC"/>
        <u/>
      </rPr>
      <t>Melbourne</t>
    </r>
  </si>
  <si>
    <t>286.228 (56%)</t>
  </si>
  <si>
    <r>
      <rPr>
        <color rgb="FF1155CC"/>
        <u/>
      </rPr>
      <t>Collingwood</t>
    </r>
  </si>
  <si>
    <t>276.254 (52%)</t>
  </si>
  <si>
    <t>294.234 (56%)</t>
  </si>
  <si>
    <r>
      <rPr>
        <color rgb="FF1155CC"/>
        <u/>
      </rPr>
      <t>Richmond</t>
    </r>
  </si>
  <si>
    <t>247.231 (52%)</t>
  </si>
  <si>
    <t>314.271 (54%)</t>
  </si>
  <si>
    <r>
      <rPr>
        <color rgb="FF1155CC"/>
        <u/>
      </rPr>
      <t>Carlton</t>
    </r>
  </si>
  <si>
    <t>224.224 (50%)</t>
  </si>
  <si>
    <t>287.256 (53%)</t>
  </si>
  <si>
    <r>
      <rPr>
        <color rgb="FF1155CC"/>
        <u/>
      </rPr>
      <t>Gold Coast</t>
    </r>
  </si>
  <si>
    <t>258.230 (53%)</t>
  </si>
  <si>
    <t>328.305 (52%)</t>
  </si>
  <si>
    <r>
      <rPr>
        <color rgb="FF1155CC"/>
        <u/>
      </rPr>
      <t>Fremantle</t>
    </r>
  </si>
  <si>
    <t>227.212 (52%)</t>
  </si>
  <si>
    <t>306.283 (52%)</t>
  </si>
  <si>
    <r>
      <rPr>
        <color rgb="FF1155CC"/>
        <u/>
      </rPr>
      <t>Brisbane Lions</t>
    </r>
  </si>
  <si>
    <t>254.246 (51%)</t>
  </si>
  <si>
    <t>429.298 (59%)</t>
  </si>
  <si>
    <r>
      <rPr>
        <color rgb="FF1155CC"/>
        <u/>
      </rPr>
      <t>Essendon</t>
    </r>
  </si>
  <si>
    <t>200.237 (46%)</t>
  </si>
  <si>
    <t>350.256 (58%)</t>
  </si>
  <si>
    <r>
      <t xml:space="preserve">2015 </t>
    </r>
    <r>
      <rPr>
        <b/>
        <color rgb="FF1155CC"/>
        <u/>
      </rPr>
      <t>Ladder</t>
    </r>
  </si>
  <si>
    <r>
      <rPr>
        <b/>
        <color rgb="FF1155CC"/>
        <u/>
      </rPr>
      <t>#</t>
    </r>
  </si>
  <si>
    <r>
      <rPr>
        <b/>
        <color rgb="FF1155CC"/>
        <u/>
      </rPr>
      <t>Team</t>
    </r>
  </si>
  <si>
    <r>
      <rPr>
        <b/>
        <color rgb="FF1155CC"/>
        <u/>
      </rPr>
      <t>P</t>
    </r>
  </si>
  <si>
    <r>
      <rPr>
        <b/>
        <color rgb="FF1155CC"/>
        <u/>
      </rPr>
      <t>W</t>
    </r>
  </si>
  <si>
    <r>
      <rPr>
        <b/>
        <color rgb="FF1155CC"/>
        <u/>
      </rPr>
      <t>D</t>
    </r>
  </si>
  <si>
    <r>
      <rPr>
        <b/>
        <color rgb="FF1155CC"/>
        <u/>
      </rPr>
      <t>L</t>
    </r>
  </si>
  <si>
    <r>
      <rPr>
        <b/>
        <color rgb="FF1155CC"/>
        <u/>
      </rPr>
      <t>Home</t>
    </r>
  </si>
  <si>
    <r>
      <rPr>
        <b/>
        <color rgb="FF1155CC"/>
        <u/>
      </rPr>
      <t>Away</t>
    </r>
  </si>
  <si>
    <r>
      <rPr>
        <b/>
        <color rgb="FF1155CC"/>
        <u/>
      </rPr>
      <t>GF-BF</t>
    </r>
  </si>
  <si>
    <r>
      <rPr>
        <b/>
        <color rgb="FF1155CC"/>
        <u/>
      </rPr>
      <t>For</t>
    </r>
  </si>
  <si>
    <r>
      <rPr>
        <b/>
        <color rgb="FF1155CC"/>
        <u/>
      </rPr>
      <t>GA-BA</t>
    </r>
  </si>
  <si>
    <r>
      <rPr>
        <b/>
        <color rgb="FF1155CC"/>
        <u/>
      </rPr>
      <t>Agn</t>
    </r>
  </si>
  <si>
    <r>
      <rPr>
        <b/>
        <color rgb="FF1155CC"/>
        <u/>
      </rPr>
      <t>%</t>
    </r>
  </si>
  <si>
    <r>
      <rPr>
        <b/>
        <color rgb="FF1155CC"/>
        <u/>
      </rPr>
      <t>Pts</t>
    </r>
  </si>
  <si>
    <r>
      <rPr>
        <color rgb="FF1155CC"/>
        <u/>
      </rPr>
      <t>Fremantle</t>
    </r>
  </si>
  <si>
    <t>273.219 (55%)</t>
  </si>
  <si>
    <t>225.214 (51%)</t>
  </si>
  <si>
    <r>
      <rPr>
        <color rgb="FF1155CC"/>
        <u/>
      </rPr>
      <t>West Coast</t>
    </r>
  </si>
  <si>
    <t>340.290 (54%)</t>
  </si>
  <si>
    <t>229.198 (54%)</t>
  </si>
  <si>
    <r>
      <rPr>
        <color rgb="FF1155CC"/>
        <u/>
      </rPr>
      <t>Hawthorn</t>
    </r>
  </si>
  <si>
    <t>365.262 (58%)</t>
  </si>
  <si>
    <t>221.222 (50%)</t>
  </si>
  <si>
    <r>
      <rPr>
        <color rgb="FF1155CC"/>
        <u/>
      </rPr>
      <t>Sydney</t>
    </r>
  </si>
  <si>
    <t>292.254 (53%)</t>
  </si>
  <si>
    <t>223.240 (48%)</t>
  </si>
  <si>
    <r>
      <rPr>
        <color rgb="FF1155CC"/>
        <u/>
      </rPr>
      <t>Richmond</t>
    </r>
  </si>
  <si>
    <t>280.250 (53%)</t>
  </si>
  <si>
    <t>220.248 (47%)</t>
  </si>
  <si>
    <r>
      <rPr>
        <color rgb="FF1155CC"/>
        <u/>
      </rPr>
      <t>Western Bulldogs</t>
    </r>
  </si>
  <si>
    <t>310.241 (56%)</t>
  </si>
  <si>
    <t>268.217 (55%)</t>
  </si>
  <si>
    <r>
      <rPr>
        <color rgb="FF1155CC"/>
        <u/>
      </rPr>
      <t>Adelaide</t>
    </r>
  </si>
  <si>
    <t>7-0-3</t>
  </si>
  <si>
    <t>308.259 (54%)</t>
  </si>
  <si>
    <t>266.225 (54%)</t>
  </si>
  <si>
    <r>
      <rPr>
        <color rgb="FF1155CC"/>
        <u/>
      </rPr>
      <t>North Melbourne</t>
    </r>
  </si>
  <si>
    <t>303.244 (55%)</t>
  </si>
  <si>
    <t>280.257 (52%)</t>
  </si>
  <si>
    <r>
      <rPr>
        <color rgb="FF1155CC"/>
        <u/>
      </rPr>
      <t>Port Adelaide</t>
    </r>
  </si>
  <si>
    <t>296.226 (57%)</t>
  </si>
  <si>
    <t>276.218 (56%)</t>
  </si>
  <si>
    <r>
      <rPr>
        <color rgb="FF1155CC"/>
        <u/>
      </rPr>
      <t>Geelong</t>
    </r>
  </si>
  <si>
    <t>272.221 (55%)</t>
  </si>
  <si>
    <t>266.237 (53%)</t>
  </si>
  <si>
    <r>
      <rPr>
        <color rgb="FF1155CC"/>
        <u/>
      </rPr>
      <t>Greater Western Sydney</t>
    </r>
  </si>
  <si>
    <t>268.264 (50%)</t>
  </si>
  <si>
    <t>272.259 (51%)</t>
  </si>
  <si>
    <r>
      <rPr>
        <color rgb="FF1155CC"/>
        <u/>
      </rPr>
      <t>Collingwood</t>
    </r>
  </si>
  <si>
    <t>287.250 (53%)</t>
  </si>
  <si>
    <t>270.236 (53%)</t>
  </si>
  <si>
    <r>
      <rPr>
        <color rgb="FF1155CC"/>
        <u/>
      </rPr>
      <t>Melbourne</t>
    </r>
  </si>
  <si>
    <t>225.223 (50%)</t>
  </si>
  <si>
    <t>301.238 (56%)</t>
  </si>
  <si>
    <r>
      <rPr>
        <color rgb="FF1155CC"/>
        <u/>
      </rPr>
      <t>St Kilda</t>
    </r>
  </si>
  <si>
    <t>241.249 (49%)</t>
  </si>
  <si>
    <t>319.248 (56%)</t>
  </si>
  <si>
    <r>
      <rPr>
        <color rgb="FF1155CC"/>
        <u/>
      </rPr>
      <t>Essendon</t>
    </r>
  </si>
  <si>
    <t>226.224 (50%)</t>
  </si>
  <si>
    <r>
      <rPr>
        <color rgb="FF1155CC"/>
        <u/>
      </rPr>
      <t>Gold Coast</t>
    </r>
  </si>
  <si>
    <t>235.223 (51%)</t>
  </si>
  <si>
    <t>326.284 (53%)</t>
  </si>
  <si>
    <r>
      <rPr>
        <color rgb="FF1155CC"/>
        <u/>
      </rPr>
      <t>Brisbane Lions</t>
    </r>
  </si>
  <si>
    <t>224.213 (51%)</t>
  </si>
  <si>
    <t>341.260 (57%)</t>
  </si>
  <si>
    <r>
      <rPr>
        <color rgb="FF1155CC"/>
        <u/>
      </rPr>
      <t>Carlton</t>
    </r>
  </si>
  <si>
    <t>219.211 (51%)</t>
  </si>
  <si>
    <t>349.260 (57%)</t>
  </si>
  <si>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</si>
  <si>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</si>
  <si>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</si>
  <si>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</si>
  <si>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</si>
  <si>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</si>
  <si>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</si>
  <si>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</si>
  <si>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</si>
  <si>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</si>
  <si>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</si>
  <si>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xG</t>
  </si>
  <si>
    <t>xGA</t>
  </si>
  <si>
    <t>xGD</t>
  </si>
  <si>
    <t>xGD/90</t>
  </si>
  <si>
    <t>Attendance</t>
  </si>
  <si>
    <t>Top Team Scorer</t>
  </si>
  <si>
    <t>Goalkeeper</t>
  </si>
  <si>
    <t>Notes</t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</si>
  <si>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</si>
  <si>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Ousmane Dembélé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</si>
  <si>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Gianluigi Donnarumma</t>
    </r>
  </si>
  <si>
    <t>→ Champions League via league finish</t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</si>
  <si>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</si>
  <si>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Mason Greenwood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</si>
  <si>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Gerónimo Rulli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</si>
  <si>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</si>
  <si>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Mika Biereth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</si>
  <si>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Philipp Köhn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</si>
  <si>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</si>
  <si>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Evann Guessand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</si>
  <si>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Marcin Bułka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</si>
  <si>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</si>
  <si>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Jonathan David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</si>
  <si>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Lucas Chevalier</t>
    </r>
  </si>
  <si>
    <t>→ Europa League via league finish</t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</si>
  <si>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</si>
  <si>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Alexandre Lacazette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</si>
  <si>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Lucas Perri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</si>
  <si>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</si>
  <si>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Emanuel Emegha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</si>
  <si>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Đorđe Petrović</t>
    </r>
  </si>
  <si>
    <t>→ Conference League via league finish</t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</si>
  <si>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</si>
  <si>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Neil El Aynaoui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</si>
  <si>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Brice Samba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</si>
  <si>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</si>
  <si>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Ludovic Ajorque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</si>
  <si>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</si>
  <si>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</si>
  <si>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Zakaria Aboukhlal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</si>
  <si>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Guillaume Restes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</si>
  <si>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</si>
  <si>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Gaëtan Perrin</t>
    </r>
    <r>
      <rPr>
        <rFont val="Verdana, sans-serif"/>
      </rPr>
      <t xml:space="preserve">, </t>
    </r>
    <r>
      <rPr>
        <rFont val="Verdana, sans-serif"/>
        <color rgb="FF1155CC"/>
        <u/>
      </rPr>
      <t>Hamed Junior Traorè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</si>
  <si>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Donovan Léon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</si>
  <si>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</si>
  <si>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Arnaud Kalimuendo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</si>
  <si>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Brice Samba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</si>
  <si>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</si>
  <si>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Matthis Abline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</si>
  <si>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</si>
  <si>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</si>
  <si>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Esteban Lepaul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</si>
  <si>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Yahia Fofana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</si>
  <si>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</si>
  <si>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Abdoulaye Touré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</si>
  <si>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Arthur Desmas</t>
    </r>
  </si>
  <si>
    <r>
      <rPr>
        <rFont val="Verdana, sans-serif"/>
        <color rgb="FF1155CC"/>
        <u/>
      </rPr>
      <t>Reims</t>
    </r>
  </si>
  <si>
    <r>
      <rPr>
        <rFont val="Verdana, sans-serif"/>
        <color rgb="FF1155CC"/>
        <u/>
      </rPr>
      <t>Keito Nakamura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</si>
  <si>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Yehvann Diouf</t>
    </r>
  </si>
  <si>
    <t>→ French 1/2 Relegation/Promotion play-offs</t>
  </si>
  <si>
    <r>
      <rPr>
        <rFont val="Verdana, sans-serif"/>
        <color rgb="FF1155CC"/>
        <u/>
      </rPr>
      <t>Saint-Étienne</t>
    </r>
  </si>
  <si>
    <r>
      <rPr>
        <rFont val="Verdana, sans-serif"/>
        <color rgb="FF1155CC"/>
        <u/>
      </rPr>
      <t>Lucas Stassin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</si>
  <si>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Gautier Larsonneur</t>
    </r>
  </si>
  <si>
    <t>Relegated</t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</si>
  <si>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</si>
  <si>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Arnaud Nordin</t>
    </r>
    <r>
      <rPr>
        <rFont val="Verdana, sans-serif"/>
      </rPr>
      <t xml:space="preserve"> - 4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</si>
  <si>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</si>
  <si>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</si>
  <si>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Kylian Mbappé</t>
    </r>
    <r>
      <rPr>
        <rFont val="Verdana, sans-serif"/>
      </rPr>
      <t xml:space="preserve"> - 27</t>
    </r>
  </si>
  <si>
    <r>
      <rPr>
        <rFont val="Verdana, sans-serif"/>
        <color rgb="FF1155CC"/>
        <u/>
      </rPr>
      <t>Gianluigi Donnarumma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</si>
  <si>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</si>
  <si>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Wissam Ben Yedder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</si>
  <si>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Philipp Köhn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</si>
  <si>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</si>
  <si>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Romain Del Castillo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</si>
  <si>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</si>
  <si>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</si>
  <si>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Jonathan David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</si>
  <si>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Lucas Chevalier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</si>
  <si>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</si>
  <si>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Terem Moffi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</si>
  <si>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Marcin Bułka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</si>
  <si>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</si>
  <si>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Alexandre Lacazette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</si>
  <si>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</si>
  <si>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</si>
  <si>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Elye Wahi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</si>
  <si>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Brice Samba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</si>
  <si>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</si>
  <si>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Pierre-Emerick Aubameyang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</si>
  <si>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Pau López</t>
    </r>
  </si>
  <si>
    <r>
      <rPr>
        <rFont val="Verdana, sans-serif"/>
        <color rgb="FF1155CC"/>
        <u/>
      </rPr>
      <t>Reims</t>
    </r>
  </si>
  <si>
    <r>
      <rPr>
        <rFont val="Verdana, sans-serif"/>
        <color rgb="FF1155CC"/>
        <u/>
      </rPr>
      <t>Teddy Teuma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</si>
  <si>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Yehvann Diouf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</si>
  <si>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</si>
  <si>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Arnaud Kalimuendo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</si>
  <si>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Steve Mandanda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</si>
  <si>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</si>
  <si>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Thijs Dallinga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</si>
  <si>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Guillaume Restes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</si>
  <si>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</si>
  <si>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Téji Savanier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</si>
  <si>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Benjamin Lecomte</t>
    </r>
  </si>
  <si>
    <t>1-point deduction 1</t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</si>
  <si>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</si>
  <si>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Emanuel Emegha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</si>
  <si>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</si>
  <si>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</si>
  <si>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Mostafa Mohamed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</si>
  <si>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Alban Lafont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</si>
  <si>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</si>
  <si>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André Ayew</t>
    </r>
    <r>
      <rPr>
        <rFont val="Verdana, sans-serif"/>
      </rPr>
      <t xml:space="preserve">, </t>
    </r>
    <r>
      <rPr>
        <rFont val="Verdana, sans-serif"/>
        <color rgb="FF1155CC"/>
        <u/>
      </rPr>
      <t>Emmanuel Sabbi</t>
    </r>
    <r>
      <rPr>
        <rFont val="Verdana, sans-serif"/>
      </rPr>
      <t>... - 5</t>
    </r>
  </si>
  <si>
    <r>
      <rPr>
        <rFont val="Verdana, sans-serif"/>
        <color rgb="FF1155CC"/>
        <u/>
      </rPr>
      <t>Arthur Desmas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</si>
  <si>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</si>
  <si>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Georges Mikautadze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</si>
  <si>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Alexandre Oukidja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</si>
  <si>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</si>
  <si>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Mohamed Bamba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</si>
  <si>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Yvon Mvogo</t>
    </r>
  </si>
  <si>
    <r>
      <rPr>
        <rFont val="Verdana, sans-serif"/>
        <color rgb="FF1155CC"/>
        <u/>
      </rPr>
      <t>Clermont Foot</t>
    </r>
  </si>
  <si>
    <r>
      <rPr>
        <rFont val="Verdana, sans-serif"/>
        <color rgb="FF1155CC"/>
        <u/>
      </rPr>
      <t>Muhammed Cham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</si>
  <si>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Mory Diaw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</si>
  <si>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</si>
  <si>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Kylian Mbappé</t>
    </r>
    <r>
      <rPr>
        <rFont val="Verdana, sans-serif"/>
      </rPr>
      <t xml:space="preserve"> - 27</t>
    </r>
  </si>
  <si>
    <r>
      <rPr>
        <rFont val="Verdana, sans-serif"/>
        <color rgb="FF1155CC"/>
        <u/>
      </rPr>
      <t>Gianluigi Donnarumma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</si>
  <si>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</si>
  <si>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Wissam Ben Yedder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</si>
  <si>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Philipp Köhn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</si>
  <si>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</si>
  <si>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Romain Del Castillo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</si>
  <si>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</si>
  <si>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</si>
  <si>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Jonathan David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</si>
  <si>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Lucas Chevalier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</si>
  <si>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</si>
  <si>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Terem Moffi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</si>
  <si>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Marcin Bułka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</si>
  <si>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</si>
  <si>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Alexandre Lacazette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</si>
  <si>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</si>
  <si>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</si>
  <si>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Elye Wahi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</si>
  <si>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Brice Samba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</si>
  <si>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</si>
  <si>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Pierre-Emerick Aubameyang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</si>
  <si>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Pau López</t>
    </r>
  </si>
  <si>
    <r>
      <rPr>
        <rFont val="Verdana, sans-serif"/>
        <color rgb="FF1155CC"/>
        <u/>
      </rPr>
      <t>Reims</t>
    </r>
  </si>
  <si>
    <r>
      <rPr>
        <rFont val="Verdana, sans-serif"/>
        <color rgb="FF1155CC"/>
        <u/>
      </rPr>
      <t>Teddy Teuma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</si>
  <si>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Yehvann Diouf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</si>
  <si>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</si>
  <si>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Arnaud Kalimuendo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</si>
  <si>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Steve Mandanda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</si>
  <si>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</si>
  <si>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Thijs Dallinga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</si>
  <si>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Guillaume Restes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</si>
  <si>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</si>
  <si>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Téji Savanier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</si>
  <si>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</si>
  <si>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</si>
  <si>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Emanuel Emegha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</si>
  <si>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</si>
  <si>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</si>
  <si>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Mostafa Mohamed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</si>
  <si>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Alban Lafont</t>
    </r>
  </si>
  <si>
    <r>
      <rPr>
        <rFont val="Verdana, sans-serif"/>
        <color rgb="FF1155CC"/>
        <u/>
      </rPr>
      <t>Le Havre</t>
    </r>
  </si>
  <si>
    <r>
      <rPr>
        <rFont val="Verdana, sans-serif"/>
        <color rgb="FF1155CC"/>
        <u/>
      </rPr>
      <t>André Ayew</t>
    </r>
    <r>
      <rPr>
        <rFont val="Verdana, sans-serif"/>
      </rPr>
      <t xml:space="preserve">, </t>
    </r>
    <r>
      <rPr>
        <rFont val="Verdana, sans-serif"/>
        <color rgb="FF1155CC"/>
        <u/>
      </rPr>
      <t>Emmanuel Sabbi</t>
    </r>
    <r>
      <rPr>
        <rFont val="Verdana, sans-serif"/>
      </rPr>
      <t>... - 5</t>
    </r>
  </si>
  <si>
    <r>
      <rPr>
        <rFont val="Verdana, sans-serif"/>
        <color rgb="FF1155CC"/>
        <u/>
      </rPr>
      <t>Arthur Desmas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</si>
  <si>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</si>
  <si>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Georges Mikautadze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</si>
  <si>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Alexandre Oukidja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</si>
  <si>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</si>
  <si>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Mohamed Bamba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</si>
  <si>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Yvon Mvogo</t>
    </r>
  </si>
  <si>
    <r>
      <rPr>
        <rFont val="Verdana, sans-serif"/>
        <color rgb="FF1155CC"/>
        <u/>
      </rPr>
      <t>Clermont Foot</t>
    </r>
  </si>
  <si>
    <r>
      <rPr>
        <rFont val="Verdana, sans-serif"/>
        <color rgb="FF1155CC"/>
        <u/>
      </rPr>
      <t>Muhammed Cham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</si>
  <si>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Mory Diaw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</si>
  <si>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</si>
  <si>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Kylian Mbappé</t>
    </r>
    <r>
      <rPr>
        <rFont val="Verdana, sans-serif"/>
      </rPr>
      <t xml:space="preserve"> - 29</t>
    </r>
  </si>
  <si>
    <r>
      <rPr>
        <rFont val="Verdana, sans-serif"/>
        <color rgb="FF1155CC"/>
        <u/>
      </rPr>
      <t>Gianluigi Donnarumma</t>
    </r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</si>
  <si>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</si>
  <si>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Loïs Openda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</si>
  <si>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Brice Samba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</si>
  <si>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</si>
  <si>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Alexis Sánchez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</si>
  <si>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Pau López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</si>
  <si>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</si>
  <si>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Amine Gouiri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</si>
  <si>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Steve Mandanda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</si>
  <si>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</si>
  <si>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Jonathan David</t>
    </r>
    <r>
      <rPr>
        <rFont val="Verdana, sans-serif"/>
      </rPr>
      <t xml:space="preserve"> - 24</t>
    </r>
  </si>
  <si>
    <r>
      <rPr>
        <rFont val="Verdana, sans-serif"/>
        <color rgb="FF1155CC"/>
        <u/>
      </rPr>
      <t>Lucas Chevalier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</si>
  <si>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</si>
  <si>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Wissam Ben Yedder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</si>
  <si>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Alexander Nübel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</si>
  <si>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</si>
  <si>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Alexandre Lacazette</t>
    </r>
    <r>
      <rPr>
        <rFont val="Verdana, sans-serif"/>
      </rPr>
      <t xml:space="preserve"> - 27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</si>
  <si>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</si>
  <si>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Clermont Foot</t>
    </r>
  </si>
  <si>
    <r>
      <rPr>
        <rFont val="Verdana, sans-serif"/>
        <color rgb="FF1155CC"/>
        <u/>
      </rPr>
      <t>Grejohn Kyei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</si>
  <si>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Mory Diaw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</si>
  <si>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</si>
  <si>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Gaëtan Laborde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</si>
  <si>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Kasper Schmeichel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</si>
  <si>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</si>
  <si>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Terem Moffi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</si>
  <si>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Yvon Mvogo</t>
    </r>
  </si>
  <si>
    <r>
      <rPr>
        <rFont val="Verdana, sans-serif"/>
        <color rgb="FF1155CC"/>
        <u/>
      </rPr>
      <t>Reims</t>
    </r>
  </si>
  <si>
    <r>
      <rPr>
        <rFont val="Verdana, sans-serif"/>
        <color rgb="FF1155CC"/>
        <u/>
      </rPr>
      <t>Folarin Balogun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</si>
  <si>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Yehvann Diouf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</si>
  <si>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</si>
  <si>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Elye Wahi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</si>
  <si>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</si>
  <si>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</si>
  <si>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Thijs Dallinga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</si>
  <si>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Maxime Dupé</t>
    </r>
  </si>
  <si>
    <t>→ Europa League via cup win</t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</si>
  <si>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</si>
  <si>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Jérémy Le Douaron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</si>
  <si>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</si>
  <si>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</si>
  <si>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Habib Diallo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</si>
  <si>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</si>
  <si>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</si>
  <si>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Mostafa Mohamed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</si>
  <si>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Alban Lafont</t>
    </r>
  </si>
  <si>
    <r>
      <rPr>
        <rFont val="Verdana, sans-serif"/>
        <color rgb="FF1155CC"/>
        <u/>
      </rPr>
      <t>Auxerre</t>
    </r>
  </si>
  <si>
    <r>
      <rPr>
        <rFont val="Verdana, sans-serif"/>
        <color rgb="FF1155CC"/>
        <u/>
      </rPr>
      <t>M'Baye Niang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</si>
  <si>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Benoît Costil</t>
    </r>
  </si>
  <si>
    <r>
      <rPr>
        <rFont val="Verdana, sans-serif"/>
        <color rgb="FF1155CC"/>
        <u/>
      </rPr>
      <t>Ajaccio</t>
    </r>
  </si>
  <si>
    <r>
      <rPr>
        <rFont val="Verdana, sans-serif"/>
        <color rgb="FF1155CC"/>
        <u/>
      </rPr>
      <t>Youcef Belaïli</t>
    </r>
    <r>
      <rPr>
        <rFont val="Verdana, sans-serif"/>
      </rPr>
      <t xml:space="preserve">, </t>
    </r>
    <r>
      <rPr>
        <rFont val="Verdana, sans-serif"/>
        <color rgb="FF1155CC"/>
        <u/>
      </rPr>
      <t>Mounaim El Idrissy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</si>
  <si>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Benjamin Leroy</t>
    </r>
  </si>
  <si>
    <r>
      <rPr>
        <rFont val="Verdana, sans-serif"/>
        <color rgb="FF1155CC"/>
        <u/>
      </rPr>
      <t>Troyes</t>
    </r>
  </si>
  <si>
    <r>
      <rPr>
        <rFont val="Verdana, sans-serif"/>
        <color rgb="FF1155CC"/>
        <u/>
      </rPr>
      <t>Mama Samba Baldé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</si>
  <si>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Gauthier Gallon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</si>
  <si>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</si>
  <si>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Abdallah Sima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</si>
  <si>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Paul Bernardoni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</si>
  <si>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</si>
  <si>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Kylian Mbappé</t>
    </r>
    <r>
      <rPr>
        <rFont val="Verdana, sans-serif"/>
      </rPr>
      <t xml:space="preserve"> - 28</t>
    </r>
  </si>
  <si>
    <r>
      <rPr>
        <rFont val="Verdana, sans-serif"/>
        <color rgb="FF1155CC"/>
        <u/>
      </rPr>
      <t>Keylor Navas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</si>
  <si>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</si>
  <si>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Dimitri Payet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</si>
  <si>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Pau López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</si>
  <si>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</si>
  <si>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Wissam Ben Yedder</t>
    </r>
    <r>
      <rPr>
        <rFont val="Verdana, sans-serif"/>
      </rPr>
      <t xml:space="preserve"> - 25</t>
    </r>
  </si>
  <si>
    <r>
      <rPr>
        <rFont val="Verdana, sans-serif"/>
        <color rgb="FF1155CC"/>
        <u/>
      </rPr>
      <t>Alexander Nübel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</si>
  <si>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</si>
  <si>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Martin Terrier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</si>
  <si>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Alfred Gomis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</si>
  <si>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</si>
  <si>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Andy Delort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</si>
  <si>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Walter Benítez</t>
    </r>
  </si>
  <si>
    <t>1-point deduction 1, → Europa Conference League via league finish</t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</si>
  <si>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</si>
  <si>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Ludovic Ajorque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</si>
  <si>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</si>
  <si>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</si>
  <si>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Arnaud Kalimuendo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</si>
  <si>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Jean-Louis Leca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</si>
  <si>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</si>
  <si>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Moussa Dembélé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</si>
  <si>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Anthony Lopes</t>
    </r>
  </si>
  <si>
    <t>1-point deduction 2</t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</si>
  <si>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</si>
  <si>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Randal Kolo Muani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</si>
  <si>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Alban Lafont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</si>
  <si>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</si>
  <si>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Jonathan David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</si>
  <si>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Ivo Grbić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</si>
  <si>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</si>
  <si>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Franck Honorat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</si>
  <si>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Marco Bizot</t>
    </r>
  </si>
  <si>
    <r>
      <rPr>
        <rFont val="Verdana, sans-serif"/>
        <color rgb="FF1155CC"/>
        <u/>
      </rPr>
      <t>Reims</t>
    </r>
  </si>
  <si>
    <r>
      <rPr>
        <rFont val="Verdana, sans-serif"/>
        <color rgb="FF1155CC"/>
        <u/>
      </rPr>
      <t>Hugo Ekitike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</si>
  <si>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Predrag Rajković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</si>
  <si>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</si>
  <si>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Elye Wahi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</si>
  <si>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Jonas Omlin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</si>
  <si>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</si>
  <si>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Sofiane Boufal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</si>
  <si>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Danijel Petković</t>
    </r>
  </si>
  <si>
    <r>
      <rPr>
        <rFont val="Verdana, sans-serif"/>
        <color rgb="FF1155CC"/>
        <u/>
      </rPr>
      <t>Troyes</t>
    </r>
  </si>
  <si>
    <r>
      <rPr>
        <rFont val="Verdana, sans-serif"/>
        <color rgb="FF1155CC"/>
        <u/>
      </rPr>
      <t>Xavier Chavalerin</t>
    </r>
    <r>
      <rPr>
        <rFont val="Verdana, sans-serif"/>
      </rPr>
      <t xml:space="preserve">, </t>
    </r>
    <r>
      <rPr>
        <rFont val="Verdana, sans-serif"/>
        <color rgb="FF1155CC"/>
        <u/>
      </rPr>
      <t>Ike Ugbo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</si>
  <si>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Gauthier Gallon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</si>
  <si>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</si>
  <si>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Terem Moffi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</si>
  <si>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Paul Nardi</t>
    </r>
  </si>
  <si>
    <r>
      <rPr>
        <rFont val="Verdana, sans-serif"/>
        <color rgb="FF1155CC"/>
        <u/>
      </rPr>
      <t>Clermont Foot</t>
    </r>
  </si>
  <si>
    <r>
      <rPr>
        <rFont val="Verdana, sans-serif"/>
        <color rgb="FF1155CC"/>
        <u/>
      </rPr>
      <t>Mohamed Lamine Bayo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</si>
  <si>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Ouparine Djoco</t>
    </r>
  </si>
  <si>
    <r>
      <rPr>
        <rFont val="Verdana, sans-serif"/>
        <color rgb="FF1155CC"/>
        <u/>
      </rPr>
      <t>Saint-Étienne</t>
    </r>
  </si>
  <si>
    <r>
      <rPr>
        <rFont val="Verdana, sans-serif"/>
        <color rgb="FF1155CC"/>
        <u/>
      </rPr>
      <t>Wahbi Khazri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</si>
  <si>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Paul Bernardoni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</si>
  <si>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</si>
  <si>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Nicolas de Préville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</si>
  <si>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Alexandre Oukidja</t>
    </r>
  </si>
  <si>
    <r>
      <rPr>
        <rFont val="Verdana, sans-serif"/>
        <color rgb="FF1155CC"/>
        <u/>
      </rPr>
      <t>Bordeaux</t>
    </r>
  </si>
  <si>
    <r>
      <rPr>
        <rFont val="Verdana, sans-serif"/>
        <color rgb="FF1155CC"/>
        <u/>
      </rPr>
      <t>Hwang Ui-jo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</si>
  <si>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Benoît Costil</t>
    </r>
  </si>
  <si>
    <t>Relegated 3</t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</si>
  <si>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</si>
  <si>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Burak Yılmaz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</si>
  <si>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Mike Maignan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</si>
  <si>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</si>
  <si>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Kylian Mbappé</t>
    </r>
    <r>
      <rPr>
        <rFont val="Verdana, sans-serif"/>
      </rPr>
      <t xml:space="preserve"> - 27</t>
    </r>
  </si>
  <si>
    <r>
      <rPr>
        <rFont val="Verdana, sans-serif"/>
        <color rgb="FF1155CC"/>
        <u/>
      </rPr>
      <t>Keylor Navas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</si>
  <si>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</si>
  <si>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Wissam Ben Yedder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</si>
  <si>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</si>
  <si>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</si>
  <si>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Memphis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</si>
  <si>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</si>
  <si>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</si>
  <si>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Arkadiusz Milik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</si>
  <si>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Steve Mandanda</t>
    </r>
  </si>
  <si>
    <t>→ Europa League via league finish 1</t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</si>
  <si>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</si>
  <si>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Serhou Guirassy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</si>
  <si>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Alfred Gomis</t>
    </r>
  </si>
  <si>
    <t>→ Europa Conference League via league finish</t>
  </si>
  <si>
    <r>
      <rPr>
        <rFont val="Verdana, sans-serif"/>
        <color rgb="FF1155CC"/>
        <u/>
      </rPr>
      <t>Lens</t>
    </r>
  </si>
  <si>
    <r>
      <rPr>
        <rFont val="Verdana, sans-serif"/>
        <color rgb="FF1155CC"/>
        <u/>
      </rPr>
      <t>Gaël Kakuta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</si>
  <si>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Jean-Louis Leca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</si>
  <si>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</si>
  <si>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Gaëtan Laborde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</si>
  <si>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Jonas Omlin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</si>
  <si>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</si>
  <si>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Amine Gouiri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</si>
  <si>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Walter Benítez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</si>
  <si>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</si>
  <si>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Farid Boulaya</t>
    </r>
    <r>
      <rPr>
        <rFont val="Verdana, sans-serif"/>
      </rPr>
      <t xml:space="preserve">, </t>
    </r>
    <r>
      <rPr>
        <rFont val="Verdana, sans-serif"/>
        <color rgb="FF1155CC"/>
        <u/>
      </rPr>
      <t>Ibrahima Niane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</si>
  <si>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Alexandre Oukidja</t>
    </r>
  </si>
  <si>
    <r>
      <rPr>
        <rFont val="Verdana, sans-serif"/>
        <color rgb="FF1155CC"/>
        <u/>
      </rPr>
      <t>Saint-Étienne</t>
    </r>
  </si>
  <si>
    <r>
      <rPr>
        <rFont val="Verdana, sans-serif"/>
        <color rgb="FF1155CC"/>
        <u/>
      </rPr>
      <t>Wahbi Khazri</t>
    </r>
    <r>
      <rPr>
        <rFont val="Verdana, sans-serif"/>
      </rPr>
      <t xml:space="preserve">, </t>
    </r>
    <r>
      <rPr>
        <rFont val="Verdana, sans-serif"/>
        <color rgb="FF1155CC"/>
        <u/>
      </rPr>
      <t>Denis Bouanga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</si>
  <si>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Jessy Moulin</t>
    </r>
  </si>
  <si>
    <r>
      <rPr>
        <rFont val="Verdana, sans-serif"/>
        <color rgb="FF1155CC"/>
        <u/>
      </rPr>
      <t>Bordeaux</t>
    </r>
  </si>
  <si>
    <r>
      <rPr>
        <rFont val="Verdana, sans-serif"/>
        <color rgb="FF1155CC"/>
        <u/>
      </rPr>
      <t>Hwang Ui-jo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</si>
  <si>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Benoît Costil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</si>
  <si>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</si>
  <si>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Angelo Fulgini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</si>
  <si>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Paul Bernardoni</t>
    </r>
  </si>
  <si>
    <r>
      <rPr>
        <rFont val="Verdana, sans-serif"/>
        <color rgb="FF1155CC"/>
        <u/>
      </rPr>
      <t>Reims</t>
    </r>
  </si>
  <si>
    <r>
      <rPr>
        <rFont val="Verdana, sans-serif"/>
        <color rgb="FF1155CC"/>
        <u/>
      </rPr>
      <t>Boulaye Dia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</si>
  <si>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Predrag Rajković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</si>
  <si>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</si>
  <si>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Ludovic Ajorque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</si>
  <si>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Eiji Kawashima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</si>
  <si>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</si>
  <si>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Terem Moffi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</si>
  <si>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Paul Nardi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</si>
  <si>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</si>
  <si>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Steve Mounié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</si>
  <si>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Gautier Larsonneur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</si>
  <si>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</si>
  <si>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Ludovic Blas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</si>
  <si>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Alban Lafont</t>
    </r>
  </si>
  <si>
    <r>
      <rPr>
        <rFont val="Verdana, sans-serif"/>
        <color rgb="FF1155CC"/>
        <u/>
      </rPr>
      <t>Nîmes</t>
    </r>
  </si>
  <si>
    <r>
      <rPr>
        <rFont val="Verdana, sans-serif"/>
        <color rgb="FF1155CC"/>
        <u/>
      </rPr>
      <t>Renaud Ripart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</si>
  <si>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Baptiste Reynet</t>
    </r>
  </si>
  <si>
    <r>
      <rPr>
        <rFont val="Verdana, sans-serif"/>
        <color rgb="FF1155CC"/>
        <u/>
      </rPr>
      <t>Dijon</t>
    </r>
  </si>
  <si>
    <r>
      <rPr>
        <rFont val="Verdana, sans-serif"/>
        <color rgb="FF1155CC"/>
        <u/>
      </rPr>
      <t>Mama Samba Baldé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</si>
  <si>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Anthony Racioppi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</si>
  <si>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</si>
  <si>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Kylian Mbappé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</si>
  <si>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Keylor Navas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</si>
  <si>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</si>
  <si>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Darío Benedetto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</si>
  <si>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Steve Mandanda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</si>
  <si>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</si>
  <si>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M'Baye Niang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</si>
  <si>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Edouard Mendy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</si>
  <si>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</si>
  <si>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Victor Osimhen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</si>
  <si>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Mike Maignan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</si>
  <si>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</si>
  <si>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Kasper Dolberg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</si>
  <si>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Walter Benítez</t>
    </r>
  </si>
  <si>
    <r>
      <rPr>
        <rFont val="Verdana, sans-serif"/>
        <color rgb="FF1155CC"/>
        <u/>
      </rPr>
      <t>Reims</t>
    </r>
  </si>
  <si>
    <r>
      <rPr>
        <rFont val="Verdana, sans-serif"/>
        <color rgb="FF1155CC"/>
        <u/>
      </rPr>
      <t>Boulaye Dia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</si>
  <si>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Predrag Rajković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</si>
  <si>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</si>
  <si>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Moussa Dembélé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</si>
  <si>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</si>
  <si>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</si>
  <si>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Andy Delort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</si>
  <si>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Gerónimo Rulli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</si>
  <si>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</si>
  <si>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Wissam Ben Yedder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</si>
  <si>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</si>
  <si>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</si>
  <si>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Adrien Thomasson</t>
    </r>
    <r>
      <rPr>
        <rFont val="Verdana, sans-serif"/>
      </rPr>
      <t xml:space="preserve">, </t>
    </r>
    <r>
      <rPr>
        <rFont val="Verdana, sans-serif"/>
        <color rgb="FF1155CC"/>
        <u/>
      </rPr>
      <t>Ludovic Ajorque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</si>
  <si>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</si>
  <si>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</si>
  <si>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Rachid Alioui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</si>
  <si>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Ludovic Butelle</t>
    </r>
  </si>
  <si>
    <r>
      <rPr>
        <rFont val="Verdana, sans-serif"/>
        <color rgb="FF1155CC"/>
        <u/>
      </rPr>
      <t>Bordeaux</t>
    </r>
  </si>
  <si>
    <r>
      <rPr>
        <rFont val="Verdana, sans-serif"/>
        <color rgb="FF1155CC"/>
        <u/>
      </rPr>
      <t>Jimmy Briand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</si>
  <si>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Benoît Costil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</si>
  <si>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</si>
  <si>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Moses Simon</t>
    </r>
    <r>
      <rPr>
        <rFont val="Verdana, sans-serif"/>
      </rPr>
      <t xml:space="preserve">, </t>
    </r>
    <r>
      <rPr>
        <rFont val="Verdana, sans-serif"/>
        <color rgb="FF1155CC"/>
        <u/>
      </rPr>
      <t>Ludovic Blas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</si>
  <si>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Alban Lafont</t>
    </r>
  </si>
  <si>
    <r>
      <rPr>
        <rFont val="Verdana, sans-serif"/>
        <color rgb="FF1155CC"/>
        <u/>
      </rPr>
      <t>Brest</t>
    </r>
  </si>
  <si>
    <r>
      <rPr>
        <rFont val="Verdana, sans-serif"/>
        <color rgb="FF1155CC"/>
        <u/>
      </rPr>
      <t>Irvin Cardona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</si>
  <si>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Gautier Larsonneur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</si>
  <si>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</si>
  <si>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Habib Diallo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</si>
  <si>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Alexandre Oukidja</t>
    </r>
  </si>
  <si>
    <r>
      <rPr>
        <rFont val="Verdana, sans-serif"/>
        <color rgb="FF1155CC"/>
        <u/>
      </rPr>
      <t>Dijon</t>
    </r>
  </si>
  <si>
    <r>
      <rPr>
        <rFont val="Verdana, sans-serif"/>
        <color rgb="FF1155CC"/>
        <u/>
      </rPr>
      <t>Mama Samba Baldé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</si>
  <si>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Alfred Gomis</t>
    </r>
  </si>
  <si>
    <r>
      <rPr>
        <rFont val="Verdana, sans-serif"/>
        <color rgb="FF1155CC"/>
        <u/>
      </rPr>
      <t>Saint-Étienne</t>
    </r>
  </si>
  <si>
    <r>
      <rPr>
        <rFont val="Verdana, sans-serif"/>
        <color rgb="FF1155CC"/>
        <u/>
      </rPr>
      <t>Denis Bouanga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</si>
  <si>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Stéphane Ruffier</t>
    </r>
  </si>
  <si>
    <r>
      <rPr>
        <rFont val="Verdana, sans-serif"/>
        <color rgb="FF1155CC"/>
        <u/>
      </rPr>
      <t>Nîmes</t>
    </r>
  </si>
  <si>
    <r>
      <rPr>
        <rFont val="Verdana, sans-serif"/>
        <color rgb="FF1155CC"/>
        <u/>
      </rPr>
      <t>Romain Philippoteaux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</si>
  <si>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Paul Bernardoni</t>
    </r>
  </si>
  <si>
    <r>
      <rPr>
        <rFont val="Verdana, sans-serif"/>
        <color rgb="FF1155CC"/>
        <u/>
      </rPr>
      <t>Amiens</t>
    </r>
  </si>
  <si>
    <r>
      <rPr>
        <rFont val="Verdana, sans-serif"/>
        <color rgb="FF1155CC"/>
        <u/>
      </rPr>
      <t>Serhou Guirassy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</si>
  <si>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Régis Gurtner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</si>
  <si>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</si>
  <si>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Efthimis Koulouris</t>
    </r>
    <r>
      <rPr>
        <rFont val="Verdana, sans-serif"/>
      </rPr>
      <t xml:space="preserve"> - 4</t>
    </r>
  </si>
  <si>
    <r>
      <rPr>
        <rFont val="Verdana, sans-serif"/>
        <color rgb="FF1155CC"/>
        <u/>
      </rPr>
      <t>Baptiste Reynet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</si>
  <si>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</si>
  <si>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Kylian Mbappé</t>
    </r>
    <r>
      <rPr>
        <rFont val="Verdana, sans-serif"/>
      </rPr>
      <t xml:space="preserve"> - 33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</si>
  <si>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</si>
  <si>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</si>
  <si>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Nicolas Pépé</t>
    </r>
    <r>
      <rPr>
        <rFont val="Verdana, sans-serif"/>
      </rPr>
      <t xml:space="preserve"> - 22</t>
    </r>
  </si>
  <si>
    <r>
      <rPr>
        <rFont val="Verdana, sans-serif"/>
        <color rgb="FF1155CC"/>
        <u/>
      </rPr>
      <t>Mike Maignan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</si>
  <si>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</si>
  <si>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Moussa Dembélé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</si>
  <si>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</si>
  <si>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Saint-Étienne</t>
    </r>
  </si>
  <si>
    <r>
      <rPr>
        <rFont val="Verdana, sans-serif"/>
        <color rgb="FF1155CC"/>
        <u/>
      </rPr>
      <t>Wahbi Khazri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</si>
  <si>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Stéphane Ruffier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</si>
  <si>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</si>
  <si>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Florian Thauvin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</si>
  <si>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Steve Mandanda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</si>
  <si>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</si>
  <si>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Andy Delort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</si>
  <si>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</si>
  <si>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</si>
  <si>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Allan Saint-Maximin</t>
    </r>
    <r>
      <rPr>
        <rFont val="Verdana, sans-serif"/>
      </rPr>
      <t xml:space="preserve">, </t>
    </r>
    <r>
      <rPr>
        <rFont val="Verdana, sans-serif"/>
        <color rgb="FF1155CC"/>
        <u/>
      </rPr>
      <t>Youcef Atal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</si>
  <si>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Walter Benítez</t>
    </r>
  </si>
  <si>
    <r>
      <rPr>
        <rFont val="Verdana, sans-serif"/>
        <color rgb="FF1155CC"/>
        <u/>
      </rPr>
      <t>Reims</t>
    </r>
  </si>
  <si>
    <r>
      <rPr>
        <rFont val="Verdana, sans-serif"/>
        <color rgb="FF1155CC"/>
        <u/>
      </rPr>
      <t>Remi Oudin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</si>
  <si>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Edouard Mendy</t>
    </r>
  </si>
  <si>
    <r>
      <rPr>
        <rFont val="Verdana, sans-serif"/>
        <color rgb="FF1155CC"/>
        <u/>
      </rPr>
      <t>Nîmes</t>
    </r>
  </si>
  <si>
    <r>
      <rPr>
        <rFont val="Verdana, sans-serif"/>
        <color rgb="FF1155CC"/>
        <u/>
      </rPr>
      <t>Denis Bouanga</t>
    </r>
    <r>
      <rPr>
        <rFont val="Verdana, sans-serif"/>
      </rPr>
      <t xml:space="preserve">, </t>
    </r>
    <r>
      <rPr>
        <rFont val="Verdana, sans-serif"/>
        <color rgb="FF1155CC"/>
        <u/>
      </rPr>
      <t>Renaud Ripart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</si>
  <si>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Paul Bernardoni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</si>
  <si>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</si>
  <si>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M'Baye Niang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</si>
  <si>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Tomáš Koubek</t>
    </r>
  </si>
  <si>
    <t>→ Europa League via cup win 1</t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</si>
  <si>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</si>
  <si>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Ludovic Ajorque</t>
    </r>
    <r>
      <rPr>
        <rFont val="Verdana, sans-serif"/>
      </rPr>
      <t xml:space="preserve">, </t>
    </r>
    <r>
      <rPr>
        <rFont val="Verdana, sans-serif"/>
        <color rgb="FF1155CC"/>
        <u/>
      </rPr>
      <t>Lebo Mothiba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</si>
  <si>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Matz Sels</t>
    </r>
  </si>
  <si>
    <t>→ Europa League via cup win 2</t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</si>
  <si>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</si>
  <si>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Emiliano Sala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</si>
  <si>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Ciprian Tătărușanu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</si>
  <si>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</si>
  <si>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Stéphane Bahoken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</si>
  <si>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Ludovic Butelle</t>
    </r>
  </si>
  <si>
    <r>
      <rPr>
        <rFont val="Verdana, sans-serif"/>
        <color rgb="FF1155CC"/>
        <u/>
      </rPr>
      <t>Bordeaux</t>
    </r>
  </si>
  <si>
    <r>
      <rPr>
        <rFont val="Verdana, sans-serif"/>
        <color rgb="FF1155CC"/>
        <u/>
      </rPr>
      <t>François Kamano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</si>
  <si>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Benoît Costil</t>
    </r>
  </si>
  <si>
    <r>
      <rPr>
        <rFont val="Verdana, sans-serif"/>
        <color rgb="FF1155CC"/>
        <u/>
      </rPr>
      <t>Amiens</t>
    </r>
  </si>
  <si>
    <r>
      <rPr>
        <rFont val="Verdana, sans-serif"/>
        <color rgb="FF1155CC"/>
        <u/>
      </rPr>
      <t>Moussa Konaté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</si>
  <si>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Régis Gurtner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</si>
  <si>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</si>
  <si>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Max Gradel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</si>
  <si>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Baptiste Reynet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</si>
  <si>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</si>
  <si>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Radamel Falcao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</si>
  <si>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Diego Benaglio</t>
    </r>
  </si>
  <si>
    <r>
      <rPr>
        <rFont val="Verdana, sans-serif"/>
        <color rgb="FF1155CC"/>
        <u/>
      </rPr>
      <t>Dijon</t>
    </r>
  </si>
  <si>
    <r>
      <rPr>
        <rFont val="Verdana, sans-serif"/>
        <color rgb="FF1155CC"/>
        <u/>
      </rPr>
      <t>Júlio Tavares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</si>
  <si>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Rúnar Alex Rúnarsson</t>
    </r>
  </si>
  <si>
    <r>
      <rPr>
        <rFont val="Verdana, sans-serif"/>
        <color rgb="FF1155CC"/>
        <u/>
      </rPr>
      <t>Caen</t>
    </r>
  </si>
  <si>
    <r>
      <rPr>
        <rFont val="Verdana, sans-serif"/>
        <color rgb="FF1155CC"/>
        <u/>
      </rPr>
      <t>Enzo Crivelli</t>
    </r>
    <r>
      <rPr>
        <rFont val="Verdana, sans-serif"/>
      </rPr>
      <t xml:space="preserve">, </t>
    </r>
    <r>
      <rPr>
        <rFont val="Verdana, sans-serif"/>
        <color rgb="FF1155CC"/>
        <u/>
      </rPr>
      <t>Casimir Ninga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</si>
  <si>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Brice Samba</t>
    </r>
  </si>
  <si>
    <r>
      <rPr>
        <rFont val="Verdana, sans-serif"/>
        <color rgb="FF1155CC"/>
        <u/>
      </rPr>
      <t>Guingamp</t>
    </r>
  </si>
  <si>
    <r>
      <rPr>
        <rFont val="Verdana, sans-serif"/>
        <color rgb="FF1155CC"/>
        <u/>
      </rPr>
      <t>Marcus Thuram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</si>
  <si>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Marc-Aurèle Caillard</t>
    </r>
  </si>
  <si>
    <t>Relegate</t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</si>
  <si>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</si>
  <si>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Edinson Cavani</t>
    </r>
    <r>
      <rPr>
        <rFont val="Verdana, sans-serif"/>
      </rPr>
      <t xml:space="preserve"> - 28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</si>
  <si>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</si>
  <si>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</si>
  <si>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Radamel Falcao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</si>
  <si>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Danijel Subašić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</si>
  <si>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</si>
  <si>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Memphis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</si>
  <si>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</si>
  <si>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</si>
  <si>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Florian Thauvin</t>
    </r>
    <r>
      <rPr>
        <rFont val="Verdana, sans-serif"/>
      </rPr>
      <t xml:space="preserve"> - 22</t>
    </r>
  </si>
  <si>
    <r>
      <rPr>
        <rFont val="Verdana, sans-serif"/>
        <color rgb="FF1155CC"/>
        <u/>
      </rPr>
      <t>Steve Mandanda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</si>
  <si>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</si>
  <si>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Benjamin Bourigeaud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</si>
  <si>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Tomáš Koubek</t>
    </r>
  </si>
  <si>
    <r>
      <rPr>
        <rFont val="Verdana, sans-serif"/>
        <color rgb="FF1155CC"/>
        <u/>
      </rPr>
      <t>Bordeaux</t>
    </r>
  </si>
  <si>
    <r>
      <rPr>
        <rFont val="Verdana, sans-serif"/>
        <color rgb="FF1155CC"/>
        <u/>
      </rPr>
      <t>Malcom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</si>
  <si>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Benoît Costil</t>
    </r>
  </si>
  <si>
    <t>→ Europa League via league finish 2</t>
  </si>
  <si>
    <r>
      <rPr>
        <rFont val="Verdana, sans-serif"/>
        <color rgb="FF1155CC"/>
        <u/>
      </rPr>
      <t>Saint-Étienne</t>
    </r>
  </si>
  <si>
    <r>
      <rPr>
        <rFont val="Verdana, sans-serif"/>
        <color rgb="FF1155CC"/>
        <u/>
      </rPr>
      <t>Jonathan Bamba</t>
    </r>
    <r>
      <rPr>
        <rFont val="Verdana, sans-serif"/>
      </rPr>
      <t xml:space="preserve">, </t>
    </r>
    <r>
      <rPr>
        <rFont val="Verdana, sans-serif"/>
        <color rgb="FF1155CC"/>
        <u/>
      </rPr>
      <t>Rémy Cabella</t>
    </r>
    <r>
      <rPr>
        <rFont val="Verdana, sans-serif"/>
      </rPr>
      <t>... - 7</t>
    </r>
  </si>
  <si>
    <r>
      <rPr>
        <rFont val="Verdana, sans-serif"/>
        <color rgb="FF1155CC"/>
        <u/>
      </rPr>
      <t>Stéphane Ruffier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</si>
  <si>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</si>
  <si>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Mario Balotelli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</si>
  <si>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Walter Benítez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</si>
  <si>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</si>
  <si>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Emiliano Sala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</si>
  <si>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Ciprian Tătărușanu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</si>
  <si>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</si>
  <si>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Giovanni Sio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</si>
  <si>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</si>
  <si>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u/>
      </rPr>
      <t>Dijon</t>
    </r>
  </si>
  <si>
    <r>
      <rPr>
        <rFont val="Verdana, sans-serif"/>
        <color rgb="FF1155CC"/>
        <u/>
      </rPr>
      <t>Júlio Tavares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</si>
  <si>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Baptiste Reynet</t>
    </r>
  </si>
  <si>
    <r>
      <rPr>
        <rFont val="Verdana, sans-serif"/>
        <color rgb="FF1155CC"/>
        <u/>
      </rPr>
      <t>Guingamp</t>
    </r>
  </si>
  <si>
    <r>
      <rPr>
        <rFont val="Verdana, sans-serif"/>
        <color rgb="FF1155CC"/>
        <u/>
      </rPr>
      <t>Jimmy Briand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</si>
  <si>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Karl-Johan Johnsson</t>
    </r>
  </si>
  <si>
    <r>
      <rPr>
        <rFont val="Verdana, sans-serif"/>
        <color rgb="FF1155CC"/>
        <u/>
      </rPr>
      <t>Amiens</t>
    </r>
  </si>
  <si>
    <r>
      <rPr>
        <rFont val="Verdana, sans-serif"/>
        <color rgb="FF1155CC"/>
        <u/>
      </rPr>
      <t>Moussa Konaté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</si>
  <si>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Régis Gurtner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</si>
  <si>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</si>
  <si>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Karl Toko Ekambi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</si>
  <si>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Ludovic Butelle</t>
    </r>
  </si>
  <si>
    <r>
      <rPr>
        <rFont val="Verdana, sans-serif"/>
        <color rgb="FF1155CC"/>
        <u/>
      </rPr>
      <t>Strasbourg</t>
    </r>
  </si>
  <si>
    <r>
      <rPr>
        <rFont val="Verdana, sans-serif"/>
        <color rgb="FF1155CC"/>
        <u/>
      </rPr>
      <t>Stéphane Bahoken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</si>
  <si>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Bingourou Kamara</t>
    </r>
  </si>
  <si>
    <r>
      <rPr>
        <rFont val="Verdana, sans-serif"/>
        <color rgb="FF1155CC"/>
        <u/>
      </rPr>
      <t>Caen</t>
    </r>
  </si>
  <si>
    <r>
      <rPr>
        <rFont val="Verdana, sans-serif"/>
        <color rgb="FF1155CC"/>
        <u/>
      </rPr>
      <t>Ivan Santini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</si>
  <si>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Rémy Vercoutre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</si>
  <si>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</si>
  <si>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Nicolas Pépé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</si>
  <si>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Mike Maignan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</si>
  <si>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</si>
  <si>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Max Gradel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</si>
  <si>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Alban Lafont</t>
    </r>
  </si>
  <si>
    <r>
      <rPr>
        <rFont val="Verdana, sans-serif"/>
        <color rgb="FF1155CC"/>
        <u/>
      </rPr>
      <t>Troyes</t>
    </r>
  </si>
  <si>
    <r>
      <rPr>
        <rFont val="Verdana, sans-serif"/>
        <color rgb="FF1155CC"/>
        <u/>
      </rPr>
      <t>Adama Niane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</si>
  <si>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Mamadou Samassa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</si>
  <si>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</si>
  <si>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Nolan Roux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</si>
  <si>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Eiji Kawashima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</si>
  <si>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</si>
  <si>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Radamel Falcao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</si>
  <si>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Danijel Subašić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</si>
  <si>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</si>
  <si>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Edinson Cavani</t>
    </r>
    <r>
      <rPr>
        <rFont val="Verdana, sans-serif"/>
      </rPr>
      <t xml:space="preserve"> - 35</t>
    </r>
  </si>
  <si>
    <r>
      <rPr>
        <rFont val="Verdana, sans-serif"/>
        <color rgb="FF1155CC"/>
        <u/>
      </rPr>
      <t>Kevin Trapp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</si>
  <si>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</si>
  <si>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Mario Balotelli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</si>
  <si>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Yoan Cardinale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</si>
  <si>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</si>
  <si>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Alexandre Lacazette</t>
    </r>
    <r>
      <rPr>
        <rFont val="Verdana, sans-serif"/>
      </rPr>
      <t xml:space="preserve"> - 28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</si>
  <si>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</si>
  <si>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</si>
  <si>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Bafétimbi Gomis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</si>
  <si>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Yohann Pelé</t>
    </r>
  </si>
  <si>
    <r>
      <rPr>
        <rFont val="Verdana, sans-serif"/>
        <color rgb="FF1155CC"/>
        <u/>
      </rPr>
      <t>Bordeaux</t>
    </r>
  </si>
  <si>
    <r>
      <rPr>
        <rFont val="Verdana, sans-serif"/>
        <color rgb="FF1155CC"/>
        <u/>
      </rPr>
      <t>Diego Rolán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</si>
  <si>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Cédric Carrasso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</si>
  <si>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</si>
  <si>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Emiliano Sala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</si>
  <si>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Rémy Riou</t>
    </r>
  </si>
  <si>
    <r>
      <rPr>
        <rFont val="Verdana, sans-serif"/>
        <color rgb="FF1155CC"/>
        <u/>
      </rPr>
      <t>Saint-Étienne</t>
    </r>
  </si>
  <si>
    <r>
      <rPr>
        <rFont val="Verdana, sans-serif"/>
        <color rgb="FF1155CC"/>
        <u/>
      </rPr>
      <t>Romain Hamouma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</si>
  <si>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Stéphane Ruffier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</si>
  <si>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</si>
  <si>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Giovanni Sio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</si>
  <si>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Benoît Costil</t>
    </r>
  </si>
  <si>
    <r>
      <rPr>
        <rFont val="Verdana, sans-serif"/>
        <color rgb="FF1155CC"/>
        <u/>
      </rPr>
      <t>Guingamp</t>
    </r>
  </si>
  <si>
    <r>
      <rPr>
        <rFont val="Verdana, sans-serif"/>
        <color rgb="FF1155CC"/>
        <u/>
      </rPr>
      <t>Jimmy Briand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</si>
  <si>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Karl-Johan Johnsson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</si>
  <si>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</si>
  <si>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Nicolas de Préville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</si>
  <si>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Vincent Enyeama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</si>
  <si>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</si>
  <si>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Famara Diedhiou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</si>
  <si>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Mathieu Michel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</si>
  <si>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</si>
  <si>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Martin Braithwaite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</si>
  <si>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Alban Lafont</t>
    </r>
  </si>
  <si>
    <r>
      <rPr>
        <rFont val="Verdana, sans-serif"/>
        <color rgb="FF1155CC"/>
        <u/>
      </rPr>
      <t>Metz</t>
    </r>
  </si>
  <si>
    <r>
      <rPr>
        <rFont val="Verdana, sans-serif"/>
        <color rgb="FF1155CC"/>
        <u/>
      </rPr>
      <t>Cheick Diabaté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</si>
  <si>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Thomas Didillon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</si>
  <si>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</si>
  <si>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Steve Mounié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</si>
  <si>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Laurent Pionnier</t>
    </r>
  </si>
  <si>
    <r>
      <rPr>
        <rFont val="Verdana, sans-serif"/>
        <color rgb="FF1155CC"/>
        <u/>
      </rPr>
      <t>Dijon</t>
    </r>
  </si>
  <si>
    <r>
      <rPr>
        <rFont val="Verdana, sans-serif"/>
        <color rgb="FF1155CC"/>
        <u/>
      </rPr>
      <t>Lois Diony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</si>
  <si>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Baptiste Reynet</t>
    </r>
  </si>
  <si>
    <r>
      <rPr>
        <rFont val="Verdana, sans-serif"/>
        <color rgb="FF1155CC"/>
        <u/>
      </rPr>
      <t>Caen</t>
    </r>
  </si>
  <si>
    <r>
      <rPr>
        <rFont val="Verdana, sans-serif"/>
        <color rgb="FF1155CC"/>
        <u/>
      </rPr>
      <t>Ivan Santini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</si>
  <si>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Rémy Vercoutre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</si>
  <si>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</si>
  <si>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Benjamin Moukandjo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</si>
  <si>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</si>
  <si>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u/>
      </rPr>
      <t>Nancy</t>
    </r>
  </si>
  <si>
    <r>
      <rPr>
        <rFont val="Verdana, sans-serif"/>
        <color rgb="FF1155CC"/>
        <u/>
      </rPr>
      <t>Issiar Dia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</si>
  <si>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Guy N'dy Assembé</t>
    </r>
  </si>
  <si>
    <r>
      <rPr>
        <rFont val="Verdana, sans-serif"/>
        <color rgb="FF1155CC"/>
        <u/>
      </rPr>
      <t>Bastia</t>
    </r>
  </si>
  <si>
    <r>
      <rPr>
        <rFont val="Verdana, sans-serif"/>
        <color rgb="FF1155CC"/>
        <u/>
      </rPr>
      <t>Enzo Crivelli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</si>
  <si>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Jean-Louis Leca</t>
    </r>
  </si>
  <si>
    <r>
      <rPr>
        <rFont val="Verdana, sans-serif"/>
        <color rgb="FF1155CC"/>
        <u/>
      </rPr>
      <t>Paris S-G</t>
    </r>
  </si>
  <si>
    <r>
      <rPr>
        <rFont val="Verdana, sans-serif"/>
        <color rgb="FF1155CC"/>
        <u/>
      </rPr>
      <t>Zlatan Ibrahimović</t>
    </r>
    <r>
      <rPr>
        <rFont val="Verdana, sans-serif"/>
      </rPr>
      <t xml:space="preserve"> - 38</t>
    </r>
  </si>
  <si>
    <r>
      <rPr>
        <rFont val="Verdana, sans-serif"/>
        <color rgb="FF1155CC"/>
        <u/>
      </rPr>
      <t>Kevin Trapp</t>
    </r>
  </si>
  <si>
    <r>
      <rPr>
        <rFont val="Verdana, sans-serif"/>
        <color rgb="FF1155CC"/>
        <u/>
      </rPr>
      <t>Lyon</t>
    </r>
  </si>
  <si>
    <r>
      <rPr>
        <rFont val="Verdana, sans-serif"/>
        <color rgb="FF1155CC"/>
        <u/>
      </rPr>
      <t>Alexandre Lacazette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</si>
  <si>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Anthony Lopes</t>
    </r>
  </si>
  <si>
    <r>
      <rPr>
        <rFont val="Verdana, sans-serif"/>
        <color rgb="FF1155CC"/>
        <u/>
      </rPr>
      <t>Monaco</t>
    </r>
  </si>
  <si>
    <r>
      <rPr>
        <rFont val="Verdana, sans-serif"/>
        <color rgb="FF1155CC"/>
        <u/>
      </rPr>
      <t>Bernardo Silva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</si>
  <si>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Danijel Subašić</t>
    </r>
  </si>
  <si>
    <r>
      <rPr>
        <rFont val="Verdana, sans-serif"/>
        <color rgb="FF1155CC"/>
        <u/>
      </rPr>
      <t>Nice</t>
    </r>
  </si>
  <si>
    <r>
      <rPr>
        <rFont val="Verdana, sans-serif"/>
        <color rgb="FF1155CC"/>
        <u/>
      </rPr>
      <t>Hatem Ben Arfa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</si>
  <si>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Yoan Cardinale</t>
    </r>
  </si>
  <si>
    <r>
      <rPr>
        <rFont val="Verdana, sans-serif"/>
        <color rgb="FF1155CC"/>
        <u/>
      </rPr>
      <t>Lille</t>
    </r>
  </si>
  <si>
    <r>
      <rPr>
        <rFont val="Verdana, sans-serif"/>
        <color rgb="FF1155CC"/>
        <u/>
      </rPr>
      <t>Sofiane Boufal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</si>
  <si>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Vincent Enyeama</t>
    </r>
  </si>
  <si>
    <r>
      <rPr>
        <rFont val="Verdana, sans-serif"/>
        <color rgb="FF1155CC"/>
        <u/>
      </rPr>
      <t>Saint-Étienne</t>
    </r>
  </si>
  <si>
    <r>
      <rPr>
        <rFont val="Verdana, sans-serif"/>
        <color rgb="FF1155CC"/>
        <u/>
      </rPr>
      <t>Nolan Roux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</si>
  <si>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Stéphane Ruffier</t>
    </r>
  </si>
  <si>
    <r>
      <rPr>
        <rFont val="Verdana, sans-serif"/>
        <color rgb="FF1155CC"/>
        <u/>
      </rPr>
      <t>Caen</t>
    </r>
  </si>
  <si>
    <r>
      <rPr>
        <rFont val="Verdana, sans-serif"/>
        <color rgb="FF1155CC"/>
        <u/>
      </rPr>
      <t>Andy Delort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</si>
  <si>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Rémy Vercoutre</t>
    </r>
  </si>
  <si>
    <r>
      <rPr>
        <rFont val="Verdana, sans-serif"/>
        <color rgb="FF1155CC"/>
        <u/>
      </rPr>
      <t>Rennes</t>
    </r>
  </si>
  <si>
    <r>
      <rPr>
        <rFont val="Verdana, sans-serif"/>
        <color rgb="FF1155CC"/>
        <u/>
      </rPr>
      <t>Ousmane Dembélé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</si>
  <si>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Benoît Costil</t>
    </r>
  </si>
  <si>
    <r>
      <rPr>
        <rFont val="Verdana, sans-serif"/>
        <color rgb="FF1155CC"/>
        <u/>
      </rPr>
      <t>Angers</t>
    </r>
  </si>
  <si>
    <r>
      <rPr>
        <rFont val="Verdana, sans-serif"/>
        <color rgb="FF1155CC"/>
        <u/>
      </rPr>
      <t>Cheikh N'Doye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</si>
  <si>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Ludovic Butelle</t>
    </r>
  </si>
  <si>
    <r>
      <rPr>
        <rFont val="Verdana, sans-serif"/>
        <color rgb="FF1155CC"/>
        <u/>
      </rPr>
      <t>Bastia</t>
    </r>
  </si>
  <si>
    <r>
      <rPr>
        <rFont val="Verdana, sans-serif"/>
        <color rgb="FF1155CC"/>
        <u/>
      </rPr>
      <t>Floyd Ayité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</si>
  <si>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Jean-Louis Leca</t>
    </r>
  </si>
  <si>
    <r>
      <rPr>
        <rFont val="Verdana, sans-serif"/>
        <color rgb="FF1155CC"/>
        <u/>
      </rPr>
      <t>Bordeaux</t>
    </r>
  </si>
  <si>
    <r>
      <rPr>
        <rFont val="Verdana, sans-serif"/>
        <color rgb="FF1155CC"/>
        <u/>
      </rPr>
      <t>Cheick Diabaté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</si>
  <si>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Cédric Carrasso</t>
    </r>
  </si>
  <si>
    <r>
      <rPr>
        <rFont val="Verdana, sans-serif"/>
        <color rgb="FF1155CC"/>
        <u/>
      </rPr>
      <t>Montpellier</t>
    </r>
  </si>
  <si>
    <r>
      <rPr>
        <rFont val="Verdana, sans-serif"/>
        <color rgb="FF1155CC"/>
        <u/>
      </rPr>
      <t>Souleymane Camara</t>
    </r>
    <r>
      <rPr>
        <rFont val="Verdana, sans-serif"/>
      </rPr>
      <t xml:space="preserve">, </t>
    </r>
    <r>
      <rPr>
        <rFont val="Verdana, sans-serif"/>
        <color rgb="FF1155CC"/>
        <u/>
      </rPr>
      <t>Casimir Ninga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</si>
  <si>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Laurent Pionnier</t>
    </r>
  </si>
  <si>
    <r>
      <rPr>
        <rFont val="Verdana, sans-serif"/>
        <color rgb="FF1155CC"/>
        <u/>
      </rPr>
      <t>Marseille</t>
    </r>
  </si>
  <si>
    <r>
      <rPr>
        <rFont val="Verdana, sans-serif"/>
        <color rgb="FF1155CC"/>
        <u/>
      </rPr>
      <t>Michy Batshuayi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</si>
  <si>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Steve Mandanda</t>
    </r>
  </si>
  <si>
    <r>
      <rPr>
        <rFont val="Verdana, sans-serif"/>
        <color rgb="FF1155CC"/>
        <u/>
      </rPr>
      <t>Nantes</t>
    </r>
  </si>
  <si>
    <r>
      <rPr>
        <rFont val="Verdana, sans-serif"/>
        <color rgb="FF1155CC"/>
        <u/>
      </rPr>
      <t>Emiliano Sala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</si>
  <si>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Rémy Riou</t>
    </r>
  </si>
  <si>
    <r>
      <rPr>
        <rFont val="Verdana, sans-serif"/>
        <color rgb="FF1155CC"/>
        <u/>
      </rPr>
      <t>Lorient</t>
    </r>
  </si>
  <si>
    <r>
      <rPr>
        <rFont val="Verdana, sans-serif"/>
        <color rgb="FF1155CC"/>
        <u/>
      </rPr>
      <t>Benjamin Moukandjo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</si>
  <si>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Benjamin Lecomte</t>
    </r>
  </si>
  <si>
    <r>
      <rPr>
        <rFont val="Verdana, sans-serif"/>
        <color rgb="FF1155CC"/>
        <u/>
      </rPr>
      <t>Guingamp</t>
    </r>
  </si>
  <si>
    <r>
      <rPr>
        <rFont val="Verdana, sans-serif"/>
        <color rgb="FF1155CC"/>
        <u/>
      </rPr>
      <t>Jimmy Briand</t>
    </r>
    <r>
      <rPr>
        <rFont val="Verdana, sans-serif"/>
      </rPr>
      <t xml:space="preserve">, </t>
    </r>
    <r>
      <rPr>
        <rFont val="Verdana, sans-serif"/>
        <color rgb="FF1155CC"/>
        <u/>
      </rPr>
      <t>Yannis Salibur</t>
    </r>
    <r>
      <rPr>
        <rFont val="Verdana, sans-serif"/>
      </rPr>
      <t>... - 7</t>
    </r>
  </si>
  <si>
    <r>
      <rPr>
        <rFont val="Verdana, sans-serif"/>
        <color rgb="FF1155CC"/>
        <u/>
      </rPr>
      <t>Jonas Lössl</t>
    </r>
  </si>
  <si>
    <r>
      <rPr>
        <rFont val="Verdana, sans-serif"/>
        <color rgb="FF1155CC"/>
        <u/>
      </rPr>
      <t>Toulouse</t>
    </r>
  </si>
  <si>
    <r>
      <rPr>
        <rFont val="Verdana, sans-serif"/>
        <color rgb="FF1155CC"/>
        <u/>
      </rPr>
      <t>Wissam Ben Yedder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</si>
  <si>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Alban Lafont</t>
    </r>
  </si>
  <si>
    <r>
      <rPr>
        <rFont val="Verdana, sans-serif"/>
        <color rgb="FF1155CC"/>
        <u/>
      </rPr>
      <t>Reims</t>
    </r>
  </si>
  <si>
    <r>
      <rPr>
        <rFont val="Verdana, sans-serif"/>
        <color rgb="FF1155CC"/>
        <u/>
      </rPr>
      <t>Nicolas de Préville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</si>
  <si>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Johny Placide</t>
    </r>
  </si>
  <si>
    <r>
      <rPr>
        <rFont val="Verdana, sans-serif"/>
        <color rgb="FF1155CC"/>
        <u/>
      </rPr>
      <t>Gazélec Ajaccio</t>
    </r>
  </si>
  <si>
    <r>
      <rPr>
        <rFont val="Verdana, sans-serif"/>
        <color rgb="FF1155CC"/>
        <u/>
      </rPr>
      <t>Mohamed Larbi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</si>
  <si>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Clément Maury</t>
    </r>
  </si>
  <si>
    <r>
      <rPr>
        <rFont val="Verdana, sans-serif"/>
        <color rgb="FF1155CC"/>
        <u/>
      </rPr>
      <t>Troyes</t>
    </r>
  </si>
  <si>
    <r>
      <rPr>
        <rFont val="Verdana, sans-serif"/>
        <color rgb="FF1155CC"/>
        <u/>
      </rPr>
      <t>Fabien Camus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</si>
  <si>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Matthieu Dreyer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</si>
  <si>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</si>
  <si>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Mohamed Salah</t>
    </r>
    <r>
      <rPr>
        <rFont val="Verdana, sans-serif"/>
      </rPr>
      <t xml:space="preserve"> - 29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</si>
  <si>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</si>
  <si>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</si>
  <si>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Kai Havertz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</si>
  <si>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</si>
  <si>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</si>
  <si>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Erling Haaland</t>
    </r>
    <r>
      <rPr>
        <rFont val="Verdana, sans-serif"/>
      </rPr>
      <t xml:space="preserve"> - 22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</si>
  <si>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</si>
  <si>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</si>
  <si>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Cole Palmer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</si>
  <si>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</si>
  <si>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</si>
  <si>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Alexander Isak</t>
    </r>
    <r>
      <rPr>
        <rFont val="Verdana, sans-serif"/>
      </rPr>
      <t xml:space="preserve"> - 23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</si>
  <si>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</si>
  <si>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</si>
  <si>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Ollie Watkins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</si>
  <si>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</si>
  <si>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</si>
  <si>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Chris Wood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</si>
  <si>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Matz Sels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</si>
  <si>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</si>
  <si>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Danny Welbeck</t>
    </r>
    <r>
      <rPr>
        <rFont val="Verdana, sans-serif"/>
      </rPr>
      <t xml:space="preserve">, </t>
    </r>
    <r>
      <rPr>
        <rFont val="Verdana, sans-serif"/>
        <color rgb="FF1155CC"/>
        <u/>
      </rPr>
      <t>Kaoru Mitoma</t>
    </r>
    <r>
      <rPr>
        <rFont val="Verdana, sans-serif"/>
      </rPr>
      <t>... - 10</t>
    </r>
  </si>
  <si>
    <r>
      <rPr>
        <rFont val="Verdana, sans-serif"/>
        <color rgb="FF1155CC"/>
        <u/>
      </rPr>
      <t>Bart Verbruggen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</si>
  <si>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</si>
  <si>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Justin Kluivert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</si>
  <si>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</si>
  <si>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</si>
  <si>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Bryan Mbeumo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</si>
  <si>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Mark Flekken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</si>
  <si>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</si>
  <si>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Raúl Jiménez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</si>
  <si>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</si>
  <si>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</si>
  <si>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Jean-Philippe Mateta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</si>
  <si>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Dean Henderson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</si>
  <si>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</si>
  <si>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Iliman Ndiaye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</si>
  <si>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</si>
  <si>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</si>
  <si>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Jarrod Bowen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</si>
  <si>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</si>
  <si>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</si>
  <si>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Bruno Fernandes</t>
    </r>
    <r>
      <rPr>
        <rFont val="Verdana, sans-serif"/>
      </rPr>
      <t xml:space="preserve">, </t>
    </r>
    <r>
      <rPr>
        <rFont val="Verdana, sans-serif"/>
        <color rgb="FF1155CC"/>
        <u/>
      </rPr>
      <t>Amad Diallo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</si>
  <si>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André Onana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</si>
  <si>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</si>
  <si>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Matheus Cunha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</si>
  <si>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</si>
  <si>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</si>
  <si>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Brennan Johnson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</si>
  <si>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Guglielmo Vicario</t>
    </r>
  </si>
  <si>
    <t>→ Champions League</t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</si>
  <si>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</si>
  <si>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Jamie Vardy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</si>
  <si>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Mads Hermansen</t>
    </r>
  </si>
  <si>
    <r>
      <rPr>
        <rFont val="Verdana, sans-serif"/>
        <color rgb="FF1155CC"/>
        <u/>
      </rPr>
      <t>Ipswich Town</t>
    </r>
  </si>
  <si>
    <r>
      <rPr>
        <rFont val="Verdana, sans-serif"/>
        <color rgb="FF1155CC"/>
        <u/>
      </rPr>
      <t>Liam Delap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</si>
  <si>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Arijanet Muric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</si>
  <si>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</si>
  <si>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Paul Onuachu</t>
    </r>
    <r>
      <rPr>
        <rFont val="Verdana, sans-serif"/>
      </rPr>
      <t xml:space="preserve"> - 4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</si>
  <si>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</si>
  <si>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</si>
  <si>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Erling Haaland</t>
    </r>
    <r>
      <rPr>
        <rFont val="Verdana, sans-serif"/>
      </rPr>
      <t xml:space="preserve"> - 27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</si>
  <si>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</si>
  <si>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</si>
  <si>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Bukayo Saka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</si>
  <si>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</si>
  <si>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</si>
  <si>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Mohamed Salah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</si>
  <si>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</si>
  <si>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</si>
  <si>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Ollie Watkins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</si>
  <si>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</si>
  <si>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</si>
  <si>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Son Heung-min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</si>
  <si>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Guglielmo Vicario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</si>
  <si>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</si>
  <si>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Cole Palmer</t>
    </r>
    <r>
      <rPr>
        <rFont val="Verdana, sans-serif"/>
      </rPr>
      <t xml:space="preserve"> - 22</t>
    </r>
  </si>
  <si>
    <r>
      <rPr>
        <rFont val="Verdana, sans-serif"/>
        <color rgb="FF1155CC"/>
        <u/>
      </rPr>
      <t>Đorđe Petrović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</si>
  <si>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</si>
  <si>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Alexander Isak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</si>
  <si>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</si>
  <si>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</si>
  <si>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Rasmus Højlund</t>
    </r>
    <r>
      <rPr>
        <rFont val="Verdana, sans-serif"/>
      </rPr>
      <t xml:space="preserve">, </t>
    </r>
    <r>
      <rPr>
        <rFont val="Verdana, sans-serif"/>
        <color rgb="FF1155CC"/>
        <u/>
      </rPr>
      <t>Bruno Fernandes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</si>
  <si>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André Onana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</si>
  <si>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</si>
  <si>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Jarrod Bowen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</si>
  <si>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</si>
  <si>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</si>
  <si>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Jean-Philippe Mateta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</si>
  <si>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Sam Johnstone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</si>
  <si>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</si>
  <si>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João Pedro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</si>
  <si>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Bart Verbruggen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</si>
  <si>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</si>
  <si>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Dominic Solanke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</si>
  <si>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Neto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</si>
  <si>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</si>
  <si>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Rodrigo Muniz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</si>
  <si>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</si>
  <si>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</si>
  <si>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Hwang Hee-chan</t>
    </r>
    <r>
      <rPr>
        <rFont val="Verdana, sans-serif"/>
      </rPr>
      <t xml:space="preserve">, </t>
    </r>
    <r>
      <rPr>
        <rFont val="Verdana, sans-serif"/>
        <color rgb="FF1155CC"/>
        <u/>
      </rPr>
      <t>Matheus Cunha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</si>
  <si>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</si>
  <si>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</si>
  <si>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Abdoulaye Doucouré</t>
    </r>
    <r>
      <rPr>
        <rFont val="Verdana, sans-serif"/>
      </rPr>
      <t xml:space="preserve">, </t>
    </r>
    <r>
      <rPr>
        <rFont val="Verdana, sans-serif"/>
        <color rgb="FF1155CC"/>
        <u/>
      </rPr>
      <t>Dominic Calvert-Lewin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</si>
  <si>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Jordan Pickford</t>
    </r>
  </si>
  <si>
    <t>8-point deduction 1</t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</si>
  <si>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</si>
  <si>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Yoane Wissa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</si>
  <si>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Mark Flekken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</si>
  <si>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</si>
  <si>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Chris Wood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</si>
  <si>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Matt Turner</t>
    </r>
  </si>
  <si>
    <t>4-point deduction 2</t>
  </si>
  <si>
    <r>
      <rPr>
        <rFont val="Verdana, sans-serif"/>
        <color rgb="FF1155CC"/>
        <u/>
      </rPr>
      <t>Luton Town</t>
    </r>
  </si>
  <si>
    <r>
      <rPr>
        <rFont val="Verdana, sans-serif"/>
        <color rgb="FF1155CC"/>
        <u/>
      </rPr>
      <t>Carlton Morris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</si>
  <si>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Thomas Kaminski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</si>
  <si>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</si>
  <si>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Jacob Bruun Larsen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</si>
  <si>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James Trafford</t>
    </r>
  </si>
  <si>
    <r>
      <rPr>
        <rFont val="Verdana, sans-serif"/>
        <color rgb="FF1155CC"/>
        <u/>
      </rPr>
      <t>Sheffield Utd</t>
    </r>
  </si>
  <si>
    <r>
      <rPr>
        <rFont val="Verdana, sans-serif"/>
        <color rgb="FF1155CC"/>
        <u/>
      </rPr>
      <t>Oliver McBurnie</t>
    </r>
    <r>
      <rPr>
        <rFont val="Verdana, sans-serif"/>
      </rPr>
      <t xml:space="preserve">, </t>
    </r>
    <r>
      <rPr>
        <rFont val="Verdana, sans-serif"/>
        <color rgb="FF1155CC"/>
        <u/>
      </rPr>
      <t>Ben Brereton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</si>
  <si>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Wes Foderingham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</si>
  <si>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</si>
  <si>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Erling Haaland</t>
    </r>
    <r>
      <rPr>
        <rFont val="Verdana, sans-serif"/>
      </rPr>
      <t xml:space="preserve"> - 36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</si>
  <si>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</si>
  <si>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</si>
  <si>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Martin Ødegaard</t>
    </r>
    <r>
      <rPr>
        <rFont val="Verdana, sans-serif"/>
      </rPr>
      <t xml:space="preserve">, </t>
    </r>
    <r>
      <rPr>
        <rFont val="Verdana, sans-serif"/>
        <color rgb="FF1155CC"/>
        <u/>
      </rPr>
      <t>Gabriel Martinelli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</si>
  <si>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</si>
  <si>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</si>
  <si>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Marcus Rashford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</si>
  <si>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David de Gea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</si>
  <si>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</si>
  <si>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Callum Wilson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</si>
  <si>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</si>
  <si>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</si>
  <si>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Mohamed Salah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</si>
  <si>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</si>
  <si>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</si>
  <si>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Alexis Mac Allister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</si>
  <si>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</si>
  <si>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</si>
  <si>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Ollie Watkins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</si>
  <si>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</si>
  <si>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</si>
  <si>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Harry Kane</t>
    </r>
    <r>
      <rPr>
        <rFont val="Verdana, sans-serif"/>
      </rPr>
      <t xml:space="preserve"> - 30</t>
    </r>
  </si>
  <si>
    <r>
      <rPr>
        <rFont val="Verdana, sans-serif"/>
        <color rgb="FF1155CC"/>
        <u/>
      </rPr>
      <t>Hugo Lloris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</si>
  <si>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</si>
  <si>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Ivan Toney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</si>
  <si>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</si>
  <si>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</si>
  <si>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Aleksandar Mitrović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</si>
  <si>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</si>
  <si>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</si>
  <si>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Eberechi Eze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</si>
  <si>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Vicente Guaita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</si>
  <si>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</si>
  <si>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Kai Havertz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</si>
  <si>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</si>
  <si>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</si>
  <si>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Rúben Neves</t>
    </r>
    <r>
      <rPr>
        <rFont val="Verdana, sans-serif"/>
      </rPr>
      <t xml:space="preserve">, </t>
    </r>
    <r>
      <rPr>
        <rFont val="Verdana, sans-serif"/>
        <color rgb="FF1155CC"/>
        <u/>
      </rPr>
      <t>Daniel Podence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</si>
  <si>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</si>
  <si>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</si>
  <si>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Saïd Benrahma</t>
    </r>
    <r>
      <rPr>
        <rFont val="Verdana, sans-serif"/>
      </rPr>
      <t xml:space="preserve">, </t>
    </r>
    <r>
      <rPr>
        <rFont val="Verdana, sans-serif"/>
        <color rgb="FF1155CC"/>
        <u/>
      </rPr>
      <t>Jarrod Bowen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</si>
  <si>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</si>
  <si>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</si>
  <si>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Philip Billing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</si>
  <si>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Neto</t>
    </r>
  </si>
  <si>
    <r>
      <rPr>
        <rFont val="Verdana, sans-serif"/>
        <color rgb="FF1155CC"/>
        <u/>
      </rPr>
      <t>Nott'ham Forest</t>
    </r>
  </si>
  <si>
    <r>
      <rPr>
        <rFont val="Verdana, sans-serif"/>
        <color rgb="FF1155CC"/>
        <u/>
      </rPr>
      <t>Taiwo Awoniyi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</si>
  <si>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Dean Henderson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</si>
  <si>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</si>
  <si>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Dwight McNeil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</si>
  <si>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</si>
  <si>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</si>
  <si>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Harvey Barnes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</si>
  <si>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Danny Ward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</si>
  <si>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</si>
  <si>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Rodrigo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</si>
  <si>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Illan Meslier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</si>
  <si>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</si>
  <si>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James Ward-Prowse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</si>
  <si>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Gavin Bazunu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</si>
  <si>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</si>
  <si>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Kevin De Bruyne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</si>
  <si>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</si>
  <si>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</si>
  <si>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Mohamed Salah</t>
    </r>
    <r>
      <rPr>
        <rFont val="Verdana, sans-serif"/>
      </rPr>
      <t xml:space="preserve"> - 23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</si>
  <si>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</si>
  <si>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</si>
  <si>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Mason Mount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</si>
  <si>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Edouard Mendy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</si>
  <si>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</si>
  <si>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Son Heung-min</t>
    </r>
    <r>
      <rPr>
        <rFont val="Verdana, sans-serif"/>
      </rPr>
      <t xml:space="preserve"> - 23</t>
    </r>
  </si>
  <si>
    <r>
      <rPr>
        <rFont val="Verdana, sans-serif"/>
        <color rgb="FF1155CC"/>
        <u/>
      </rPr>
      <t>Hugo Lloris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</si>
  <si>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</si>
  <si>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Bukayo Saka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</si>
  <si>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</si>
  <si>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</si>
  <si>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Cristiano Ronaldo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</si>
  <si>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David de Gea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</si>
  <si>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</si>
  <si>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Jarrod Bowen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</si>
  <si>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</si>
  <si>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</si>
  <si>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Jamie Vardy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</si>
  <si>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Kasper Schmeichel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</si>
  <si>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</si>
  <si>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Leandro Trossard</t>
    </r>
    <r>
      <rPr>
        <rFont val="Verdana, sans-serif"/>
      </rPr>
      <t xml:space="preserve">, </t>
    </r>
    <r>
      <rPr>
        <rFont val="Verdana, sans-serif"/>
        <color rgb="FF1155CC"/>
        <u/>
      </rPr>
      <t>Neal Maupay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</si>
  <si>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</si>
  <si>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</si>
  <si>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Raúl Jiménez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</si>
  <si>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José Sá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</si>
  <si>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</si>
  <si>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Callum Wilson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</si>
  <si>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</si>
  <si>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</si>
  <si>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Wilfried Zaha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</si>
  <si>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Vicente Guaita</t>
    </r>
  </si>
  <si>
    <r>
      <rPr>
        <rFont val="Verdana, sans-serif"/>
        <color rgb="FF1155CC"/>
        <u/>
      </rPr>
      <t>Brentford</t>
    </r>
  </si>
  <si>
    <r>
      <rPr>
        <rFont val="Verdana, sans-serif"/>
        <color rgb="FF1155CC"/>
        <u/>
      </rPr>
      <t>Ivan Toney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</si>
  <si>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David Raya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</si>
  <si>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</si>
  <si>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Ollie Watkins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</si>
  <si>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</si>
  <si>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</si>
  <si>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James Ward-Prowse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</si>
  <si>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Fraser Forster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</si>
  <si>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</si>
  <si>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Richarlison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</si>
  <si>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</si>
  <si>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</si>
  <si>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Raphinha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</si>
  <si>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Illan Meslier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</si>
  <si>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</si>
  <si>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Maxwel Cornet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</si>
  <si>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</si>
  <si>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u/>
      </rPr>
      <t>Watford</t>
    </r>
  </si>
  <si>
    <r>
      <rPr>
        <rFont val="Verdana, sans-serif"/>
        <color rgb="FF1155CC"/>
        <u/>
      </rPr>
      <t>Emmanuel Dennis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</si>
  <si>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Ben Foster</t>
    </r>
  </si>
  <si>
    <r>
      <rPr>
        <rFont val="Verdana, sans-serif"/>
        <color rgb="FF1155CC"/>
        <u/>
      </rPr>
      <t>Norwich City</t>
    </r>
  </si>
  <si>
    <r>
      <rPr>
        <rFont val="Verdana, sans-serif"/>
        <color rgb="FF1155CC"/>
        <u/>
      </rPr>
      <t>Teemu Pukki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</si>
  <si>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Tim Krul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</si>
  <si>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</si>
  <si>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İlkay Gündoğan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</si>
  <si>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</si>
  <si>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</si>
  <si>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Bruno Fernandes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</si>
  <si>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David de Gea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</si>
  <si>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</si>
  <si>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Mohamed Salah</t>
    </r>
    <r>
      <rPr>
        <rFont val="Verdana, sans-serif"/>
      </rPr>
      <t xml:space="preserve"> - 22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</si>
  <si>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</si>
  <si>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</si>
  <si>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Jorginho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</si>
  <si>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Edouard Mendy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</si>
  <si>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</si>
  <si>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Jamie Vardy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</si>
  <si>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Kasper Schmeichel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</si>
  <si>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</si>
  <si>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Michail Antonio</t>
    </r>
    <r>
      <rPr>
        <rFont val="Verdana, sans-serif"/>
      </rPr>
      <t xml:space="preserve">, </t>
    </r>
    <r>
      <rPr>
        <rFont val="Verdana, sans-serif"/>
        <color rgb="FF1155CC"/>
        <u/>
      </rPr>
      <t>Tomáš Souček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</si>
  <si>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</si>
  <si>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</si>
  <si>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Harry Kane</t>
    </r>
    <r>
      <rPr>
        <rFont val="Verdana, sans-serif"/>
      </rPr>
      <t xml:space="preserve"> - 23</t>
    </r>
  </si>
  <si>
    <r>
      <rPr>
        <rFont val="Verdana, sans-serif"/>
        <color rgb="FF1155CC"/>
        <u/>
      </rPr>
      <t>Hugo Lloris</t>
    </r>
  </si>
  <si>
    <t>→ Europa Conference League via league finish 1</t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</si>
  <si>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</si>
  <si>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Alexandre Lacazette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</si>
  <si>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</si>
  <si>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u/>
      </rPr>
      <t>Leeds United</t>
    </r>
  </si>
  <si>
    <r>
      <rPr>
        <rFont val="Verdana, sans-serif"/>
        <color rgb="FF1155CC"/>
        <u/>
      </rPr>
      <t>Patrick Bamford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</si>
  <si>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Illan Meslier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</si>
  <si>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</si>
  <si>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Dominic Calvert-Lewin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</si>
  <si>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</si>
  <si>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</si>
  <si>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Ollie Watkins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</si>
  <si>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Emiliano Martínez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</si>
  <si>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</si>
  <si>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Callum Wilson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</si>
  <si>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Karl Darlow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</si>
  <si>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</si>
  <si>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Rúben Neves</t>
    </r>
    <r>
      <rPr>
        <rFont val="Verdana, sans-serif"/>
      </rPr>
      <t xml:space="preserve">, </t>
    </r>
    <r>
      <rPr>
        <rFont val="Verdana, sans-serif"/>
        <color rgb="FF1155CC"/>
        <u/>
      </rPr>
      <t>Pedro Neto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</si>
  <si>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Rui Patrício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</si>
  <si>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</si>
  <si>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Wilfried Zaha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</si>
  <si>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Vicente Guaita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</si>
  <si>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</si>
  <si>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Danny Ings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</si>
  <si>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Alex McCarthy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</si>
  <si>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</si>
  <si>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Neal Maupay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</si>
  <si>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Robert Sánchez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</si>
  <si>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</si>
  <si>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Chris Wood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</si>
  <si>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</si>
  <si>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</si>
  <si>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Bobby De Cordova-Reid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</si>
  <si>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Alphonse Areola</t>
    </r>
  </si>
  <si>
    <r>
      <rPr>
        <rFont val="Verdana, sans-serif"/>
        <color rgb="FF1155CC"/>
        <u/>
      </rPr>
      <t>West Brom</t>
    </r>
  </si>
  <si>
    <r>
      <rPr>
        <rFont val="Verdana, sans-serif"/>
        <color rgb="FF1155CC"/>
        <u/>
      </rPr>
      <t>Matheus Pereira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</si>
  <si>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Sam Johnstone</t>
    </r>
  </si>
  <si>
    <r>
      <rPr>
        <rFont val="Verdana, sans-serif"/>
        <color rgb="FF1155CC"/>
        <u/>
      </rPr>
      <t>Sheffield Utd</t>
    </r>
  </si>
  <si>
    <r>
      <rPr>
        <rFont val="Verdana, sans-serif"/>
        <color rgb="FF1155CC"/>
        <u/>
      </rPr>
      <t>David McGoldrick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</si>
  <si>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Aaron Ramsdale</t>
    </r>
  </si>
  <si>
    <t xml:space="preserve">Year </t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</si>
  <si>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</si>
  <si>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Mohamed Salah</t>
    </r>
    <r>
      <rPr>
        <rFont val="Verdana, sans-serif"/>
      </rPr>
      <t xml:space="preserve"> - 19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</si>
  <si>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</si>
  <si>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</si>
  <si>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Raheem Sterling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</si>
  <si>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</si>
  <si>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</si>
  <si>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Anthony Martial</t>
    </r>
    <r>
      <rPr>
        <rFont val="Verdana, sans-serif"/>
      </rPr>
      <t xml:space="preserve">, </t>
    </r>
    <r>
      <rPr>
        <rFont val="Verdana, sans-serif"/>
        <color rgb="FF1155CC"/>
        <u/>
      </rPr>
      <t>Marcus Rashford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</si>
  <si>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David de Gea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</si>
  <si>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</si>
  <si>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Tammy Abraham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</si>
  <si>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</si>
  <si>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</si>
  <si>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Jamie Vardy</t>
    </r>
    <r>
      <rPr>
        <rFont val="Verdana, sans-serif"/>
      </rPr>
      <t xml:space="preserve"> - 23</t>
    </r>
  </si>
  <si>
    <r>
      <rPr>
        <rFont val="Verdana, sans-serif"/>
        <color rgb="FF1155CC"/>
        <u/>
      </rPr>
      <t>Kasper Schmeichel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</si>
  <si>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</si>
  <si>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Harry Kane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</si>
  <si>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Hugo Lloris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</si>
  <si>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</si>
  <si>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Raúl Jiménez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</si>
  <si>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Rui Patrício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</si>
  <si>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</si>
  <si>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Pierre-Emerick Aubameyang</t>
    </r>
    <r>
      <rPr>
        <rFont val="Verdana, sans-serif"/>
      </rPr>
      <t xml:space="preserve"> - 22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</si>
  <si>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</si>
  <si>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u/>
      </rPr>
      <t>Sheffield Utd</t>
    </r>
  </si>
  <si>
    <r>
      <rPr>
        <rFont val="Verdana, sans-serif"/>
        <color rgb="FF1155CC"/>
        <u/>
      </rPr>
      <t>Lys Mousset</t>
    </r>
    <r>
      <rPr>
        <rFont val="Verdana, sans-serif"/>
      </rPr>
      <t xml:space="preserve">, </t>
    </r>
    <r>
      <rPr>
        <rFont val="Verdana, sans-serif"/>
        <color rgb="FF1155CC"/>
        <u/>
      </rPr>
      <t>Oliver McBurnie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</si>
  <si>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Dean Henderson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</si>
  <si>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</si>
  <si>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Chris Wood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</si>
  <si>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</si>
  <si>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</si>
  <si>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Danny Ings</t>
    </r>
    <r>
      <rPr>
        <rFont val="Verdana, sans-serif"/>
      </rPr>
      <t xml:space="preserve"> - 22</t>
    </r>
  </si>
  <si>
    <r>
      <rPr>
        <rFont val="Verdana, sans-serif"/>
        <color rgb="FF1155CC"/>
        <u/>
      </rPr>
      <t>Alex McCarthy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</si>
  <si>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</si>
  <si>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Dominic Calvert-Lewin</t>
    </r>
    <r>
      <rPr>
        <rFont val="Verdana, sans-serif"/>
      </rPr>
      <t xml:space="preserve">, </t>
    </r>
    <r>
      <rPr>
        <rFont val="Verdana, sans-serif"/>
        <color rgb="FF1155CC"/>
        <u/>
      </rPr>
      <t>Richarlison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</si>
  <si>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</si>
  <si>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</si>
  <si>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Jonjo Shelvey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</si>
  <si>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</si>
  <si>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</si>
  <si>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Jordan Ayew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</si>
  <si>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Vicente Guaita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</si>
  <si>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</si>
  <si>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Neal Maupay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</si>
  <si>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Mathew Ryan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</si>
  <si>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</si>
  <si>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Michail Antonio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</si>
  <si>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</si>
  <si>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</si>
  <si>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Jack Grealish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</si>
  <si>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Tom Heaton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</si>
  <si>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</si>
  <si>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Callum Wilson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</si>
  <si>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Aaron Ramsdale</t>
    </r>
  </si>
  <si>
    <r>
      <rPr>
        <rFont val="Verdana, sans-serif"/>
        <color rgb="FF1155CC"/>
        <u/>
      </rPr>
      <t>Watford</t>
    </r>
  </si>
  <si>
    <r>
      <rPr>
        <rFont val="Verdana, sans-serif"/>
        <color rgb="FF1155CC"/>
        <u/>
      </rPr>
      <t>Troy Deeney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</si>
  <si>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Ben Foster</t>
    </r>
  </si>
  <si>
    <r>
      <rPr>
        <rFont val="Verdana, sans-serif"/>
        <color rgb="FF1155CC"/>
        <u/>
      </rPr>
      <t>Norwich City</t>
    </r>
  </si>
  <si>
    <r>
      <rPr>
        <rFont val="Verdana, sans-serif"/>
        <color rgb="FF1155CC"/>
        <u/>
      </rPr>
      <t>Teemu Pukki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</si>
  <si>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Tim Krul</t>
    </r>
  </si>
  <si>
    <t>Relegat</t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</si>
  <si>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</si>
  <si>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Sergio Agüero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</si>
  <si>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</si>
  <si>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</si>
  <si>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Sadio Mané</t>
    </r>
    <r>
      <rPr>
        <rFont val="Verdana, sans-serif"/>
      </rPr>
      <t xml:space="preserve">, </t>
    </r>
    <r>
      <rPr>
        <rFont val="Verdana, sans-serif"/>
        <color rgb="FF1155CC"/>
        <u/>
      </rPr>
      <t>Mohamed Salah</t>
    </r>
    <r>
      <rPr>
        <rFont val="Verdana, sans-serif"/>
      </rPr>
      <t xml:space="preserve"> - 22</t>
    </r>
  </si>
  <si>
    <r>
      <rPr>
        <rFont val="Verdana, sans-serif"/>
        <color rgb="FF1155CC"/>
        <u/>
      </rPr>
      <t>Alisson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</si>
  <si>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</si>
  <si>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Eden Hazard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</si>
  <si>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Kepa Arrizabalaga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</si>
  <si>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</si>
  <si>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Harry Kane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</si>
  <si>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Hugo Lloris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</si>
  <si>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</si>
  <si>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Pierre-Emerick Aubameyang</t>
    </r>
    <r>
      <rPr>
        <rFont val="Verdana, sans-serif"/>
      </rPr>
      <t xml:space="preserve"> - 22</t>
    </r>
  </si>
  <si>
    <r>
      <rPr>
        <rFont val="Verdana, sans-serif"/>
        <color rgb="FF1155CC"/>
        <u/>
      </rPr>
      <t>Bernd Leno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</si>
  <si>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</si>
  <si>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Paul Pogba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</si>
  <si>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David de Gea</t>
    </r>
  </si>
  <si>
    <r>
      <rPr>
        <rFont val="Verdana, sans-serif"/>
        <color rgb="FF1155CC"/>
        <u/>
      </rPr>
      <t>Wolves</t>
    </r>
  </si>
  <si>
    <r>
      <rPr>
        <rFont val="Verdana, sans-serif"/>
        <color rgb="FF1155CC"/>
        <u/>
      </rPr>
      <t>Raúl Jiménez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</si>
  <si>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Rui Patrício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</si>
  <si>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</si>
  <si>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Gylfi Sigurðsson</t>
    </r>
    <r>
      <rPr>
        <rFont val="Verdana, sans-serif"/>
      </rPr>
      <t xml:space="preserve">, </t>
    </r>
    <r>
      <rPr>
        <rFont val="Verdana, sans-serif"/>
        <color rgb="FF1155CC"/>
        <u/>
      </rPr>
      <t>Richarlison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</si>
  <si>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</si>
  <si>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</si>
  <si>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Jamie Vardy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</si>
  <si>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Kasper Schmeichel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</si>
  <si>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</si>
  <si>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Marko Arnautović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</si>
  <si>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</si>
  <si>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u/>
      </rPr>
      <t>Watford</t>
    </r>
  </si>
  <si>
    <r>
      <rPr>
        <rFont val="Verdana, sans-serif"/>
        <color rgb="FF1155CC"/>
        <u/>
      </rPr>
      <t>Gerard Deulofeu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</si>
  <si>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Ben Foster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</si>
  <si>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</si>
  <si>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Luka Milivojević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</si>
  <si>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Vicente Guaita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</si>
  <si>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</si>
  <si>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Ayoze Pérez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</si>
  <si>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Martin Dúbravka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</si>
  <si>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</si>
  <si>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Callum Wilson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</si>
  <si>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Asmir Begović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</si>
  <si>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</si>
  <si>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Ashley Barnes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</si>
  <si>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Tom Heaton</t>
    </r>
    <r>
      <rPr>
        <rFont val="Verdana, sans-serif"/>
      </rPr>
      <t xml:space="preserve">, </t>
    </r>
    <r>
      <rPr>
        <rFont val="Verdana, sans-serif"/>
        <color rgb="FF1155CC"/>
        <u/>
      </rPr>
      <t>Joe Hart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</si>
  <si>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</si>
  <si>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Danny Ings</t>
    </r>
    <r>
      <rPr>
        <rFont val="Verdana, sans-serif"/>
      </rPr>
      <t xml:space="preserve">, </t>
    </r>
    <r>
      <rPr>
        <rFont val="Verdana, sans-serif"/>
        <color rgb="FF1155CC"/>
        <u/>
      </rPr>
      <t>James Ward-Prowse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</si>
  <si>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Alex McCarthy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</si>
  <si>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</si>
  <si>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Glenn Murray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</si>
  <si>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Mathew Ryan</t>
    </r>
  </si>
  <si>
    <r>
      <rPr>
        <rFont val="Verdana, sans-serif"/>
        <color rgb="FF1155CC"/>
        <u/>
      </rPr>
      <t>Cardiff City</t>
    </r>
  </si>
  <si>
    <r>
      <rPr>
        <rFont val="Verdana, sans-serif"/>
        <color rgb="FF1155CC"/>
        <u/>
      </rPr>
      <t>Bobby De Cordova-Reid</t>
    </r>
    <r>
      <rPr>
        <rFont val="Verdana, sans-serif"/>
      </rPr>
      <t xml:space="preserve">, </t>
    </r>
    <r>
      <rPr>
        <rFont val="Verdana, sans-serif"/>
        <color rgb="FF1155CC"/>
        <u/>
      </rPr>
      <t>Víctor Camarasa</t>
    </r>
    <r>
      <rPr>
        <rFont val="Verdana, sans-serif"/>
      </rPr>
      <t xml:space="preserve"> - 5</t>
    </r>
  </si>
  <si>
    <r>
      <rPr>
        <rFont val="Verdana, sans-serif"/>
        <color rgb="FF1155CC"/>
        <u/>
      </rPr>
      <t>Neil Etheridge</t>
    </r>
  </si>
  <si>
    <r>
      <rPr>
        <rFont val="Verdana, sans-serif"/>
        <color rgb="FF1155CC"/>
        <u/>
      </rPr>
      <t>Fulham</t>
    </r>
  </si>
  <si>
    <r>
      <rPr>
        <rFont val="Verdana, sans-serif"/>
        <color rgb="FF1155CC"/>
        <u/>
      </rPr>
      <t>Aleksandar Mitrović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</si>
  <si>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Sergio Rico</t>
    </r>
  </si>
  <si>
    <r>
      <rPr>
        <rFont val="Verdana, sans-serif"/>
        <color rgb="FF1155CC"/>
        <u/>
      </rPr>
      <t>Huddersfield</t>
    </r>
  </si>
  <si>
    <r>
      <rPr>
        <rFont val="Verdana, sans-serif"/>
        <color rgb="FF1155CC"/>
        <u/>
      </rPr>
      <t>Karlan Grant</t>
    </r>
    <r>
      <rPr>
        <rFont val="Verdana, sans-serif"/>
      </rPr>
      <t xml:space="preserve"> - 4</t>
    </r>
  </si>
  <si>
    <r>
      <rPr>
        <rFont val="Verdana, sans-serif"/>
        <color rgb="FF1155CC"/>
        <u/>
      </rPr>
      <t>Jonas Lössl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</si>
  <si>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</si>
  <si>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Sergio Agüero</t>
    </r>
    <r>
      <rPr>
        <rFont val="Verdana, sans-serif"/>
      </rPr>
      <t xml:space="preserve"> - 21</t>
    </r>
  </si>
  <si>
    <r>
      <rPr>
        <rFont val="Verdana, sans-serif"/>
        <color rgb="FF1155CC"/>
        <u/>
      </rPr>
      <t>Ederson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</si>
  <si>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</si>
  <si>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Romelu Lukaku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</si>
  <si>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David de Gea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</si>
  <si>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</si>
  <si>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Harry Kane</t>
    </r>
    <r>
      <rPr>
        <rFont val="Verdana, sans-serif"/>
      </rPr>
      <t xml:space="preserve"> - 30</t>
    </r>
  </si>
  <si>
    <r>
      <rPr>
        <rFont val="Verdana, sans-serif"/>
        <color rgb="FF1155CC"/>
        <u/>
      </rPr>
      <t>Hugo Lloris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</si>
  <si>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</si>
  <si>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Mohamed Salah</t>
    </r>
    <r>
      <rPr>
        <rFont val="Verdana, sans-serif"/>
      </rPr>
      <t xml:space="preserve"> - 32</t>
    </r>
  </si>
  <si>
    <r>
      <rPr>
        <rFont val="Verdana, sans-serif"/>
        <color rgb="FF1155CC"/>
        <u/>
      </rPr>
      <t>Loris Karius</t>
    </r>
    <r>
      <rPr>
        <rFont val="Verdana, sans-serif"/>
      </rPr>
      <t xml:space="preserve">, </t>
    </r>
    <r>
      <rPr>
        <rFont val="Verdana, sans-serif"/>
        <color rgb="FF1155CC"/>
        <u/>
      </rPr>
      <t>Simon Mignolet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</si>
  <si>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</si>
  <si>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Eden Hazard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</si>
  <si>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Thibaut Courtois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</si>
  <si>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</si>
  <si>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Alexandre Lacazette</t>
    </r>
    <r>
      <rPr>
        <rFont val="Verdana, sans-serif"/>
      </rPr>
      <t xml:space="preserve"> - 14</t>
    </r>
  </si>
  <si>
    <r>
      <rPr>
        <rFont val="Verdana, sans-serif"/>
        <color rgb="FF1155CC"/>
        <u/>
      </rPr>
      <t>Petr Čech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</si>
  <si>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</si>
  <si>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Chris Wood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</si>
  <si>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Nick Pope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</si>
  <si>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</si>
  <si>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Wayne Rooney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</si>
  <si>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</si>
  <si>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</si>
  <si>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Jamie Vardy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</si>
  <si>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Kasper Schmeichel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</si>
  <si>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</si>
  <si>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Ayoze Pérez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</si>
  <si>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Rob Elliot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</si>
  <si>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</si>
  <si>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Luka Milivojević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</si>
  <si>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Wayne Hennessey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</si>
  <si>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</si>
  <si>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Joshua King</t>
    </r>
    <r>
      <rPr>
        <rFont val="Verdana, sans-serif"/>
      </rPr>
      <t xml:space="preserve">, </t>
    </r>
    <r>
      <rPr>
        <rFont val="Verdana, sans-serif"/>
        <color rgb="FF1155CC"/>
        <u/>
      </rPr>
      <t>Callum Wilson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</si>
  <si>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Asmir Begović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</si>
  <si>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</si>
  <si>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Marko Arnautović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</si>
  <si>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Joe Hart</t>
    </r>
    <r>
      <rPr>
        <rFont val="Verdana, sans-serif"/>
      </rPr>
      <t xml:space="preserve">, </t>
    </r>
    <r>
      <rPr>
        <rFont val="Verdana, sans-serif"/>
        <color rgb="FF1155CC"/>
        <u/>
      </rPr>
      <t>Adrián</t>
    </r>
  </si>
  <si>
    <r>
      <rPr>
        <rFont val="Verdana, sans-serif"/>
        <color rgb="FF1155CC"/>
        <u/>
      </rPr>
      <t>Watford</t>
    </r>
  </si>
  <si>
    <r>
      <rPr>
        <rFont val="Verdana, sans-serif"/>
        <color rgb="FF1155CC"/>
        <u/>
      </rPr>
      <t>Abdoulaye Doucouré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</si>
  <si>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Heurelho Gomes</t>
    </r>
  </si>
  <si>
    <r>
      <rPr>
        <rFont val="Verdana, sans-serif"/>
        <color rgb="FF1155CC"/>
        <u/>
      </rPr>
      <t>Brighton</t>
    </r>
  </si>
  <si>
    <r>
      <rPr>
        <rFont val="Verdana, sans-serif"/>
        <color rgb="FF1155CC"/>
        <u/>
      </rPr>
      <t>Glenn Murray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</si>
  <si>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Mathew Ryan</t>
    </r>
  </si>
  <si>
    <r>
      <rPr>
        <rFont val="Verdana, sans-serif"/>
        <color rgb="FF1155CC"/>
        <u/>
      </rPr>
      <t>Huddersfield</t>
    </r>
  </si>
  <si>
    <r>
      <rPr>
        <rFont val="Verdana, sans-serif"/>
        <color rgb="FF1155CC"/>
        <u/>
      </rPr>
      <t>Steve Mounié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</si>
  <si>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Jonas Lössl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</si>
  <si>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</si>
  <si>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Charlie Austin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</si>
  <si>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Fraser Forster</t>
    </r>
  </si>
  <si>
    <r>
      <rPr>
        <rFont val="Verdana, sans-serif"/>
        <color rgb="FF1155CC"/>
        <u/>
      </rPr>
      <t>Swansea City</t>
    </r>
  </si>
  <si>
    <r>
      <rPr>
        <rFont val="Verdana, sans-serif"/>
        <color rgb="FF1155CC"/>
        <u/>
      </rPr>
      <t>Jordan Ayew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</si>
  <si>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</si>
  <si>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u/>
      </rPr>
      <t>Stoke City</t>
    </r>
  </si>
  <si>
    <r>
      <rPr>
        <rFont val="Verdana, sans-serif"/>
        <color rgb="FF1155CC"/>
        <u/>
      </rPr>
      <t>Xherdan Shaqiri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</si>
  <si>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Jack Butland</t>
    </r>
  </si>
  <si>
    <r>
      <rPr>
        <rFont val="Verdana, sans-serif"/>
        <color rgb="FF1155CC"/>
        <u/>
      </rPr>
      <t>West Brom</t>
    </r>
  </si>
  <si>
    <r>
      <rPr>
        <rFont val="Verdana, sans-serif"/>
        <color rgb="FF1155CC"/>
        <u/>
      </rPr>
      <t>Jay Rodriguez</t>
    </r>
    <r>
      <rPr>
        <rFont val="Verdana, sans-serif"/>
      </rPr>
      <t xml:space="preserve">, </t>
    </r>
    <r>
      <rPr>
        <rFont val="Verdana, sans-serif"/>
        <color rgb="FF1155CC"/>
        <u/>
      </rPr>
      <t>Salomón Rondón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</si>
  <si>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Ben Foster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</si>
  <si>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</si>
  <si>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Diego Costa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</si>
  <si>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Thibaut Courtois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</si>
  <si>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</si>
  <si>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Harry Kane</t>
    </r>
    <r>
      <rPr>
        <rFont val="Verdana, sans-serif"/>
      </rPr>
      <t xml:space="preserve"> - 29</t>
    </r>
  </si>
  <si>
    <r>
      <rPr>
        <rFont val="Verdana, sans-serif"/>
        <color rgb="FF1155CC"/>
        <u/>
      </rPr>
      <t>Hugo Lloris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</si>
  <si>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</si>
  <si>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Sergio Agüero</t>
    </r>
    <r>
      <rPr>
        <rFont val="Verdana, sans-serif"/>
      </rPr>
      <t xml:space="preserve"> - 20</t>
    </r>
  </si>
  <si>
    <r>
      <rPr>
        <rFont val="Verdana, sans-serif"/>
        <color rgb="FF1155CC"/>
        <u/>
      </rPr>
      <t>Claudio Bravo</t>
    </r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</si>
  <si>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</si>
  <si>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Philippe Coutinho</t>
    </r>
    <r>
      <rPr>
        <rFont val="Verdana, sans-serif"/>
      </rPr>
      <t xml:space="preserve">, </t>
    </r>
    <r>
      <rPr>
        <rFont val="Verdana, sans-serif"/>
        <color rgb="FF1155CC"/>
        <u/>
      </rPr>
      <t>Sadio Mané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</si>
  <si>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Simon Mignolet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</si>
  <si>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</si>
  <si>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Alexis Sánchez</t>
    </r>
    <r>
      <rPr>
        <rFont val="Verdana, sans-serif"/>
      </rPr>
      <t xml:space="preserve"> - 24</t>
    </r>
  </si>
  <si>
    <r>
      <rPr>
        <rFont val="Verdana, sans-serif"/>
        <color rgb="FF1155CC"/>
        <u/>
      </rPr>
      <t>Petr Čech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</si>
  <si>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</si>
  <si>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Zlatan Ibrahimović</t>
    </r>
    <r>
      <rPr>
        <rFont val="Verdana, sans-serif"/>
      </rPr>
      <t xml:space="preserve"> - 17</t>
    </r>
  </si>
  <si>
    <r>
      <rPr>
        <rFont val="Verdana, sans-serif"/>
        <color rgb="FF1155CC"/>
        <u/>
      </rPr>
      <t>David de Gea</t>
    </r>
  </si>
  <si>
    <t>→ Champions League via Europa League win</t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</si>
  <si>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</si>
  <si>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Romelu Lukaku</t>
    </r>
    <r>
      <rPr>
        <rFont val="Verdana, sans-serif"/>
      </rPr>
      <t xml:space="preserve"> - 25</t>
    </r>
  </si>
  <si>
    <r>
      <rPr>
        <rFont val="Verdana, sans-serif"/>
        <color rgb="FF1155CC"/>
        <u/>
      </rPr>
      <t>Joel Robles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</si>
  <si>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</si>
  <si>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Nathan Redmond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</si>
  <si>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Fraser Forster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</si>
  <si>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</si>
  <si>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Joshua King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</si>
  <si>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Artur Boruc</t>
    </r>
  </si>
  <si>
    <r>
      <rPr>
        <rFont val="Verdana, sans-serif"/>
        <color rgb="FF1155CC"/>
        <u/>
      </rPr>
      <t>West Brom</t>
    </r>
  </si>
  <si>
    <r>
      <rPr>
        <rFont val="Verdana, sans-serif"/>
        <color rgb="FF1155CC"/>
        <u/>
      </rPr>
      <t>Salomón Rondón</t>
    </r>
    <r>
      <rPr>
        <rFont val="Verdana, sans-serif"/>
      </rPr>
      <t xml:space="preserve"> - 8</t>
    </r>
  </si>
  <si>
    <r>
      <rPr>
        <rFont val="Verdana, sans-serif"/>
        <color rgb="FF1155CC"/>
        <u/>
      </rPr>
      <t>Ben Foster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</si>
  <si>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</si>
  <si>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Michail Antonio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</si>
  <si>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Darren Randolph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</si>
  <si>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</si>
  <si>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Jamie Vardy</t>
    </r>
    <r>
      <rPr>
        <rFont val="Verdana, sans-serif"/>
      </rPr>
      <t xml:space="preserve"> - 13</t>
    </r>
  </si>
  <si>
    <r>
      <rPr>
        <rFont val="Verdana, sans-serif"/>
        <color rgb="FF1155CC"/>
        <u/>
      </rPr>
      <t>Kasper Schmeichel</t>
    </r>
  </si>
  <si>
    <r>
      <rPr>
        <rFont val="Verdana, sans-serif"/>
        <color rgb="FF1155CC"/>
        <u/>
      </rPr>
      <t>Stoke City</t>
    </r>
  </si>
  <si>
    <r>
      <rPr>
        <rFont val="Verdana, sans-serif"/>
        <color rgb="FF1155CC"/>
        <u/>
      </rPr>
      <t>Peter Crouch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</si>
  <si>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Lee Grant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</si>
  <si>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</si>
  <si>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Christian Benteke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</si>
  <si>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Wayne Hennessey</t>
    </r>
  </si>
  <si>
    <r>
      <rPr>
        <rFont val="Verdana, sans-serif"/>
        <color rgb="FF1155CC"/>
        <u/>
      </rPr>
      <t>Swansea City</t>
    </r>
  </si>
  <si>
    <r>
      <rPr>
        <rFont val="Verdana, sans-serif"/>
        <color rgb="FF1155CC"/>
        <u/>
      </rPr>
      <t>Fernando Llorente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</si>
  <si>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</si>
  <si>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u/>
      </rPr>
      <t>Burnley</t>
    </r>
  </si>
  <si>
    <r>
      <rPr>
        <rFont val="Verdana, sans-serif"/>
        <color rgb="FF1155CC"/>
        <u/>
      </rPr>
      <t>Sam Vokes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</si>
  <si>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Tom Heaton</t>
    </r>
  </si>
  <si>
    <r>
      <rPr>
        <rFont val="Verdana, sans-serif"/>
        <color rgb="FF1155CC"/>
        <u/>
      </rPr>
      <t>Watford</t>
    </r>
  </si>
  <si>
    <r>
      <rPr>
        <rFont val="Verdana, sans-serif"/>
        <color rgb="FF1155CC"/>
        <u/>
      </rPr>
      <t>Troy Deeney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</si>
  <si>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Heurelho Gomes</t>
    </r>
  </si>
  <si>
    <r>
      <rPr>
        <rFont val="Verdana, sans-serif"/>
        <color rgb="FF1155CC"/>
        <u/>
      </rPr>
      <t>Hull City</t>
    </r>
  </si>
  <si>
    <r>
      <rPr>
        <rFont val="Verdana, sans-serif"/>
        <color rgb="FF1155CC"/>
        <u/>
      </rPr>
      <t>Robert Snodgrass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</si>
  <si>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Eldin Jakupović</t>
    </r>
  </si>
  <si>
    <r>
      <rPr>
        <rFont val="Verdana, sans-serif"/>
        <color rgb="FF1155CC"/>
        <u/>
      </rPr>
      <t>Middlesbrough</t>
    </r>
  </si>
  <si>
    <r>
      <rPr>
        <rFont val="Verdana, sans-serif"/>
        <color rgb="FF1155CC"/>
        <u/>
      </rPr>
      <t>Álvaro Negredo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</si>
  <si>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Víctor Valdés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</si>
  <si>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</si>
  <si>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Jermain Defoe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</si>
  <si>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Jordan Pickford</t>
    </r>
  </si>
  <si>
    <r>
      <rPr>
        <rFont val="Verdana, sans-serif"/>
        <color rgb="FF1155CC"/>
        <u/>
      </rPr>
      <t>Leicester City</t>
    </r>
  </si>
  <si>
    <r>
      <rPr>
        <rFont val="Verdana, sans-serif"/>
        <color rgb="FF1155CC"/>
        <u/>
      </rPr>
      <t>Jamie Vardy</t>
    </r>
    <r>
      <rPr>
        <rFont val="Verdana, sans-serif"/>
      </rPr>
      <t xml:space="preserve"> - 24</t>
    </r>
  </si>
  <si>
    <r>
      <rPr>
        <rFont val="Verdana, sans-serif"/>
        <color rgb="FF1155CC"/>
        <u/>
      </rPr>
      <t>Kasper Schmeichel</t>
    </r>
  </si>
  <si>
    <r>
      <rPr>
        <rFont val="Verdana, sans-serif"/>
        <color rgb="FF1155CC"/>
        <u/>
      </rPr>
      <t>Arsenal</t>
    </r>
  </si>
  <si>
    <r>
      <rPr>
        <rFont val="Verdana, sans-serif"/>
        <color rgb="FF1155CC"/>
        <u/>
      </rPr>
      <t>Olivier Giroud</t>
    </r>
    <r>
      <rPr>
        <rFont val="Verdana, sans-serif"/>
      </rPr>
      <t xml:space="preserve"> - 16</t>
    </r>
  </si>
  <si>
    <r>
      <rPr>
        <rFont val="Verdana, sans-serif"/>
        <color rgb="FF1155CC"/>
        <u/>
      </rPr>
      <t>Petr Čech</t>
    </r>
  </si>
  <si>
    <r>
      <rPr>
        <rFont val="Verdana, sans-serif"/>
        <color rgb="FF1155CC"/>
        <u/>
      </rPr>
      <t>Tottenham</t>
    </r>
  </si>
  <si>
    <r>
      <rPr>
        <rFont val="Verdana, sans-serif"/>
        <color rgb="FF1155CC"/>
        <u/>
      </rPr>
      <t>Harry Kane</t>
    </r>
    <r>
      <rPr>
        <rFont val="Verdana, sans-serif"/>
      </rPr>
      <t xml:space="preserve"> - 25</t>
    </r>
  </si>
  <si>
    <r>
      <rPr>
        <rFont val="Verdana, sans-serif"/>
        <color rgb="FF1155CC"/>
        <u/>
      </rPr>
      <t>Hugo Lloris</t>
    </r>
  </si>
  <si>
    <r>
      <rPr>
        <rFont val="Verdana, sans-serif"/>
        <color rgb="FF1155CC"/>
        <u/>
      </rPr>
      <t>Manchester City</t>
    </r>
  </si>
  <si>
    <r>
      <rPr>
        <rFont val="Verdana, sans-serif"/>
        <color rgb="FF1155CC"/>
        <u/>
      </rPr>
      <t>Sergio Agüero</t>
    </r>
    <r>
      <rPr>
        <rFont val="Verdana, sans-serif"/>
      </rPr>
      <t xml:space="preserve"> - 24</t>
    </r>
  </si>
  <si>
    <r>
      <rPr>
        <rFont val="Verdana, sans-serif"/>
        <color rgb="FF1155CC"/>
        <u/>
      </rPr>
      <t>Joe Hart</t>
    </r>
  </si>
  <si>
    <r>
      <rPr>
        <rFont val="Verdana, sans-serif"/>
        <color rgb="FF1155CC"/>
        <u/>
      </rPr>
      <t>Manchester Utd</t>
    </r>
  </si>
  <si>
    <r>
      <rPr>
        <rFont val="Verdana, sans-serif"/>
        <color rgb="FF1155CC"/>
        <u/>
      </rPr>
      <t>Anthony Martial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</si>
  <si>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David de Gea</t>
    </r>
  </si>
  <si>
    <r>
      <rPr>
        <rFont val="Verdana, sans-serif"/>
        <color rgb="FF1155CC"/>
        <u/>
      </rPr>
      <t>Southampton</t>
    </r>
  </si>
  <si>
    <r>
      <rPr>
        <rFont val="Verdana, sans-serif"/>
        <color rgb="FF1155CC"/>
        <u/>
      </rPr>
      <t>Sadio Mané</t>
    </r>
    <r>
      <rPr>
        <rFont val="Verdana, sans-serif"/>
      </rPr>
      <t xml:space="preserve">, </t>
    </r>
    <r>
      <rPr>
        <rFont val="Verdana, sans-serif"/>
        <color rgb="FF1155CC"/>
        <u/>
      </rPr>
      <t>Graziano Pellè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</si>
  <si>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Fraser Forster</t>
    </r>
  </si>
  <si>
    <r>
      <rPr>
        <rFont val="Verdana, sans-serif"/>
        <color rgb="FF1155CC"/>
        <u/>
      </rPr>
      <t>West Ham</t>
    </r>
  </si>
  <si>
    <r>
      <rPr>
        <rFont val="Verdana, sans-serif"/>
        <color rgb="FF1155CC"/>
        <u/>
      </rPr>
      <t>Dimitri Payet</t>
    </r>
    <r>
      <rPr>
        <rFont val="Verdana, sans-serif"/>
      </rPr>
      <t xml:space="preserve">, </t>
    </r>
    <r>
      <rPr>
        <rFont val="Verdana, sans-serif"/>
        <color rgb="FF1155CC"/>
        <u/>
      </rPr>
      <t>Andy Carroll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</si>
  <si>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Adrián</t>
    </r>
  </si>
  <si>
    <t>→ Europa League via league finish 3</t>
  </si>
  <si>
    <r>
      <rPr>
        <rFont val="Verdana, sans-serif"/>
        <color rgb="FF1155CC"/>
        <u/>
      </rPr>
      <t>Liverpool</t>
    </r>
  </si>
  <si>
    <r>
      <rPr>
        <rFont val="Verdana, sans-serif"/>
        <color rgb="FF1155CC"/>
        <u/>
      </rPr>
      <t>Roberto Firmino</t>
    </r>
    <r>
      <rPr>
        <rFont val="Verdana, sans-serif"/>
      </rPr>
      <t xml:space="preserve"> - 10</t>
    </r>
  </si>
  <si>
    <r>
      <rPr>
        <rFont val="Verdana, sans-serif"/>
        <color rgb="FF1155CC"/>
        <u/>
      </rPr>
      <t>Simon Mignolet</t>
    </r>
  </si>
  <si>
    <r>
      <rPr>
        <rFont val="Verdana, sans-serif"/>
        <color rgb="FF1155CC"/>
        <u/>
      </rPr>
      <t>Stoke City</t>
    </r>
  </si>
  <si>
    <r>
      <rPr>
        <rFont val="Verdana, sans-serif"/>
        <color rgb="FF1155CC"/>
        <u/>
      </rPr>
      <t>Marko Arnautović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</si>
  <si>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Jack Butland</t>
    </r>
  </si>
  <si>
    <r>
      <rPr>
        <rFont val="Verdana, sans-serif"/>
        <color rgb="FF1155CC"/>
        <u/>
      </rPr>
      <t>Chelsea</t>
    </r>
  </si>
  <si>
    <r>
      <rPr>
        <rFont val="Verdana, sans-serif"/>
        <color rgb="FF1155CC"/>
        <u/>
      </rPr>
      <t>Diego Costa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</si>
  <si>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Thibaut Courtois</t>
    </r>
  </si>
  <si>
    <r>
      <rPr>
        <rFont val="Verdana, sans-serif"/>
        <color rgb="FF1155CC"/>
        <u/>
      </rPr>
      <t>Everton</t>
    </r>
  </si>
  <si>
    <r>
      <rPr>
        <rFont val="Verdana, sans-serif"/>
        <color rgb="FF1155CC"/>
        <u/>
      </rPr>
      <t>Romelu Lukaku</t>
    </r>
    <r>
      <rPr>
        <rFont val="Verdana, sans-serif"/>
      </rPr>
      <t xml:space="preserve"> - 18</t>
    </r>
  </si>
  <si>
    <r>
      <rPr>
        <rFont val="Verdana, sans-serif"/>
        <color rgb="FF1155CC"/>
        <u/>
      </rPr>
      <t>Tim Howard</t>
    </r>
  </si>
  <si>
    <r>
      <rPr>
        <rFont val="Verdana, sans-serif"/>
        <color rgb="FF1155CC"/>
        <u/>
      </rPr>
      <t>Swansea City</t>
    </r>
  </si>
  <si>
    <r>
      <rPr>
        <rFont val="Verdana, sans-serif"/>
        <color rgb="FF1155CC"/>
        <u/>
      </rPr>
      <t>André Ayew</t>
    </r>
    <r>
      <rPr>
        <rFont val="Verdana, sans-serif"/>
      </rPr>
      <t xml:space="preserve"> - 12</t>
    </r>
  </si>
  <si>
    <r>
      <rPr>
        <rFont val="Verdana, sans-serif"/>
        <color rgb="FF1155CC"/>
        <u/>
      </rPr>
      <t>Łukasz Fabiański</t>
    </r>
  </si>
  <si>
    <r>
      <rPr>
        <rFont val="Verdana, sans-serif"/>
        <color rgb="FF1155CC"/>
        <u/>
      </rPr>
      <t>Watford</t>
    </r>
  </si>
  <si>
    <r>
      <rPr>
        <rFont val="Verdana, sans-serif"/>
        <color rgb="FF1155CC"/>
        <u/>
      </rPr>
      <t>Odion Ighalo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</si>
  <si>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Heurelho Gomes</t>
    </r>
  </si>
  <si>
    <r>
      <rPr>
        <rFont val="Verdana, sans-serif"/>
        <color rgb="FF1155CC"/>
        <u/>
      </rPr>
      <t>West Brom</t>
    </r>
  </si>
  <si>
    <r>
      <rPr>
        <rFont val="Verdana, sans-serif"/>
        <color rgb="FF1155CC"/>
        <u/>
      </rPr>
      <t>Salomón Rondón</t>
    </r>
    <r>
      <rPr>
        <rFont val="Verdana, sans-serif"/>
      </rPr>
      <t xml:space="preserve"> - 9</t>
    </r>
  </si>
  <si>
    <r>
      <rPr>
        <rFont val="Verdana, sans-serif"/>
        <color rgb="FF1155CC"/>
        <u/>
      </rPr>
      <t>Boaz Myhill</t>
    </r>
  </si>
  <si>
    <r>
      <rPr>
        <rFont val="Verdana, sans-serif"/>
        <color rgb="FF1155CC"/>
        <u/>
      </rPr>
      <t>Crystal Palace</t>
    </r>
  </si>
  <si>
    <r>
      <rPr>
        <rFont val="Verdana, sans-serif"/>
        <color rgb="FF1155CC"/>
        <u/>
      </rPr>
      <t>Scott Dann</t>
    </r>
    <r>
      <rPr>
        <rFont val="Verdana, sans-serif"/>
      </rPr>
      <t xml:space="preserve">, </t>
    </r>
    <r>
      <rPr>
        <rFont val="Verdana, sans-serif"/>
        <color rgb="FF1155CC"/>
        <u/>
      </rPr>
      <t>Yohan Cabaye</t>
    </r>
    <r>
      <rPr>
        <rFont val="Verdana, sans-serif"/>
      </rPr>
      <t>... - 5</t>
    </r>
  </si>
  <si>
    <r>
      <rPr>
        <rFont val="Verdana, sans-serif"/>
        <color rgb="FF1155CC"/>
        <u/>
      </rPr>
      <t>Wayne Hennessey</t>
    </r>
  </si>
  <si>
    <r>
      <rPr>
        <rFont val="Verdana, sans-serif"/>
        <color rgb="FF1155CC"/>
        <u/>
      </rPr>
      <t>Bournemouth</t>
    </r>
  </si>
  <si>
    <r>
      <rPr>
        <rFont val="Verdana, sans-serif"/>
        <color rgb="FF1155CC"/>
        <u/>
      </rPr>
      <t>Joshua King</t>
    </r>
    <r>
      <rPr>
        <rFont val="Verdana, sans-serif"/>
      </rPr>
      <t xml:space="preserve"> - 6</t>
    </r>
  </si>
  <si>
    <r>
      <rPr>
        <rFont val="Verdana, sans-serif"/>
        <color rgb="FF1155CC"/>
        <u/>
      </rPr>
      <t>Artur Boruc</t>
    </r>
  </si>
  <si>
    <r>
      <rPr>
        <rFont val="Verdana, sans-serif"/>
        <color rgb="FF1155CC"/>
        <u/>
      </rPr>
      <t>Sunderland</t>
    </r>
  </si>
  <si>
    <r>
      <rPr>
        <rFont val="Verdana, sans-serif"/>
        <color rgb="FF1155CC"/>
        <u/>
      </rPr>
      <t>Jermain Defoe</t>
    </r>
    <r>
      <rPr>
        <rFont val="Verdana, sans-serif"/>
      </rPr>
      <t xml:space="preserve"> - 15</t>
    </r>
  </si>
  <si>
    <r>
      <rPr>
        <rFont val="Verdana, sans-serif"/>
        <color rgb="FF1155CC"/>
        <u/>
      </rPr>
      <t>Vito Mannone</t>
    </r>
  </si>
  <si>
    <r>
      <rPr>
        <rFont val="Verdana, sans-serif"/>
        <color rgb="FF1155CC"/>
        <u/>
      </rPr>
      <t>Newcastle Utd</t>
    </r>
  </si>
  <si>
    <r>
      <rPr>
        <rFont val="Verdana, sans-serif"/>
        <color rgb="FF1155CC"/>
        <u/>
      </rPr>
      <t>Georginio Wijnaldum</t>
    </r>
    <r>
      <rPr>
        <rFont val="Verdana, sans-serif"/>
      </rPr>
      <t xml:space="preserve"> - 11</t>
    </r>
  </si>
  <si>
    <r>
      <rPr>
        <rFont val="Verdana, sans-serif"/>
        <color rgb="FF1155CC"/>
        <u/>
      </rPr>
      <t>Rob Elliot</t>
    </r>
  </si>
  <si>
    <r>
      <rPr>
        <rFont val="Verdana, sans-serif"/>
        <color rgb="FF1155CC"/>
        <u/>
      </rPr>
      <t>Norwich City</t>
    </r>
  </si>
  <si>
    <r>
      <rPr>
        <rFont val="Verdana, sans-serif"/>
        <color rgb="FF1155CC"/>
        <u/>
      </rPr>
      <t>Dieumerci Mbokani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</si>
  <si>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John Ruddy</t>
    </r>
  </si>
  <si>
    <r>
      <rPr>
        <rFont val="Verdana, sans-serif"/>
        <color rgb="FF1155CC"/>
        <u/>
      </rPr>
      <t>Aston Villa</t>
    </r>
  </si>
  <si>
    <r>
      <rPr>
        <rFont val="Verdana, sans-serif"/>
        <color rgb="FF1155CC"/>
        <u/>
      </rPr>
      <t>Jordan Ayew</t>
    </r>
    <r>
      <rPr>
        <rFont val="Verdana, sans-serif"/>
      </rPr>
      <t xml:space="preserve"> - 7</t>
    </r>
  </si>
  <si>
    <r>
      <rPr>
        <rFont val="Verdana, sans-serif"/>
        <color rgb="FF1155CC"/>
        <u/>
      </rPr>
      <t>Brad Guzan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</si>
</sst>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14">
    <font>
      <sz val="10.0"/>
      <color rgb="FF000000"/>
      <name val="Arial"/>
      <scheme val="minor"/>
    </font>
    <font>
      <b/>
      <u/>
      <color rgb="FF0000FF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color rgb="FF0000FF"/>
      <name val="Verdana"/>
    </font>
    <font>
      <color rgb="FFFFFFFF"/>
      <name val="Verdana"/>
    </font>
    <font>
      <u/>
      <color rgb="FF0000FF"/>
      <name val="Verdana"/>
    </font>
    <font>
      <u/>
      <color rgb="FF0000FF"/>
      <name val="Verdana"/>
    </font>
    <font>
      <sz val="11.0"/>
      <color rgb="FF000000"/>
      <name val="&quot;Helvetica Neue&quot;"/>
    </font>
  </fonts>
  <fills count="6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5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/>
    </xf>
    <xf borderId="0" fillId="0" fontId="5" numFmtId="0" xfId="0" applyAlignment="1" applyFont="1">
      <alignment readingOrder="0"/>
    </xf>
    <xf borderId="0" fillId="2" fontId="4" numFmtId="0" xfId="0" applyAlignment="1" applyFont="1">
      <alignment horizontal="center"/>
    </xf>
    <xf borderId="0" fillId="2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1" fillId="3" fontId="6" numFmtId="0" xfId="0" applyAlignment="1" applyBorder="1" applyFill="1" applyFont="1">
      <alignment horizontal="center" readingOrder="0" shrinkToFit="0" wrapText="0"/>
    </xf>
    <xf borderId="2" fillId="3" fontId="6" numFmtId="0" xfId="0" applyAlignment="1" applyBorder="1" applyFont="1">
      <alignment horizontal="center" readingOrder="0" shrinkToFit="0" wrapText="0"/>
    </xf>
    <xf borderId="3" fillId="4" fontId="7" numFmtId="0" xfId="0" applyAlignment="1" applyBorder="1" applyFill="1" applyFont="1">
      <alignment horizontal="right" readingOrder="0" shrinkToFit="0" wrapText="0"/>
    </xf>
    <xf borderId="4" fillId="0" fontId="8" numFmtId="0" xfId="0" applyAlignment="1" applyBorder="1" applyFont="1">
      <alignment horizontal="left" readingOrder="0" shrinkToFit="0" wrapText="0"/>
    </xf>
    <xf borderId="4" fillId="4" fontId="7" numFmtId="0" xfId="0" applyAlignment="1" applyBorder="1" applyFont="1">
      <alignment horizontal="right" readingOrder="0" shrinkToFit="0" wrapText="0"/>
    </xf>
    <xf borderId="4" fillId="4" fontId="7" numFmtId="0" xfId="0" applyAlignment="1" applyBorder="1" applyFont="1">
      <alignment horizontal="right" shrinkToFit="0" wrapText="0"/>
    </xf>
    <xf borderId="4" fillId="4" fontId="7" numFmtId="3" xfId="0" applyAlignment="1" applyBorder="1" applyFont="1" applyNumberFormat="1">
      <alignment horizontal="right" readingOrder="0" shrinkToFit="0" wrapText="0"/>
    </xf>
    <xf borderId="4" fillId="0" fontId="9" numFmtId="0" xfId="0" applyAlignment="1" applyBorder="1" applyFont="1">
      <alignment horizontal="right" readingOrder="0" shrinkToFit="0" wrapText="0"/>
    </xf>
    <xf borderId="4" fillId="4" fontId="7" numFmtId="0" xfId="0" applyAlignment="1" applyBorder="1" applyFont="1">
      <alignment horizontal="left" readingOrder="0" shrinkToFit="0" wrapText="0"/>
    </xf>
    <xf borderId="4" fillId="4" fontId="7" numFmtId="0" xfId="0" applyAlignment="1" applyBorder="1" applyFont="1">
      <alignment horizontal="left" shrinkToFit="0" wrapText="0"/>
    </xf>
    <xf borderId="3" fillId="0" fontId="10" numFmtId="0" xfId="0" applyAlignment="1" applyBorder="1" applyFont="1">
      <alignment horizontal="right" readingOrder="0" shrinkToFit="0" wrapText="0"/>
    </xf>
    <xf borderId="1" fillId="5" fontId="10" numFmtId="0" xfId="0" applyAlignment="1" applyBorder="1" applyFill="1" applyFont="1">
      <alignment horizontal="righ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2" fillId="5" fontId="7" numFmtId="0" xfId="0" applyAlignment="1" applyBorder="1" applyFont="1">
      <alignment horizontal="right" readingOrder="0" shrinkToFit="0" wrapText="0"/>
    </xf>
    <xf borderId="2" fillId="5" fontId="7" numFmtId="3" xfId="0" applyAlignment="1" applyBorder="1" applyFont="1" applyNumberFormat="1">
      <alignment horizontal="right" readingOrder="0" shrinkToFit="0" wrapText="0"/>
    </xf>
    <xf borderId="2" fillId="0" fontId="12" numFmtId="0" xfId="0" applyAlignment="1" applyBorder="1" applyFont="1">
      <alignment horizontal="right" readingOrder="0" shrinkToFit="0" wrapText="0"/>
    </xf>
    <xf borderId="2" fillId="5" fontId="7" numFmtId="0" xfId="0" applyAlignment="1" applyBorder="1" applyFont="1">
      <alignment horizontal="left" readingOrder="0" shrinkToFit="0" wrapText="0"/>
    </xf>
    <xf borderId="1" fillId="0" fontId="10" numFmtId="0" xfId="0" applyAlignment="1" applyBorder="1" applyFont="1">
      <alignment horizontal="right" readingOrder="0" shrinkToFit="0" wrapText="0"/>
    </xf>
    <xf borderId="2" fillId="4" fontId="7" numFmtId="0" xfId="0" applyAlignment="1" applyBorder="1" applyFont="1">
      <alignment horizontal="right" readingOrder="0" shrinkToFit="0" wrapText="0"/>
    </xf>
    <xf borderId="2" fillId="4" fontId="7" numFmtId="3" xfId="0" applyAlignment="1" applyBorder="1" applyFont="1" applyNumberFormat="1">
      <alignment horizontal="right" readingOrder="0" shrinkToFit="0" wrapText="0"/>
    </xf>
    <xf borderId="2" fillId="4" fontId="7" numFmtId="0" xfId="0" applyAlignment="1" applyBorder="1" applyFont="1">
      <alignment horizontal="left" readingOrder="0" shrinkToFit="0" wrapText="0"/>
    </xf>
    <xf borderId="0" fillId="4" fontId="13" numFmtId="0" xfId="0" applyAlignment="1" applyFont="1">
      <alignment horizontal="center" readingOrder="0"/>
    </xf>
    <xf borderId="2" fillId="5" fontId="7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fltables.com/afl/seas/2024.html" TargetMode="External"/><Relationship Id="rId190" Type="http://schemas.openxmlformats.org/officeDocument/2006/relationships/hyperlink" Target="https://afltables.com/afl/teams/collingwood_idx.html" TargetMode="External"/><Relationship Id="rId42" Type="http://schemas.openxmlformats.org/officeDocument/2006/relationships/hyperlink" Target="https://afltables.com/afl/seas/2024.html" TargetMode="External"/><Relationship Id="rId41" Type="http://schemas.openxmlformats.org/officeDocument/2006/relationships/hyperlink" Target="https://afltables.com/afl/seas/2024.html" TargetMode="External"/><Relationship Id="rId44" Type="http://schemas.openxmlformats.org/officeDocument/2006/relationships/hyperlink" Target="https://afltables.com/afl/seas/2024.html" TargetMode="External"/><Relationship Id="rId194" Type="http://schemas.openxmlformats.org/officeDocument/2006/relationships/hyperlink" Target="https://afltables.com/afl/teams/fremantle_idx.html" TargetMode="External"/><Relationship Id="rId43" Type="http://schemas.openxmlformats.org/officeDocument/2006/relationships/hyperlink" Target="https://afltables.com/afl/seas/2024.html" TargetMode="External"/><Relationship Id="rId193" Type="http://schemas.openxmlformats.org/officeDocument/2006/relationships/hyperlink" Target="https://afltables.com/afl/teams/carlton_idx.html" TargetMode="External"/><Relationship Id="rId46" Type="http://schemas.openxmlformats.org/officeDocument/2006/relationships/hyperlink" Target="https://afltables.com/afl/seas/2024.html" TargetMode="External"/><Relationship Id="rId192" Type="http://schemas.openxmlformats.org/officeDocument/2006/relationships/hyperlink" Target="https://afltables.com/afl/teams/gws_idx.html" TargetMode="External"/><Relationship Id="rId45" Type="http://schemas.openxmlformats.org/officeDocument/2006/relationships/hyperlink" Target="https://afltables.com/afl/seas/2024.html" TargetMode="External"/><Relationship Id="rId191" Type="http://schemas.openxmlformats.org/officeDocument/2006/relationships/hyperlink" Target="https://afltables.com/afl/teams/melbourne_idx.html" TargetMode="External"/><Relationship Id="rId48" Type="http://schemas.openxmlformats.org/officeDocument/2006/relationships/hyperlink" Target="https://afltables.com/afl/seas/2024.html" TargetMode="External"/><Relationship Id="rId187" Type="http://schemas.openxmlformats.org/officeDocument/2006/relationships/hyperlink" Target="https://afltables.com/afl/teams/westcoast_idx.html" TargetMode="External"/><Relationship Id="rId47" Type="http://schemas.openxmlformats.org/officeDocument/2006/relationships/hyperlink" Target="https://afltables.com/afl/seas/2024.html" TargetMode="External"/><Relationship Id="rId186" Type="http://schemas.openxmlformats.org/officeDocument/2006/relationships/hyperlink" Target="https://afltables.com/afl/teams/geelong_idx.html" TargetMode="External"/><Relationship Id="rId185" Type="http://schemas.openxmlformats.org/officeDocument/2006/relationships/hyperlink" Target="https://afltables.com/afl/teams/richmond_idx.html" TargetMode="External"/><Relationship Id="rId49" Type="http://schemas.openxmlformats.org/officeDocument/2006/relationships/hyperlink" Target="https://afltables.com/afl/seas/2024.html" TargetMode="External"/><Relationship Id="rId184" Type="http://schemas.openxmlformats.org/officeDocument/2006/relationships/hyperlink" Target="https://afltables.com/afl/teams/brisbanel_idx.html" TargetMode="External"/><Relationship Id="rId189" Type="http://schemas.openxmlformats.org/officeDocument/2006/relationships/hyperlink" Target="https://afltables.com/afl/teams/bullldogs_idx.html" TargetMode="External"/><Relationship Id="rId188" Type="http://schemas.openxmlformats.org/officeDocument/2006/relationships/hyperlink" Target="https://afltables.com/afl/teams/stkilda_idx.html" TargetMode="External"/><Relationship Id="rId31" Type="http://schemas.openxmlformats.org/officeDocument/2006/relationships/hyperlink" Target="https://afltables.com/afl/teams/essendon_idx.html" TargetMode="External"/><Relationship Id="rId30" Type="http://schemas.openxmlformats.org/officeDocument/2006/relationships/hyperlink" Target="https://afltables.com/afl/teams/melbourne_idx.html" TargetMode="External"/><Relationship Id="rId33" Type="http://schemas.openxmlformats.org/officeDocument/2006/relationships/hyperlink" Target="https://afltables.com/afl/teams/richmond_idx.html" TargetMode="External"/><Relationship Id="rId183" Type="http://schemas.openxmlformats.org/officeDocument/2006/relationships/hyperlink" Target="https://afltables.com/afl/teams/padelaide_idx.html" TargetMode="External"/><Relationship Id="rId32" Type="http://schemas.openxmlformats.org/officeDocument/2006/relationships/hyperlink" Target="https://afltables.com/afl/teams/kangaroos_idx.html" TargetMode="External"/><Relationship Id="rId182" Type="http://schemas.openxmlformats.org/officeDocument/2006/relationships/hyperlink" Target="https://afltables.com/afl/seas/2020.html" TargetMode="External"/><Relationship Id="rId35" Type="http://schemas.openxmlformats.org/officeDocument/2006/relationships/hyperlink" Target="https://afltables.com/afl/seas/ladders/ladders.html" TargetMode="External"/><Relationship Id="rId181" Type="http://schemas.openxmlformats.org/officeDocument/2006/relationships/hyperlink" Target="https://afltables.com/afl/seas/2020.html" TargetMode="External"/><Relationship Id="rId34" Type="http://schemas.openxmlformats.org/officeDocument/2006/relationships/hyperlink" Target="https://afltables.com/afl/teams/westcoast_idx.html" TargetMode="External"/><Relationship Id="rId180" Type="http://schemas.openxmlformats.org/officeDocument/2006/relationships/hyperlink" Target="https://afltables.com/afl/seas/2020.html" TargetMode="External"/><Relationship Id="rId37" Type="http://schemas.openxmlformats.org/officeDocument/2006/relationships/hyperlink" Target="https://afltables.com/afl/seas/2024.html" TargetMode="External"/><Relationship Id="rId176" Type="http://schemas.openxmlformats.org/officeDocument/2006/relationships/hyperlink" Target="https://afltables.com/afl/seas/2020.html" TargetMode="External"/><Relationship Id="rId297" Type="http://schemas.openxmlformats.org/officeDocument/2006/relationships/hyperlink" Target="https://afltables.com/afl/teams/carlton_idx.html" TargetMode="External"/><Relationship Id="rId36" Type="http://schemas.openxmlformats.org/officeDocument/2006/relationships/hyperlink" Target="https://afltables.com/afl/seas/2024.html" TargetMode="External"/><Relationship Id="rId175" Type="http://schemas.openxmlformats.org/officeDocument/2006/relationships/hyperlink" Target="https://afltables.com/afl/seas/2020.html" TargetMode="External"/><Relationship Id="rId296" Type="http://schemas.openxmlformats.org/officeDocument/2006/relationships/hyperlink" Target="https://afltables.com/afl/teams/kangaroos_idx.html" TargetMode="External"/><Relationship Id="rId39" Type="http://schemas.openxmlformats.org/officeDocument/2006/relationships/hyperlink" Target="https://afltables.com/afl/seas/2024.html" TargetMode="External"/><Relationship Id="rId174" Type="http://schemas.openxmlformats.org/officeDocument/2006/relationships/hyperlink" Target="https://afltables.com/afl/seas/2020.html" TargetMode="External"/><Relationship Id="rId295" Type="http://schemas.openxmlformats.org/officeDocument/2006/relationships/hyperlink" Target="https://afltables.com/afl/teams/fremantle_idx.html" TargetMode="External"/><Relationship Id="rId38" Type="http://schemas.openxmlformats.org/officeDocument/2006/relationships/hyperlink" Target="https://afltables.com/afl/seas/2024.html" TargetMode="External"/><Relationship Id="rId173" Type="http://schemas.openxmlformats.org/officeDocument/2006/relationships/hyperlink" Target="https://afltables.com/afl/seas/2020.html" TargetMode="External"/><Relationship Id="rId294" Type="http://schemas.openxmlformats.org/officeDocument/2006/relationships/hyperlink" Target="https://afltables.com/afl/teams/collingwood_idx.html" TargetMode="External"/><Relationship Id="rId179" Type="http://schemas.openxmlformats.org/officeDocument/2006/relationships/hyperlink" Target="https://afltables.com/afl/seas/2020.html" TargetMode="External"/><Relationship Id="rId178" Type="http://schemas.openxmlformats.org/officeDocument/2006/relationships/hyperlink" Target="https://afltables.com/afl/seas/2020.html" TargetMode="External"/><Relationship Id="rId299" Type="http://schemas.openxmlformats.org/officeDocument/2006/relationships/hyperlink" Target="https://afltables.com/afl/teams/brisbanel_idx.html" TargetMode="External"/><Relationship Id="rId177" Type="http://schemas.openxmlformats.org/officeDocument/2006/relationships/hyperlink" Target="https://afltables.com/afl/seas/2020.html" TargetMode="External"/><Relationship Id="rId298" Type="http://schemas.openxmlformats.org/officeDocument/2006/relationships/hyperlink" Target="https://afltables.com/afl/teams/goldcoast_idx.html" TargetMode="External"/><Relationship Id="rId20" Type="http://schemas.openxmlformats.org/officeDocument/2006/relationships/hyperlink" Target="https://afltables.com/afl/teams/collingwood_idx.html" TargetMode="External"/><Relationship Id="rId22" Type="http://schemas.openxmlformats.org/officeDocument/2006/relationships/hyperlink" Target="https://afltables.com/afl/teams/fremantle_idx.html" TargetMode="External"/><Relationship Id="rId21" Type="http://schemas.openxmlformats.org/officeDocument/2006/relationships/hyperlink" Target="https://afltables.com/afl/teams/gws_idx.html" TargetMode="External"/><Relationship Id="rId24" Type="http://schemas.openxmlformats.org/officeDocument/2006/relationships/hyperlink" Target="https://afltables.com/afl/teams/hawthorn_idx.html" TargetMode="External"/><Relationship Id="rId23" Type="http://schemas.openxmlformats.org/officeDocument/2006/relationships/hyperlink" Target="https://afltables.com/afl/teams/goldcoast_idx.html" TargetMode="External"/><Relationship Id="rId26" Type="http://schemas.openxmlformats.org/officeDocument/2006/relationships/hyperlink" Target="https://afltables.com/afl/teams/swans_idx.html" TargetMode="External"/><Relationship Id="rId25" Type="http://schemas.openxmlformats.org/officeDocument/2006/relationships/hyperlink" Target="https://afltables.com/afl/teams/bullldogs_idx.html" TargetMode="External"/><Relationship Id="rId28" Type="http://schemas.openxmlformats.org/officeDocument/2006/relationships/hyperlink" Target="https://afltables.com/afl/teams/stkilda_idx.html" TargetMode="External"/><Relationship Id="rId27" Type="http://schemas.openxmlformats.org/officeDocument/2006/relationships/hyperlink" Target="https://afltables.com/afl/teams/carlton_idx.html" TargetMode="External"/><Relationship Id="rId29" Type="http://schemas.openxmlformats.org/officeDocument/2006/relationships/hyperlink" Target="https://afltables.com/afl/teams/padelaide_idx.html" TargetMode="External"/><Relationship Id="rId11" Type="http://schemas.openxmlformats.org/officeDocument/2006/relationships/hyperlink" Target="https://afltables.com/afl/seas/2025.html" TargetMode="External"/><Relationship Id="rId10" Type="http://schemas.openxmlformats.org/officeDocument/2006/relationships/hyperlink" Target="https://afltables.com/afl/seas/2025.html" TargetMode="External"/><Relationship Id="rId13" Type="http://schemas.openxmlformats.org/officeDocument/2006/relationships/hyperlink" Target="https://afltables.com/afl/seas/2025.html" TargetMode="External"/><Relationship Id="rId12" Type="http://schemas.openxmlformats.org/officeDocument/2006/relationships/hyperlink" Target="https://afltables.com/afl/seas/2025.html" TargetMode="External"/><Relationship Id="rId15" Type="http://schemas.openxmlformats.org/officeDocument/2006/relationships/hyperlink" Target="https://afltables.com/afl/seas/2025.html" TargetMode="External"/><Relationship Id="rId198" Type="http://schemas.openxmlformats.org/officeDocument/2006/relationships/hyperlink" Target="https://afltables.com/afl/teams/swans_idx.html" TargetMode="External"/><Relationship Id="rId14" Type="http://schemas.openxmlformats.org/officeDocument/2006/relationships/hyperlink" Target="https://afltables.com/afl/seas/2025.html" TargetMode="External"/><Relationship Id="rId197" Type="http://schemas.openxmlformats.org/officeDocument/2006/relationships/hyperlink" Target="https://afltables.com/afl/teams/hawthorn_idx.html" TargetMode="External"/><Relationship Id="rId17" Type="http://schemas.openxmlformats.org/officeDocument/2006/relationships/hyperlink" Target="https://afltables.com/afl/teams/adelaide_idx.html" TargetMode="External"/><Relationship Id="rId196" Type="http://schemas.openxmlformats.org/officeDocument/2006/relationships/hyperlink" Target="https://afltables.com/afl/teams/goldcoast_idx.html" TargetMode="External"/><Relationship Id="rId16" Type="http://schemas.openxmlformats.org/officeDocument/2006/relationships/hyperlink" Target="https://afltables.com/afl/seas/2025.html" TargetMode="External"/><Relationship Id="rId195" Type="http://schemas.openxmlformats.org/officeDocument/2006/relationships/hyperlink" Target="https://afltables.com/afl/teams/essendon_idx.html" TargetMode="External"/><Relationship Id="rId19" Type="http://schemas.openxmlformats.org/officeDocument/2006/relationships/hyperlink" Target="https://afltables.com/afl/teams/brisbanel_idx.html" TargetMode="External"/><Relationship Id="rId18" Type="http://schemas.openxmlformats.org/officeDocument/2006/relationships/hyperlink" Target="https://afltables.com/afl/teams/geelong_idx.html" TargetMode="External"/><Relationship Id="rId199" Type="http://schemas.openxmlformats.org/officeDocument/2006/relationships/hyperlink" Target="https://afltables.com/afl/teams/kangaroos_idx.html" TargetMode="External"/><Relationship Id="rId84" Type="http://schemas.openxmlformats.org/officeDocument/2006/relationships/hyperlink" Target="https://afltables.com/afl/teams/collingwood_idx.html" TargetMode="External"/><Relationship Id="rId83" Type="http://schemas.openxmlformats.org/officeDocument/2006/relationships/hyperlink" Target="https://afltables.com/afl/seas/2023.html" TargetMode="External"/><Relationship Id="rId86" Type="http://schemas.openxmlformats.org/officeDocument/2006/relationships/hyperlink" Target="https://afltables.com/afl/teams/padelaide_idx.html" TargetMode="External"/><Relationship Id="rId85" Type="http://schemas.openxmlformats.org/officeDocument/2006/relationships/hyperlink" Target="https://afltables.com/afl/teams/brisbanel_idx.html" TargetMode="External"/><Relationship Id="rId88" Type="http://schemas.openxmlformats.org/officeDocument/2006/relationships/hyperlink" Target="https://afltables.com/afl/teams/carlton_idx.html" TargetMode="External"/><Relationship Id="rId150" Type="http://schemas.openxmlformats.org/officeDocument/2006/relationships/hyperlink" Target="https://afltables.com/afl/teams/melbourne_idx.html" TargetMode="External"/><Relationship Id="rId271" Type="http://schemas.openxmlformats.org/officeDocument/2006/relationships/hyperlink" Target="https://afltables.com/afl/seas/2017.html" TargetMode="External"/><Relationship Id="rId87" Type="http://schemas.openxmlformats.org/officeDocument/2006/relationships/hyperlink" Target="https://afltables.com/afl/teams/melbourne_idx.html" TargetMode="External"/><Relationship Id="rId270" Type="http://schemas.openxmlformats.org/officeDocument/2006/relationships/hyperlink" Target="https://afltables.com/afl/seas/2017.html" TargetMode="External"/><Relationship Id="rId89" Type="http://schemas.openxmlformats.org/officeDocument/2006/relationships/hyperlink" Target="https://afltables.com/afl/teams/stkilda_idx.html" TargetMode="External"/><Relationship Id="rId80" Type="http://schemas.openxmlformats.org/officeDocument/2006/relationships/hyperlink" Target="https://afltables.com/afl/seas/2023.html" TargetMode="External"/><Relationship Id="rId82" Type="http://schemas.openxmlformats.org/officeDocument/2006/relationships/hyperlink" Target="https://afltables.com/afl/seas/2023.html" TargetMode="External"/><Relationship Id="rId81" Type="http://schemas.openxmlformats.org/officeDocument/2006/relationships/hyperlink" Target="https://afltables.com/afl/seas/2023.html" TargetMode="External"/><Relationship Id="rId1" Type="http://schemas.openxmlformats.org/officeDocument/2006/relationships/hyperlink" Target="https://afltables.com/afl/seas/ladders/ladders.html" TargetMode="External"/><Relationship Id="rId2" Type="http://schemas.openxmlformats.org/officeDocument/2006/relationships/hyperlink" Target="https://afltables.com/afl/seas/2025.html" TargetMode="External"/><Relationship Id="rId3" Type="http://schemas.openxmlformats.org/officeDocument/2006/relationships/hyperlink" Target="https://afltables.com/afl/seas/2025.html" TargetMode="External"/><Relationship Id="rId149" Type="http://schemas.openxmlformats.org/officeDocument/2006/relationships/hyperlink" Target="https://afltables.com/afl/seas/2021.html" TargetMode="External"/><Relationship Id="rId4" Type="http://schemas.openxmlformats.org/officeDocument/2006/relationships/hyperlink" Target="https://afltables.com/afl/seas/2025.html" TargetMode="External"/><Relationship Id="rId148" Type="http://schemas.openxmlformats.org/officeDocument/2006/relationships/hyperlink" Target="https://afltables.com/afl/seas/2021.html" TargetMode="External"/><Relationship Id="rId269" Type="http://schemas.openxmlformats.org/officeDocument/2006/relationships/hyperlink" Target="https://afltables.com/afl/seas/2017.html" TargetMode="External"/><Relationship Id="rId9" Type="http://schemas.openxmlformats.org/officeDocument/2006/relationships/hyperlink" Target="https://afltables.com/afl/seas/2025.html" TargetMode="External"/><Relationship Id="rId143" Type="http://schemas.openxmlformats.org/officeDocument/2006/relationships/hyperlink" Target="https://afltables.com/afl/seas/2021.html" TargetMode="External"/><Relationship Id="rId264" Type="http://schemas.openxmlformats.org/officeDocument/2006/relationships/hyperlink" Target="https://afltables.com/afl/teams/stkilda_idx.html" TargetMode="External"/><Relationship Id="rId142" Type="http://schemas.openxmlformats.org/officeDocument/2006/relationships/hyperlink" Target="https://afltables.com/afl/seas/2021.html" TargetMode="External"/><Relationship Id="rId263" Type="http://schemas.openxmlformats.org/officeDocument/2006/relationships/hyperlink" Target="https://afltables.com/afl/teams/brisbanel_idx.html" TargetMode="External"/><Relationship Id="rId141" Type="http://schemas.openxmlformats.org/officeDocument/2006/relationships/hyperlink" Target="https://afltables.com/afl/seas/2021.html" TargetMode="External"/><Relationship Id="rId262" Type="http://schemas.openxmlformats.org/officeDocument/2006/relationships/hyperlink" Target="https://afltables.com/afl/teams/fremantle_idx.html" TargetMode="External"/><Relationship Id="rId140" Type="http://schemas.openxmlformats.org/officeDocument/2006/relationships/hyperlink" Target="https://afltables.com/afl/seas/2021.html" TargetMode="External"/><Relationship Id="rId261" Type="http://schemas.openxmlformats.org/officeDocument/2006/relationships/hyperlink" Target="https://afltables.com/afl/teams/bullldogs_idx.html" TargetMode="External"/><Relationship Id="rId5" Type="http://schemas.openxmlformats.org/officeDocument/2006/relationships/hyperlink" Target="https://afltables.com/afl/seas/2025.html" TargetMode="External"/><Relationship Id="rId147" Type="http://schemas.openxmlformats.org/officeDocument/2006/relationships/hyperlink" Target="https://afltables.com/afl/seas/2021.html" TargetMode="External"/><Relationship Id="rId268" Type="http://schemas.openxmlformats.org/officeDocument/2006/relationships/hyperlink" Target="https://afltables.com/afl/seas/2017.html" TargetMode="External"/><Relationship Id="rId6" Type="http://schemas.openxmlformats.org/officeDocument/2006/relationships/hyperlink" Target="https://afltables.com/afl/seas/2025.html" TargetMode="External"/><Relationship Id="rId146" Type="http://schemas.openxmlformats.org/officeDocument/2006/relationships/hyperlink" Target="https://afltables.com/afl/seas/2021.html" TargetMode="External"/><Relationship Id="rId267" Type="http://schemas.openxmlformats.org/officeDocument/2006/relationships/hyperlink" Target="https://afltables.com/afl/seas/ladders/ladders.html" TargetMode="External"/><Relationship Id="rId7" Type="http://schemas.openxmlformats.org/officeDocument/2006/relationships/hyperlink" Target="https://afltables.com/afl/seas/2025.html" TargetMode="External"/><Relationship Id="rId145" Type="http://schemas.openxmlformats.org/officeDocument/2006/relationships/hyperlink" Target="https://afltables.com/afl/seas/2021.html" TargetMode="External"/><Relationship Id="rId266" Type="http://schemas.openxmlformats.org/officeDocument/2006/relationships/hyperlink" Target="https://afltables.com/afl/teams/carlton_idx.html" TargetMode="External"/><Relationship Id="rId8" Type="http://schemas.openxmlformats.org/officeDocument/2006/relationships/hyperlink" Target="https://afltables.com/afl/seas/2025.html" TargetMode="External"/><Relationship Id="rId144" Type="http://schemas.openxmlformats.org/officeDocument/2006/relationships/hyperlink" Target="https://afltables.com/afl/seas/2021.html" TargetMode="External"/><Relationship Id="rId265" Type="http://schemas.openxmlformats.org/officeDocument/2006/relationships/hyperlink" Target="https://afltables.com/afl/teams/goldcoast_idx.html" TargetMode="External"/><Relationship Id="rId73" Type="http://schemas.openxmlformats.org/officeDocument/2006/relationships/hyperlink" Target="https://afltables.com/afl/seas/2023.html" TargetMode="External"/><Relationship Id="rId72" Type="http://schemas.openxmlformats.org/officeDocument/2006/relationships/hyperlink" Target="https://afltables.com/afl/seas/2023.html" TargetMode="External"/><Relationship Id="rId75" Type="http://schemas.openxmlformats.org/officeDocument/2006/relationships/hyperlink" Target="https://afltables.com/afl/seas/2023.html" TargetMode="External"/><Relationship Id="rId74" Type="http://schemas.openxmlformats.org/officeDocument/2006/relationships/hyperlink" Target="https://afltables.com/afl/seas/2023.html" TargetMode="External"/><Relationship Id="rId77" Type="http://schemas.openxmlformats.org/officeDocument/2006/relationships/hyperlink" Target="https://afltables.com/afl/seas/2023.html" TargetMode="External"/><Relationship Id="rId260" Type="http://schemas.openxmlformats.org/officeDocument/2006/relationships/hyperlink" Target="https://afltables.com/afl/teams/adelaide_idx.html" TargetMode="External"/><Relationship Id="rId76" Type="http://schemas.openxmlformats.org/officeDocument/2006/relationships/hyperlink" Target="https://afltables.com/afl/seas/2023.html" TargetMode="External"/><Relationship Id="rId79" Type="http://schemas.openxmlformats.org/officeDocument/2006/relationships/hyperlink" Target="https://afltables.com/afl/seas/2023.html" TargetMode="External"/><Relationship Id="rId78" Type="http://schemas.openxmlformats.org/officeDocument/2006/relationships/hyperlink" Target="https://afltables.com/afl/seas/2023.html" TargetMode="External"/><Relationship Id="rId71" Type="http://schemas.openxmlformats.org/officeDocument/2006/relationships/hyperlink" Target="https://afltables.com/afl/seas/2023.html" TargetMode="External"/><Relationship Id="rId70" Type="http://schemas.openxmlformats.org/officeDocument/2006/relationships/hyperlink" Target="https://afltables.com/afl/seas/2023.html" TargetMode="External"/><Relationship Id="rId139" Type="http://schemas.openxmlformats.org/officeDocument/2006/relationships/hyperlink" Target="https://afltables.com/afl/seas/2021.html" TargetMode="External"/><Relationship Id="rId138" Type="http://schemas.openxmlformats.org/officeDocument/2006/relationships/hyperlink" Target="https://afltables.com/afl/seas/2021.html" TargetMode="External"/><Relationship Id="rId259" Type="http://schemas.openxmlformats.org/officeDocument/2006/relationships/hyperlink" Target="https://afltables.com/afl/teams/essendon_idx.html" TargetMode="External"/><Relationship Id="rId137" Type="http://schemas.openxmlformats.org/officeDocument/2006/relationships/hyperlink" Target="https://afltables.com/afl/seas/2021.html" TargetMode="External"/><Relationship Id="rId258" Type="http://schemas.openxmlformats.org/officeDocument/2006/relationships/hyperlink" Target="https://afltables.com/afl/teams/padelaide_idx.html" TargetMode="External"/><Relationship Id="rId132" Type="http://schemas.openxmlformats.org/officeDocument/2006/relationships/hyperlink" Target="https://afltables.com/afl/teams/gws_idx.html" TargetMode="External"/><Relationship Id="rId253" Type="http://schemas.openxmlformats.org/officeDocument/2006/relationships/hyperlink" Target="https://afltables.com/afl/teams/melbourne_idx.html" TargetMode="External"/><Relationship Id="rId131" Type="http://schemas.openxmlformats.org/officeDocument/2006/relationships/hyperlink" Target="https://afltables.com/afl/teams/essendon_idx.html" TargetMode="External"/><Relationship Id="rId252" Type="http://schemas.openxmlformats.org/officeDocument/2006/relationships/hyperlink" Target="https://afltables.com/afl/teams/hawthorn_idx.html" TargetMode="External"/><Relationship Id="rId130" Type="http://schemas.openxmlformats.org/officeDocument/2006/relationships/hyperlink" Target="https://afltables.com/afl/teams/adelaide_idx.html" TargetMode="External"/><Relationship Id="rId251" Type="http://schemas.openxmlformats.org/officeDocument/2006/relationships/hyperlink" Target="https://afltables.com/afl/teams/collingwood_idx.html" TargetMode="External"/><Relationship Id="rId250" Type="http://schemas.openxmlformats.org/officeDocument/2006/relationships/hyperlink" Target="https://afltables.com/afl/teams/westcoast_idx.html" TargetMode="External"/><Relationship Id="rId136" Type="http://schemas.openxmlformats.org/officeDocument/2006/relationships/hyperlink" Target="https://afltables.com/afl/seas/2021.html" TargetMode="External"/><Relationship Id="rId257" Type="http://schemas.openxmlformats.org/officeDocument/2006/relationships/hyperlink" Target="https://afltables.com/afl/teams/kangaroos_idx.html" TargetMode="External"/><Relationship Id="rId135" Type="http://schemas.openxmlformats.org/officeDocument/2006/relationships/hyperlink" Target="https://afltables.com/afl/seas/ladders/ladders.html" TargetMode="External"/><Relationship Id="rId256" Type="http://schemas.openxmlformats.org/officeDocument/2006/relationships/hyperlink" Target="https://afltables.com/afl/teams/geelong_idx.html" TargetMode="External"/><Relationship Id="rId134" Type="http://schemas.openxmlformats.org/officeDocument/2006/relationships/hyperlink" Target="https://afltables.com/afl/teams/kangaroos_idx.html" TargetMode="External"/><Relationship Id="rId255" Type="http://schemas.openxmlformats.org/officeDocument/2006/relationships/hyperlink" Target="https://afltables.com/afl/teams/gws_idx.html" TargetMode="External"/><Relationship Id="rId133" Type="http://schemas.openxmlformats.org/officeDocument/2006/relationships/hyperlink" Target="https://afltables.com/afl/teams/westcoast_idx.html" TargetMode="External"/><Relationship Id="rId254" Type="http://schemas.openxmlformats.org/officeDocument/2006/relationships/hyperlink" Target="https://afltables.com/afl/teams/swans_idx.html" TargetMode="External"/><Relationship Id="rId62" Type="http://schemas.openxmlformats.org/officeDocument/2006/relationships/hyperlink" Target="https://afltables.com/afl/teams/stkilda_idx.html" TargetMode="External"/><Relationship Id="rId61" Type="http://schemas.openxmlformats.org/officeDocument/2006/relationships/hyperlink" Target="https://afltables.com/afl/teams/essendon_idx.html" TargetMode="External"/><Relationship Id="rId64" Type="http://schemas.openxmlformats.org/officeDocument/2006/relationships/hyperlink" Target="https://afltables.com/afl/teams/melbourne_idx.html" TargetMode="External"/><Relationship Id="rId63" Type="http://schemas.openxmlformats.org/officeDocument/2006/relationships/hyperlink" Target="https://afltables.com/afl/teams/goldcoast_idx.html" TargetMode="External"/><Relationship Id="rId66" Type="http://schemas.openxmlformats.org/officeDocument/2006/relationships/hyperlink" Target="https://afltables.com/afl/teams/westcoast_idx.html" TargetMode="External"/><Relationship Id="rId172" Type="http://schemas.openxmlformats.org/officeDocument/2006/relationships/hyperlink" Target="https://afltables.com/afl/seas/2020.html" TargetMode="External"/><Relationship Id="rId293" Type="http://schemas.openxmlformats.org/officeDocument/2006/relationships/hyperlink" Target="https://afltables.com/afl/teams/hawthorn_idx.html" TargetMode="External"/><Relationship Id="rId65" Type="http://schemas.openxmlformats.org/officeDocument/2006/relationships/hyperlink" Target="https://afltables.com/afl/teams/adelaide_idx.html" TargetMode="External"/><Relationship Id="rId171" Type="http://schemas.openxmlformats.org/officeDocument/2006/relationships/hyperlink" Target="https://afltables.com/afl/seas/2020.html" TargetMode="External"/><Relationship Id="rId292" Type="http://schemas.openxmlformats.org/officeDocument/2006/relationships/hyperlink" Target="https://afltables.com/afl/teams/stkilda_idx.html" TargetMode="External"/><Relationship Id="rId68" Type="http://schemas.openxmlformats.org/officeDocument/2006/relationships/hyperlink" Target="https://afltables.com/afl/teams/richmond_idx.html" TargetMode="External"/><Relationship Id="rId170" Type="http://schemas.openxmlformats.org/officeDocument/2006/relationships/hyperlink" Target="https://afltables.com/afl/seas/2020.html" TargetMode="External"/><Relationship Id="rId291" Type="http://schemas.openxmlformats.org/officeDocument/2006/relationships/hyperlink" Target="https://afltables.com/afl/teams/bullldogs_idx.html" TargetMode="External"/><Relationship Id="rId67" Type="http://schemas.openxmlformats.org/officeDocument/2006/relationships/hyperlink" Target="https://afltables.com/afl/teams/kangaroos_idx.html" TargetMode="External"/><Relationship Id="rId290" Type="http://schemas.openxmlformats.org/officeDocument/2006/relationships/hyperlink" Target="https://afltables.com/afl/teams/melbourne_idx.html" TargetMode="External"/><Relationship Id="rId60" Type="http://schemas.openxmlformats.org/officeDocument/2006/relationships/hyperlink" Target="https://afltables.com/afl/teams/fremantle_idx.html" TargetMode="External"/><Relationship Id="rId165" Type="http://schemas.openxmlformats.org/officeDocument/2006/relationships/hyperlink" Target="https://afltables.com/afl/teams/goldcoast_idx.html" TargetMode="External"/><Relationship Id="rId286" Type="http://schemas.openxmlformats.org/officeDocument/2006/relationships/hyperlink" Target="https://afltables.com/afl/teams/padelaide_idx.html" TargetMode="External"/><Relationship Id="rId69" Type="http://schemas.openxmlformats.org/officeDocument/2006/relationships/hyperlink" Target="https://afltables.com/afl/seas/ladders/ladders.html" TargetMode="External"/><Relationship Id="rId164" Type="http://schemas.openxmlformats.org/officeDocument/2006/relationships/hyperlink" Target="https://afltables.com/afl/teams/adelaide_idx.html" TargetMode="External"/><Relationship Id="rId285" Type="http://schemas.openxmlformats.org/officeDocument/2006/relationships/hyperlink" Target="https://afltables.com/afl/teams/gws_idx.html" TargetMode="External"/><Relationship Id="rId163" Type="http://schemas.openxmlformats.org/officeDocument/2006/relationships/hyperlink" Target="https://afltables.com/afl/teams/hawthorn_idx.html" TargetMode="External"/><Relationship Id="rId284" Type="http://schemas.openxmlformats.org/officeDocument/2006/relationships/hyperlink" Target="https://afltables.com/afl/teams/richmond_idx.html" TargetMode="External"/><Relationship Id="rId162" Type="http://schemas.openxmlformats.org/officeDocument/2006/relationships/hyperlink" Target="https://afltables.com/afl/teams/carlton_idx.html" TargetMode="External"/><Relationship Id="rId283" Type="http://schemas.openxmlformats.org/officeDocument/2006/relationships/hyperlink" Target="https://afltables.com/afl/teams/geelong_idx.html" TargetMode="External"/><Relationship Id="rId169" Type="http://schemas.openxmlformats.org/officeDocument/2006/relationships/hyperlink" Target="https://afltables.com/afl/seas/2020.html" TargetMode="External"/><Relationship Id="rId168" Type="http://schemas.openxmlformats.org/officeDocument/2006/relationships/hyperlink" Target="https://afltables.com/afl/seas/ladders/ladders.html" TargetMode="External"/><Relationship Id="rId289" Type="http://schemas.openxmlformats.org/officeDocument/2006/relationships/hyperlink" Target="https://afltables.com/afl/teams/westcoast_idx.html" TargetMode="External"/><Relationship Id="rId167" Type="http://schemas.openxmlformats.org/officeDocument/2006/relationships/hyperlink" Target="https://afltables.com/afl/teams/kangaroos_idx.html" TargetMode="External"/><Relationship Id="rId288" Type="http://schemas.openxmlformats.org/officeDocument/2006/relationships/hyperlink" Target="https://afltables.com/afl/teams/essendon_idx.html" TargetMode="External"/><Relationship Id="rId166" Type="http://schemas.openxmlformats.org/officeDocument/2006/relationships/hyperlink" Target="https://afltables.com/afl/teams/collingwood_idx.html" TargetMode="External"/><Relationship Id="rId287" Type="http://schemas.openxmlformats.org/officeDocument/2006/relationships/hyperlink" Target="https://afltables.com/afl/teams/swans_idx.html" TargetMode="External"/><Relationship Id="rId51" Type="http://schemas.openxmlformats.org/officeDocument/2006/relationships/hyperlink" Target="https://afltables.com/afl/teams/swans_idx.html" TargetMode="External"/><Relationship Id="rId50" Type="http://schemas.openxmlformats.org/officeDocument/2006/relationships/hyperlink" Target="https://afltables.com/afl/seas/2024.html" TargetMode="External"/><Relationship Id="rId53" Type="http://schemas.openxmlformats.org/officeDocument/2006/relationships/hyperlink" Target="https://afltables.com/afl/teams/geelong_idx.html" TargetMode="External"/><Relationship Id="rId52" Type="http://schemas.openxmlformats.org/officeDocument/2006/relationships/hyperlink" Target="https://afltables.com/afl/teams/padelaide_idx.html" TargetMode="External"/><Relationship Id="rId55" Type="http://schemas.openxmlformats.org/officeDocument/2006/relationships/hyperlink" Target="https://afltables.com/afl/teams/brisbanel_idx.html" TargetMode="External"/><Relationship Id="rId161" Type="http://schemas.openxmlformats.org/officeDocument/2006/relationships/hyperlink" Target="https://afltables.com/afl/teams/richmond_idx.html" TargetMode="External"/><Relationship Id="rId282" Type="http://schemas.openxmlformats.org/officeDocument/2006/relationships/hyperlink" Target="https://afltables.com/afl/teams/adelaide_idx.html" TargetMode="External"/><Relationship Id="rId54" Type="http://schemas.openxmlformats.org/officeDocument/2006/relationships/hyperlink" Target="https://afltables.com/afl/teams/gws_idx.html" TargetMode="External"/><Relationship Id="rId160" Type="http://schemas.openxmlformats.org/officeDocument/2006/relationships/hyperlink" Target="https://afltables.com/afl/teams/fremantle_idx.html" TargetMode="External"/><Relationship Id="rId281" Type="http://schemas.openxmlformats.org/officeDocument/2006/relationships/hyperlink" Target="https://afltables.com/afl/seas/2017.html" TargetMode="External"/><Relationship Id="rId57" Type="http://schemas.openxmlformats.org/officeDocument/2006/relationships/hyperlink" Target="https://afltables.com/afl/teams/hawthorn_idx.html" TargetMode="External"/><Relationship Id="rId280" Type="http://schemas.openxmlformats.org/officeDocument/2006/relationships/hyperlink" Target="https://afltables.com/afl/seas/2017.html" TargetMode="External"/><Relationship Id="rId56" Type="http://schemas.openxmlformats.org/officeDocument/2006/relationships/hyperlink" Target="https://afltables.com/afl/teams/bullldogs_idx.html" TargetMode="External"/><Relationship Id="rId159" Type="http://schemas.openxmlformats.org/officeDocument/2006/relationships/hyperlink" Target="https://afltables.com/afl/teams/stkilda_idx.html" TargetMode="External"/><Relationship Id="rId59" Type="http://schemas.openxmlformats.org/officeDocument/2006/relationships/hyperlink" Target="https://afltables.com/afl/teams/collingwood_idx.html" TargetMode="External"/><Relationship Id="rId154" Type="http://schemas.openxmlformats.org/officeDocument/2006/relationships/hyperlink" Target="https://afltables.com/afl/teams/bullldogs_idx.html" TargetMode="External"/><Relationship Id="rId275" Type="http://schemas.openxmlformats.org/officeDocument/2006/relationships/hyperlink" Target="https://afltables.com/afl/seas/2017.html" TargetMode="External"/><Relationship Id="rId58" Type="http://schemas.openxmlformats.org/officeDocument/2006/relationships/hyperlink" Target="https://afltables.com/afl/teams/carlton_idx.html" TargetMode="External"/><Relationship Id="rId153" Type="http://schemas.openxmlformats.org/officeDocument/2006/relationships/hyperlink" Target="https://afltables.com/afl/teams/brisbanel_idx.html" TargetMode="External"/><Relationship Id="rId274" Type="http://schemas.openxmlformats.org/officeDocument/2006/relationships/hyperlink" Target="https://afltables.com/afl/seas/2017.html" TargetMode="External"/><Relationship Id="rId152" Type="http://schemas.openxmlformats.org/officeDocument/2006/relationships/hyperlink" Target="https://afltables.com/afl/teams/geelong_idx.html" TargetMode="External"/><Relationship Id="rId273" Type="http://schemas.openxmlformats.org/officeDocument/2006/relationships/hyperlink" Target="https://afltables.com/afl/seas/2017.html" TargetMode="External"/><Relationship Id="rId151" Type="http://schemas.openxmlformats.org/officeDocument/2006/relationships/hyperlink" Target="https://afltables.com/afl/teams/padelaide_idx.html" TargetMode="External"/><Relationship Id="rId272" Type="http://schemas.openxmlformats.org/officeDocument/2006/relationships/hyperlink" Target="https://afltables.com/afl/seas/2017.html" TargetMode="External"/><Relationship Id="rId158" Type="http://schemas.openxmlformats.org/officeDocument/2006/relationships/hyperlink" Target="https://afltables.com/afl/teams/westcoast_idx.html" TargetMode="External"/><Relationship Id="rId279" Type="http://schemas.openxmlformats.org/officeDocument/2006/relationships/hyperlink" Target="https://afltables.com/afl/seas/2017.html" TargetMode="External"/><Relationship Id="rId157" Type="http://schemas.openxmlformats.org/officeDocument/2006/relationships/hyperlink" Target="https://afltables.com/afl/teams/essendon_idx.html" TargetMode="External"/><Relationship Id="rId278" Type="http://schemas.openxmlformats.org/officeDocument/2006/relationships/hyperlink" Target="https://afltables.com/afl/seas/2017.html" TargetMode="External"/><Relationship Id="rId156" Type="http://schemas.openxmlformats.org/officeDocument/2006/relationships/hyperlink" Target="https://afltables.com/afl/teams/gws_idx.html" TargetMode="External"/><Relationship Id="rId277" Type="http://schemas.openxmlformats.org/officeDocument/2006/relationships/hyperlink" Target="https://afltables.com/afl/seas/2017.html" TargetMode="External"/><Relationship Id="rId155" Type="http://schemas.openxmlformats.org/officeDocument/2006/relationships/hyperlink" Target="https://afltables.com/afl/teams/swans_idx.html" TargetMode="External"/><Relationship Id="rId276" Type="http://schemas.openxmlformats.org/officeDocument/2006/relationships/hyperlink" Target="https://afltables.com/afl/seas/2017.html" TargetMode="External"/><Relationship Id="rId107" Type="http://schemas.openxmlformats.org/officeDocument/2006/relationships/hyperlink" Target="https://afltables.com/afl/seas/2022.html" TargetMode="External"/><Relationship Id="rId228" Type="http://schemas.openxmlformats.org/officeDocument/2006/relationships/hyperlink" Target="https://afltables.com/afl/teams/fremantle_idx.html" TargetMode="External"/><Relationship Id="rId349" Type="http://schemas.openxmlformats.org/officeDocument/2006/relationships/hyperlink" Target="https://afltables.com/afl/teams/westcoast_idx.html" TargetMode="External"/><Relationship Id="rId106" Type="http://schemas.openxmlformats.org/officeDocument/2006/relationships/hyperlink" Target="https://afltables.com/afl/seas/2022.html" TargetMode="External"/><Relationship Id="rId227" Type="http://schemas.openxmlformats.org/officeDocument/2006/relationships/hyperlink" Target="https://afltables.com/afl/teams/kangaroos_idx.html" TargetMode="External"/><Relationship Id="rId348" Type="http://schemas.openxmlformats.org/officeDocument/2006/relationships/hyperlink" Target="https://afltables.com/afl/teams/fremantle_idx.html" TargetMode="External"/><Relationship Id="rId105" Type="http://schemas.openxmlformats.org/officeDocument/2006/relationships/hyperlink" Target="https://afltables.com/afl/seas/2022.html" TargetMode="External"/><Relationship Id="rId226" Type="http://schemas.openxmlformats.org/officeDocument/2006/relationships/hyperlink" Target="https://afltables.com/afl/teams/adelaide_idx.html" TargetMode="External"/><Relationship Id="rId347" Type="http://schemas.openxmlformats.org/officeDocument/2006/relationships/hyperlink" Target="https://afltables.com/afl/seas/2015.html" TargetMode="External"/><Relationship Id="rId104" Type="http://schemas.openxmlformats.org/officeDocument/2006/relationships/hyperlink" Target="https://afltables.com/afl/seas/2022.html" TargetMode="External"/><Relationship Id="rId225" Type="http://schemas.openxmlformats.org/officeDocument/2006/relationships/hyperlink" Target="https://afltables.com/afl/teams/padelaide_idx.html" TargetMode="External"/><Relationship Id="rId346" Type="http://schemas.openxmlformats.org/officeDocument/2006/relationships/hyperlink" Target="https://afltables.com/afl/seas/2015.html" TargetMode="External"/><Relationship Id="rId109" Type="http://schemas.openxmlformats.org/officeDocument/2006/relationships/hyperlink" Target="https://afltables.com/afl/seas/2022.html" TargetMode="External"/><Relationship Id="rId108" Type="http://schemas.openxmlformats.org/officeDocument/2006/relationships/hyperlink" Target="https://afltables.com/afl/seas/2022.html" TargetMode="External"/><Relationship Id="rId229" Type="http://schemas.openxmlformats.org/officeDocument/2006/relationships/hyperlink" Target="https://afltables.com/afl/teams/stkilda_idx.html" TargetMode="External"/><Relationship Id="rId220" Type="http://schemas.openxmlformats.org/officeDocument/2006/relationships/hyperlink" Target="https://afltables.com/afl/teams/westcoast_idx.html" TargetMode="External"/><Relationship Id="rId341" Type="http://schemas.openxmlformats.org/officeDocument/2006/relationships/hyperlink" Target="https://afltables.com/afl/seas/2015.html" TargetMode="External"/><Relationship Id="rId340" Type="http://schemas.openxmlformats.org/officeDocument/2006/relationships/hyperlink" Target="https://afltables.com/afl/seas/2015.html" TargetMode="External"/><Relationship Id="rId103" Type="http://schemas.openxmlformats.org/officeDocument/2006/relationships/hyperlink" Target="https://afltables.com/afl/seas/2022.html" TargetMode="External"/><Relationship Id="rId224" Type="http://schemas.openxmlformats.org/officeDocument/2006/relationships/hyperlink" Target="https://afltables.com/afl/teams/hawthorn_idx.html" TargetMode="External"/><Relationship Id="rId345" Type="http://schemas.openxmlformats.org/officeDocument/2006/relationships/hyperlink" Target="https://afltables.com/afl/seas/2015.html" TargetMode="External"/><Relationship Id="rId102" Type="http://schemas.openxmlformats.org/officeDocument/2006/relationships/hyperlink" Target="https://afltables.com/afl/seas/ladders/ladders.html" TargetMode="External"/><Relationship Id="rId223" Type="http://schemas.openxmlformats.org/officeDocument/2006/relationships/hyperlink" Target="https://afltables.com/afl/teams/essendon_idx.html" TargetMode="External"/><Relationship Id="rId344" Type="http://schemas.openxmlformats.org/officeDocument/2006/relationships/hyperlink" Target="https://afltables.com/afl/seas/2015.html" TargetMode="External"/><Relationship Id="rId101" Type="http://schemas.openxmlformats.org/officeDocument/2006/relationships/hyperlink" Target="https://afltables.com/afl/teams/westcoast_idx.html" TargetMode="External"/><Relationship Id="rId222" Type="http://schemas.openxmlformats.org/officeDocument/2006/relationships/hyperlink" Target="https://afltables.com/afl/teams/bullldogs_idx.html" TargetMode="External"/><Relationship Id="rId343" Type="http://schemas.openxmlformats.org/officeDocument/2006/relationships/hyperlink" Target="https://afltables.com/afl/seas/2015.html" TargetMode="External"/><Relationship Id="rId100" Type="http://schemas.openxmlformats.org/officeDocument/2006/relationships/hyperlink" Target="https://afltables.com/afl/teams/kangaroos_idx.html" TargetMode="External"/><Relationship Id="rId221" Type="http://schemas.openxmlformats.org/officeDocument/2006/relationships/hyperlink" Target="https://afltables.com/afl/teams/gws_idx.html" TargetMode="External"/><Relationship Id="rId342" Type="http://schemas.openxmlformats.org/officeDocument/2006/relationships/hyperlink" Target="https://afltables.com/afl/seas/2015.html" TargetMode="External"/><Relationship Id="rId217" Type="http://schemas.openxmlformats.org/officeDocument/2006/relationships/hyperlink" Target="https://afltables.com/afl/teams/brisbanel_idx.html" TargetMode="External"/><Relationship Id="rId338" Type="http://schemas.openxmlformats.org/officeDocument/2006/relationships/hyperlink" Target="https://afltables.com/afl/seas/2015.html" TargetMode="External"/><Relationship Id="rId216" Type="http://schemas.openxmlformats.org/officeDocument/2006/relationships/hyperlink" Target="https://afltables.com/afl/teams/geelong_idx.html" TargetMode="External"/><Relationship Id="rId337" Type="http://schemas.openxmlformats.org/officeDocument/2006/relationships/hyperlink" Target="https://afltables.com/afl/seas/2015.html" TargetMode="External"/><Relationship Id="rId215" Type="http://schemas.openxmlformats.org/officeDocument/2006/relationships/hyperlink" Target="https://afltables.com/afl/seas/2019.html" TargetMode="External"/><Relationship Id="rId336" Type="http://schemas.openxmlformats.org/officeDocument/2006/relationships/hyperlink" Target="https://afltables.com/afl/seas/2015.html" TargetMode="External"/><Relationship Id="rId214" Type="http://schemas.openxmlformats.org/officeDocument/2006/relationships/hyperlink" Target="https://afltables.com/afl/seas/2019.html" TargetMode="External"/><Relationship Id="rId335" Type="http://schemas.openxmlformats.org/officeDocument/2006/relationships/hyperlink" Target="https://afltables.com/afl/seas/2015.html" TargetMode="External"/><Relationship Id="rId219" Type="http://schemas.openxmlformats.org/officeDocument/2006/relationships/hyperlink" Target="https://afltables.com/afl/teams/collingwood_idx.html" TargetMode="External"/><Relationship Id="rId218" Type="http://schemas.openxmlformats.org/officeDocument/2006/relationships/hyperlink" Target="https://afltables.com/afl/teams/richmond_idx.html" TargetMode="External"/><Relationship Id="rId339" Type="http://schemas.openxmlformats.org/officeDocument/2006/relationships/hyperlink" Target="https://afltables.com/afl/seas/2015.html" TargetMode="External"/><Relationship Id="rId330" Type="http://schemas.openxmlformats.org/officeDocument/2006/relationships/hyperlink" Target="https://afltables.com/afl/teams/fremantle_idx.html" TargetMode="External"/><Relationship Id="rId213" Type="http://schemas.openxmlformats.org/officeDocument/2006/relationships/hyperlink" Target="https://afltables.com/afl/seas/2019.html" TargetMode="External"/><Relationship Id="rId334" Type="http://schemas.openxmlformats.org/officeDocument/2006/relationships/hyperlink" Target="https://afltables.com/afl/seas/2015.html" TargetMode="External"/><Relationship Id="rId212" Type="http://schemas.openxmlformats.org/officeDocument/2006/relationships/hyperlink" Target="https://afltables.com/afl/seas/2019.html" TargetMode="External"/><Relationship Id="rId333" Type="http://schemas.openxmlformats.org/officeDocument/2006/relationships/hyperlink" Target="https://afltables.com/afl/seas/ladders/ladders.html" TargetMode="External"/><Relationship Id="rId211" Type="http://schemas.openxmlformats.org/officeDocument/2006/relationships/hyperlink" Target="https://afltables.com/afl/seas/2019.html" TargetMode="External"/><Relationship Id="rId332" Type="http://schemas.openxmlformats.org/officeDocument/2006/relationships/hyperlink" Target="https://afltables.com/afl/teams/essendon_idx.html" TargetMode="External"/><Relationship Id="rId210" Type="http://schemas.openxmlformats.org/officeDocument/2006/relationships/hyperlink" Target="https://afltables.com/afl/seas/2019.html" TargetMode="External"/><Relationship Id="rId331" Type="http://schemas.openxmlformats.org/officeDocument/2006/relationships/hyperlink" Target="https://afltables.com/afl/teams/brisbanel_idx.html" TargetMode="External"/><Relationship Id="rId129" Type="http://schemas.openxmlformats.org/officeDocument/2006/relationships/hyperlink" Target="https://afltables.com/afl/teams/hawthorn_idx.html" TargetMode="External"/><Relationship Id="rId128" Type="http://schemas.openxmlformats.org/officeDocument/2006/relationships/hyperlink" Target="https://afltables.com/afl/teams/goldcoast_idx.html" TargetMode="External"/><Relationship Id="rId249" Type="http://schemas.openxmlformats.org/officeDocument/2006/relationships/hyperlink" Target="https://afltables.com/afl/teams/richmond_idx.html" TargetMode="External"/><Relationship Id="rId127" Type="http://schemas.openxmlformats.org/officeDocument/2006/relationships/hyperlink" Target="https://afltables.com/afl/teams/padelaide_idx.html" TargetMode="External"/><Relationship Id="rId248" Type="http://schemas.openxmlformats.org/officeDocument/2006/relationships/hyperlink" Target="https://afltables.com/afl/seas/2018.html" TargetMode="External"/><Relationship Id="rId126" Type="http://schemas.openxmlformats.org/officeDocument/2006/relationships/hyperlink" Target="https://afltables.com/afl/teams/stkilda_idx.html" TargetMode="External"/><Relationship Id="rId247" Type="http://schemas.openxmlformats.org/officeDocument/2006/relationships/hyperlink" Target="https://afltables.com/afl/seas/2018.html" TargetMode="External"/><Relationship Id="rId121" Type="http://schemas.openxmlformats.org/officeDocument/2006/relationships/hyperlink" Target="https://afltables.com/afl/teams/fremantle_idx.html" TargetMode="External"/><Relationship Id="rId242" Type="http://schemas.openxmlformats.org/officeDocument/2006/relationships/hyperlink" Target="https://afltables.com/afl/seas/2018.html" TargetMode="External"/><Relationship Id="rId363" Type="http://schemas.openxmlformats.org/officeDocument/2006/relationships/hyperlink" Target="https://afltables.com/afl/teams/goldcoast_idx.html" TargetMode="External"/><Relationship Id="rId120" Type="http://schemas.openxmlformats.org/officeDocument/2006/relationships/hyperlink" Target="https://afltables.com/afl/teams/collingwood_idx.html" TargetMode="External"/><Relationship Id="rId241" Type="http://schemas.openxmlformats.org/officeDocument/2006/relationships/hyperlink" Target="https://afltables.com/afl/seas/2018.html" TargetMode="External"/><Relationship Id="rId362" Type="http://schemas.openxmlformats.org/officeDocument/2006/relationships/hyperlink" Target="https://afltables.com/afl/teams/essendon_idx.html" TargetMode="External"/><Relationship Id="rId240" Type="http://schemas.openxmlformats.org/officeDocument/2006/relationships/hyperlink" Target="https://afltables.com/afl/seas/2018.html" TargetMode="External"/><Relationship Id="rId361" Type="http://schemas.openxmlformats.org/officeDocument/2006/relationships/hyperlink" Target="https://afltables.com/afl/teams/stkilda_idx.html" TargetMode="External"/><Relationship Id="rId360" Type="http://schemas.openxmlformats.org/officeDocument/2006/relationships/hyperlink" Target="https://afltables.com/afl/teams/melbourne_idx.html" TargetMode="External"/><Relationship Id="rId125" Type="http://schemas.openxmlformats.org/officeDocument/2006/relationships/hyperlink" Target="https://afltables.com/afl/teams/carlton_idx.html" TargetMode="External"/><Relationship Id="rId246" Type="http://schemas.openxmlformats.org/officeDocument/2006/relationships/hyperlink" Target="https://afltables.com/afl/seas/2018.html" TargetMode="External"/><Relationship Id="rId124" Type="http://schemas.openxmlformats.org/officeDocument/2006/relationships/hyperlink" Target="https://afltables.com/afl/teams/bullldogs_idx.html" TargetMode="External"/><Relationship Id="rId245" Type="http://schemas.openxmlformats.org/officeDocument/2006/relationships/hyperlink" Target="https://afltables.com/afl/seas/2018.html" TargetMode="External"/><Relationship Id="rId366" Type="http://schemas.openxmlformats.org/officeDocument/2006/relationships/drawing" Target="../drawings/drawing1.xml"/><Relationship Id="rId123" Type="http://schemas.openxmlformats.org/officeDocument/2006/relationships/hyperlink" Target="https://afltables.com/afl/teams/richmond_idx.html" TargetMode="External"/><Relationship Id="rId244" Type="http://schemas.openxmlformats.org/officeDocument/2006/relationships/hyperlink" Target="https://afltables.com/afl/seas/2018.html" TargetMode="External"/><Relationship Id="rId365" Type="http://schemas.openxmlformats.org/officeDocument/2006/relationships/hyperlink" Target="https://afltables.com/afl/teams/carlton_idx.html" TargetMode="External"/><Relationship Id="rId122" Type="http://schemas.openxmlformats.org/officeDocument/2006/relationships/hyperlink" Target="https://afltables.com/afl/teams/brisbanel_idx.html" TargetMode="External"/><Relationship Id="rId243" Type="http://schemas.openxmlformats.org/officeDocument/2006/relationships/hyperlink" Target="https://afltables.com/afl/seas/2018.html" TargetMode="External"/><Relationship Id="rId364" Type="http://schemas.openxmlformats.org/officeDocument/2006/relationships/hyperlink" Target="https://afltables.com/afl/teams/brisbanel_idx.html" TargetMode="External"/><Relationship Id="rId95" Type="http://schemas.openxmlformats.org/officeDocument/2006/relationships/hyperlink" Target="https://afltables.com/afl/teams/geelong_idx.html" TargetMode="External"/><Relationship Id="rId94" Type="http://schemas.openxmlformats.org/officeDocument/2006/relationships/hyperlink" Target="https://afltables.com/afl/teams/essendon_idx.html" TargetMode="External"/><Relationship Id="rId97" Type="http://schemas.openxmlformats.org/officeDocument/2006/relationships/hyperlink" Target="https://afltables.com/afl/teams/fremantle_idx.html" TargetMode="External"/><Relationship Id="rId96" Type="http://schemas.openxmlformats.org/officeDocument/2006/relationships/hyperlink" Target="https://afltables.com/afl/teams/richmond_idx.html" TargetMode="External"/><Relationship Id="rId99" Type="http://schemas.openxmlformats.org/officeDocument/2006/relationships/hyperlink" Target="https://afltables.com/afl/teams/hawthorn_idx.html" TargetMode="External"/><Relationship Id="rId98" Type="http://schemas.openxmlformats.org/officeDocument/2006/relationships/hyperlink" Target="https://afltables.com/afl/teams/goldcoast_idx.html" TargetMode="External"/><Relationship Id="rId91" Type="http://schemas.openxmlformats.org/officeDocument/2006/relationships/hyperlink" Target="https://afltables.com/afl/teams/swans_idx.html" TargetMode="External"/><Relationship Id="rId90" Type="http://schemas.openxmlformats.org/officeDocument/2006/relationships/hyperlink" Target="https://afltables.com/afl/teams/gws_idx.html" TargetMode="External"/><Relationship Id="rId93" Type="http://schemas.openxmlformats.org/officeDocument/2006/relationships/hyperlink" Target="https://afltables.com/afl/teams/adelaide_idx.html" TargetMode="External"/><Relationship Id="rId92" Type="http://schemas.openxmlformats.org/officeDocument/2006/relationships/hyperlink" Target="https://afltables.com/afl/teams/bullldogs_idx.html" TargetMode="External"/><Relationship Id="rId118" Type="http://schemas.openxmlformats.org/officeDocument/2006/relationships/hyperlink" Target="https://afltables.com/afl/teams/melbourne_idx.html" TargetMode="External"/><Relationship Id="rId239" Type="http://schemas.openxmlformats.org/officeDocument/2006/relationships/hyperlink" Target="https://afltables.com/afl/seas/2018.html" TargetMode="External"/><Relationship Id="rId117" Type="http://schemas.openxmlformats.org/officeDocument/2006/relationships/hyperlink" Target="https://afltables.com/afl/teams/geelong_idx.html" TargetMode="External"/><Relationship Id="rId238" Type="http://schemas.openxmlformats.org/officeDocument/2006/relationships/hyperlink" Target="https://afltables.com/afl/seas/2018.html" TargetMode="External"/><Relationship Id="rId359" Type="http://schemas.openxmlformats.org/officeDocument/2006/relationships/hyperlink" Target="https://afltables.com/afl/teams/collingwood_idx.html" TargetMode="External"/><Relationship Id="rId116" Type="http://schemas.openxmlformats.org/officeDocument/2006/relationships/hyperlink" Target="https://afltables.com/afl/seas/2022.html" TargetMode="External"/><Relationship Id="rId237" Type="http://schemas.openxmlformats.org/officeDocument/2006/relationships/hyperlink" Target="https://afltables.com/afl/seas/2018.html" TargetMode="External"/><Relationship Id="rId358" Type="http://schemas.openxmlformats.org/officeDocument/2006/relationships/hyperlink" Target="https://afltables.com/afl/teams/gws_idx.html" TargetMode="External"/><Relationship Id="rId115" Type="http://schemas.openxmlformats.org/officeDocument/2006/relationships/hyperlink" Target="https://afltables.com/afl/seas/2022.html" TargetMode="External"/><Relationship Id="rId236" Type="http://schemas.openxmlformats.org/officeDocument/2006/relationships/hyperlink" Target="https://afltables.com/afl/seas/2018.html" TargetMode="External"/><Relationship Id="rId357" Type="http://schemas.openxmlformats.org/officeDocument/2006/relationships/hyperlink" Target="https://afltables.com/afl/teams/geelong_idx.html" TargetMode="External"/><Relationship Id="rId119" Type="http://schemas.openxmlformats.org/officeDocument/2006/relationships/hyperlink" Target="https://afltables.com/afl/teams/swans_idx.html" TargetMode="External"/><Relationship Id="rId110" Type="http://schemas.openxmlformats.org/officeDocument/2006/relationships/hyperlink" Target="https://afltables.com/afl/seas/2022.html" TargetMode="External"/><Relationship Id="rId231" Type="http://schemas.openxmlformats.org/officeDocument/2006/relationships/hyperlink" Target="https://afltables.com/afl/teams/carlton_idx.html" TargetMode="External"/><Relationship Id="rId352" Type="http://schemas.openxmlformats.org/officeDocument/2006/relationships/hyperlink" Target="https://afltables.com/afl/teams/richmond_idx.html" TargetMode="External"/><Relationship Id="rId230" Type="http://schemas.openxmlformats.org/officeDocument/2006/relationships/hyperlink" Target="https://afltables.com/afl/teams/swans_idx.html" TargetMode="External"/><Relationship Id="rId351" Type="http://schemas.openxmlformats.org/officeDocument/2006/relationships/hyperlink" Target="https://afltables.com/afl/teams/swans_idx.html" TargetMode="External"/><Relationship Id="rId350" Type="http://schemas.openxmlformats.org/officeDocument/2006/relationships/hyperlink" Target="https://afltables.com/afl/teams/hawthorn_idx.html" TargetMode="External"/><Relationship Id="rId114" Type="http://schemas.openxmlformats.org/officeDocument/2006/relationships/hyperlink" Target="https://afltables.com/afl/seas/2022.html" TargetMode="External"/><Relationship Id="rId235" Type="http://schemas.openxmlformats.org/officeDocument/2006/relationships/hyperlink" Target="https://afltables.com/afl/seas/2018.html" TargetMode="External"/><Relationship Id="rId356" Type="http://schemas.openxmlformats.org/officeDocument/2006/relationships/hyperlink" Target="https://afltables.com/afl/teams/padelaide_idx.html" TargetMode="External"/><Relationship Id="rId113" Type="http://schemas.openxmlformats.org/officeDocument/2006/relationships/hyperlink" Target="https://afltables.com/afl/seas/2022.html" TargetMode="External"/><Relationship Id="rId234" Type="http://schemas.openxmlformats.org/officeDocument/2006/relationships/hyperlink" Target="https://afltables.com/afl/seas/ladders/ladders.html" TargetMode="External"/><Relationship Id="rId355" Type="http://schemas.openxmlformats.org/officeDocument/2006/relationships/hyperlink" Target="https://afltables.com/afl/teams/kangaroos_idx.html" TargetMode="External"/><Relationship Id="rId112" Type="http://schemas.openxmlformats.org/officeDocument/2006/relationships/hyperlink" Target="https://afltables.com/afl/seas/2022.html" TargetMode="External"/><Relationship Id="rId233" Type="http://schemas.openxmlformats.org/officeDocument/2006/relationships/hyperlink" Target="https://afltables.com/afl/teams/goldcoast_idx.html" TargetMode="External"/><Relationship Id="rId354" Type="http://schemas.openxmlformats.org/officeDocument/2006/relationships/hyperlink" Target="https://afltables.com/afl/teams/adelaide_idx.html" TargetMode="External"/><Relationship Id="rId111" Type="http://schemas.openxmlformats.org/officeDocument/2006/relationships/hyperlink" Target="https://afltables.com/afl/seas/2022.html" TargetMode="External"/><Relationship Id="rId232" Type="http://schemas.openxmlformats.org/officeDocument/2006/relationships/hyperlink" Target="https://afltables.com/afl/teams/melbourne_idx.html" TargetMode="External"/><Relationship Id="rId353" Type="http://schemas.openxmlformats.org/officeDocument/2006/relationships/hyperlink" Target="https://afltables.com/afl/teams/bullldogs_idx.html" TargetMode="External"/><Relationship Id="rId305" Type="http://schemas.openxmlformats.org/officeDocument/2006/relationships/hyperlink" Target="https://afltables.com/afl/seas/2016.html" TargetMode="External"/><Relationship Id="rId304" Type="http://schemas.openxmlformats.org/officeDocument/2006/relationships/hyperlink" Target="https://afltables.com/afl/seas/2016.html" TargetMode="External"/><Relationship Id="rId303" Type="http://schemas.openxmlformats.org/officeDocument/2006/relationships/hyperlink" Target="https://afltables.com/afl/seas/2016.html" TargetMode="External"/><Relationship Id="rId302" Type="http://schemas.openxmlformats.org/officeDocument/2006/relationships/hyperlink" Target="https://afltables.com/afl/seas/2016.html" TargetMode="External"/><Relationship Id="rId309" Type="http://schemas.openxmlformats.org/officeDocument/2006/relationships/hyperlink" Target="https://afltables.com/afl/seas/2016.html" TargetMode="External"/><Relationship Id="rId308" Type="http://schemas.openxmlformats.org/officeDocument/2006/relationships/hyperlink" Target="https://afltables.com/afl/seas/2016.html" TargetMode="External"/><Relationship Id="rId307" Type="http://schemas.openxmlformats.org/officeDocument/2006/relationships/hyperlink" Target="https://afltables.com/afl/seas/2016.html" TargetMode="External"/><Relationship Id="rId306" Type="http://schemas.openxmlformats.org/officeDocument/2006/relationships/hyperlink" Target="https://afltables.com/afl/seas/2016.html" TargetMode="External"/><Relationship Id="rId301" Type="http://schemas.openxmlformats.org/officeDocument/2006/relationships/hyperlink" Target="https://afltables.com/afl/seas/2016.html" TargetMode="External"/><Relationship Id="rId300" Type="http://schemas.openxmlformats.org/officeDocument/2006/relationships/hyperlink" Target="https://afltables.com/afl/seas/ladders/ladders.html" TargetMode="External"/><Relationship Id="rId206" Type="http://schemas.openxmlformats.org/officeDocument/2006/relationships/hyperlink" Target="https://afltables.com/afl/seas/2019.html" TargetMode="External"/><Relationship Id="rId327" Type="http://schemas.openxmlformats.org/officeDocument/2006/relationships/hyperlink" Target="https://afltables.com/afl/teams/richmond_idx.html" TargetMode="External"/><Relationship Id="rId205" Type="http://schemas.openxmlformats.org/officeDocument/2006/relationships/hyperlink" Target="https://afltables.com/afl/seas/2019.html" TargetMode="External"/><Relationship Id="rId326" Type="http://schemas.openxmlformats.org/officeDocument/2006/relationships/hyperlink" Target="https://afltables.com/afl/teams/collingwood_idx.html" TargetMode="External"/><Relationship Id="rId204" Type="http://schemas.openxmlformats.org/officeDocument/2006/relationships/hyperlink" Target="https://afltables.com/afl/seas/2019.html" TargetMode="External"/><Relationship Id="rId325" Type="http://schemas.openxmlformats.org/officeDocument/2006/relationships/hyperlink" Target="https://afltables.com/afl/teams/melbourne_idx.html" TargetMode="External"/><Relationship Id="rId203" Type="http://schemas.openxmlformats.org/officeDocument/2006/relationships/hyperlink" Target="https://afltables.com/afl/seas/2019.html" TargetMode="External"/><Relationship Id="rId324" Type="http://schemas.openxmlformats.org/officeDocument/2006/relationships/hyperlink" Target="https://afltables.com/afl/teams/padelaide_idx.html" TargetMode="External"/><Relationship Id="rId209" Type="http://schemas.openxmlformats.org/officeDocument/2006/relationships/hyperlink" Target="https://afltables.com/afl/seas/2019.html" TargetMode="External"/><Relationship Id="rId208" Type="http://schemas.openxmlformats.org/officeDocument/2006/relationships/hyperlink" Target="https://afltables.com/afl/seas/2019.html" TargetMode="External"/><Relationship Id="rId329" Type="http://schemas.openxmlformats.org/officeDocument/2006/relationships/hyperlink" Target="https://afltables.com/afl/teams/goldcoast_idx.html" TargetMode="External"/><Relationship Id="rId207" Type="http://schemas.openxmlformats.org/officeDocument/2006/relationships/hyperlink" Target="https://afltables.com/afl/seas/2019.html" TargetMode="External"/><Relationship Id="rId328" Type="http://schemas.openxmlformats.org/officeDocument/2006/relationships/hyperlink" Target="https://afltables.com/afl/teams/carlton_idx.html" TargetMode="External"/><Relationship Id="rId202" Type="http://schemas.openxmlformats.org/officeDocument/2006/relationships/hyperlink" Target="https://afltables.com/afl/seas/2019.html" TargetMode="External"/><Relationship Id="rId323" Type="http://schemas.openxmlformats.org/officeDocument/2006/relationships/hyperlink" Target="https://afltables.com/afl/teams/stkilda_idx.html" TargetMode="External"/><Relationship Id="rId201" Type="http://schemas.openxmlformats.org/officeDocument/2006/relationships/hyperlink" Target="https://afltables.com/afl/seas/ladders/ladders.html" TargetMode="External"/><Relationship Id="rId322" Type="http://schemas.openxmlformats.org/officeDocument/2006/relationships/hyperlink" Target="https://afltables.com/afl/teams/kangaroos_idx.html" TargetMode="External"/><Relationship Id="rId200" Type="http://schemas.openxmlformats.org/officeDocument/2006/relationships/hyperlink" Target="https://afltables.com/afl/teams/adelaide_idx.html" TargetMode="External"/><Relationship Id="rId321" Type="http://schemas.openxmlformats.org/officeDocument/2006/relationships/hyperlink" Target="https://afltables.com/afl/teams/bullldogs_idx.html" TargetMode="External"/><Relationship Id="rId320" Type="http://schemas.openxmlformats.org/officeDocument/2006/relationships/hyperlink" Target="https://afltables.com/afl/teams/westcoast_idx.html" TargetMode="External"/><Relationship Id="rId316" Type="http://schemas.openxmlformats.org/officeDocument/2006/relationships/hyperlink" Target="https://afltables.com/afl/teams/geelong_idx.html" TargetMode="External"/><Relationship Id="rId315" Type="http://schemas.openxmlformats.org/officeDocument/2006/relationships/hyperlink" Target="https://afltables.com/afl/teams/swans_idx.html" TargetMode="External"/><Relationship Id="rId314" Type="http://schemas.openxmlformats.org/officeDocument/2006/relationships/hyperlink" Target="https://afltables.com/afl/seas/2016.html" TargetMode="External"/><Relationship Id="rId313" Type="http://schemas.openxmlformats.org/officeDocument/2006/relationships/hyperlink" Target="https://afltables.com/afl/seas/2016.html" TargetMode="External"/><Relationship Id="rId319" Type="http://schemas.openxmlformats.org/officeDocument/2006/relationships/hyperlink" Target="https://afltables.com/afl/teams/adelaide_idx.html" TargetMode="External"/><Relationship Id="rId318" Type="http://schemas.openxmlformats.org/officeDocument/2006/relationships/hyperlink" Target="https://afltables.com/afl/teams/gws_idx.html" TargetMode="External"/><Relationship Id="rId317" Type="http://schemas.openxmlformats.org/officeDocument/2006/relationships/hyperlink" Target="https://afltables.com/afl/teams/hawthorn_idx.html" TargetMode="External"/><Relationship Id="rId312" Type="http://schemas.openxmlformats.org/officeDocument/2006/relationships/hyperlink" Target="https://afltables.com/afl/seas/2016.html" TargetMode="External"/><Relationship Id="rId311" Type="http://schemas.openxmlformats.org/officeDocument/2006/relationships/hyperlink" Target="https://afltables.com/afl/seas/2016.html" TargetMode="External"/><Relationship Id="rId310" Type="http://schemas.openxmlformats.org/officeDocument/2006/relationships/hyperlink" Target="https://afltables.com/afl/seas/2016.html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squads/d2c87802/2022-2023/Lorient-Stats" TargetMode="External"/><Relationship Id="rId194" Type="http://schemas.openxmlformats.org/officeDocument/2006/relationships/hyperlink" Target="https://fbref.com/en/players/31822f8c/Folarin-Balogun" TargetMode="External"/><Relationship Id="rId193" Type="http://schemas.openxmlformats.org/officeDocument/2006/relationships/hyperlink" Target="https://fbref.com/en/squads/7fdd64e0/2022-2023/Reims-Stats" TargetMode="External"/><Relationship Id="rId192" Type="http://schemas.openxmlformats.org/officeDocument/2006/relationships/hyperlink" Target="https://fbref.com/en/players/dc29b608/Yvon-Mvogo" TargetMode="External"/><Relationship Id="rId191" Type="http://schemas.openxmlformats.org/officeDocument/2006/relationships/hyperlink" Target="https://fbref.com/en/players/065dc209/Terem-Moffi" TargetMode="External"/><Relationship Id="rId187" Type="http://schemas.openxmlformats.org/officeDocument/2006/relationships/hyperlink" Target="https://fbref.com/en/squads/132ebc33/2022-2023/Nice-Stats" TargetMode="External"/><Relationship Id="rId186" Type="http://schemas.openxmlformats.org/officeDocument/2006/relationships/hyperlink" Target="https://fbref.com/en/players/f41a69e6/Mory-Diaw" TargetMode="External"/><Relationship Id="rId185" Type="http://schemas.openxmlformats.org/officeDocument/2006/relationships/hyperlink" Target="https://fbref.com/en/players/397ba086/Grejohn-Kyei" TargetMode="External"/><Relationship Id="rId184" Type="http://schemas.openxmlformats.org/officeDocument/2006/relationships/hyperlink" Target="https://fbref.com/en/squads/d9676424/2022-2023/Clermont-Foot-Stats" TargetMode="External"/><Relationship Id="rId189" Type="http://schemas.openxmlformats.org/officeDocument/2006/relationships/hyperlink" Target="https://fbref.com/en/players/53af52f3/Kasper-Schmeichel" TargetMode="External"/><Relationship Id="rId188" Type="http://schemas.openxmlformats.org/officeDocument/2006/relationships/hyperlink" Target="https://fbref.com/en/players/7cdda3bf/Gaetan-Laborde" TargetMode="External"/><Relationship Id="rId183" Type="http://schemas.openxmlformats.org/officeDocument/2006/relationships/hyperlink" Target="https://fbref.com/en/players/f00de885/Anthony-Lopes" TargetMode="External"/><Relationship Id="rId182" Type="http://schemas.openxmlformats.org/officeDocument/2006/relationships/hyperlink" Target="https://fbref.com/en/players/9dbb75ca/Alexandre-Lacazette" TargetMode="External"/><Relationship Id="rId181" Type="http://schemas.openxmlformats.org/officeDocument/2006/relationships/hyperlink" Target="https://fbref.com/en/squads/d53c0b06/2022-2023/Lyon-Stats" TargetMode="External"/><Relationship Id="rId180" Type="http://schemas.openxmlformats.org/officeDocument/2006/relationships/hyperlink" Target="https://fbref.com/en/players/afb0c500/Alexander-Nubel" TargetMode="External"/><Relationship Id="rId176" Type="http://schemas.openxmlformats.org/officeDocument/2006/relationships/hyperlink" Target="https://fbref.com/en/players/ce50fd99/Jonathan-David" TargetMode="External"/><Relationship Id="rId297" Type="http://schemas.openxmlformats.org/officeDocument/2006/relationships/hyperlink" Target="https://fbref.com/en/players/1d2d5cc8/Steve-Mandanda" TargetMode="External"/><Relationship Id="rId175" Type="http://schemas.openxmlformats.org/officeDocument/2006/relationships/hyperlink" Target="https://fbref.com/en/squads/cb188c0c/2022-2023/Lille-Stats" TargetMode="External"/><Relationship Id="rId296" Type="http://schemas.openxmlformats.org/officeDocument/2006/relationships/hyperlink" Target="https://fbref.com/en/players/85613cf0/Arkadiusz-Milik" TargetMode="External"/><Relationship Id="rId174" Type="http://schemas.openxmlformats.org/officeDocument/2006/relationships/hyperlink" Target="https://fbref.com/en/players/1d2d5cc8/Steve-Mandanda" TargetMode="External"/><Relationship Id="rId295" Type="http://schemas.openxmlformats.org/officeDocument/2006/relationships/hyperlink" Target="https://fbref.com/en/squads/5725cc7b/2020-2021/Marseille-Stats" TargetMode="External"/><Relationship Id="rId173" Type="http://schemas.openxmlformats.org/officeDocument/2006/relationships/hyperlink" Target="https://fbref.com/en/players/aad56ca3/Amine-Gouiri" TargetMode="External"/><Relationship Id="rId294" Type="http://schemas.openxmlformats.org/officeDocument/2006/relationships/hyperlink" Target="https://fbref.com/en/players/f00de885/Anthony-Lopes" TargetMode="External"/><Relationship Id="rId179" Type="http://schemas.openxmlformats.org/officeDocument/2006/relationships/hyperlink" Target="https://fbref.com/en/players/942b4f90/Wissam-Ben-Yedder" TargetMode="External"/><Relationship Id="rId178" Type="http://schemas.openxmlformats.org/officeDocument/2006/relationships/hyperlink" Target="https://fbref.com/en/squads/fd6114db/2022-2023/Monaco-Stats" TargetMode="External"/><Relationship Id="rId299" Type="http://schemas.openxmlformats.org/officeDocument/2006/relationships/hyperlink" Target="https://fbref.com/en/players/923f4dda/Serhou-Guirassy" TargetMode="External"/><Relationship Id="rId177" Type="http://schemas.openxmlformats.org/officeDocument/2006/relationships/hyperlink" Target="https://fbref.com/en/players/b3d76d84/Lucas-Chevalier" TargetMode="External"/><Relationship Id="rId298" Type="http://schemas.openxmlformats.org/officeDocument/2006/relationships/hyperlink" Target="https://fbref.com/en/squads/b3072e00/2020-2021/Rennes-Stats" TargetMode="External"/><Relationship Id="rId198" Type="http://schemas.openxmlformats.org/officeDocument/2006/relationships/hyperlink" Target="https://fbref.com/en/players/2fa2a875/Benjamin-Lecomte" TargetMode="External"/><Relationship Id="rId197" Type="http://schemas.openxmlformats.org/officeDocument/2006/relationships/hyperlink" Target="https://fbref.com/en/players/0d7b6576/Elye-Wahi" TargetMode="External"/><Relationship Id="rId196" Type="http://schemas.openxmlformats.org/officeDocument/2006/relationships/hyperlink" Target="https://fbref.com/en/squads/281b0e73/2022-2023/Montpellier-Stats" TargetMode="External"/><Relationship Id="rId195" Type="http://schemas.openxmlformats.org/officeDocument/2006/relationships/hyperlink" Target="https://fbref.com/en/players/eedea60b/Yehvann-Diouf" TargetMode="External"/><Relationship Id="rId199" Type="http://schemas.openxmlformats.org/officeDocument/2006/relationships/hyperlink" Target="https://fbref.com/en/squads/3f8c4b5f/2022-2023/Toulouse-Stats" TargetMode="External"/><Relationship Id="rId150" Type="http://schemas.openxmlformats.org/officeDocument/2006/relationships/hyperlink" Target="https://fbref.com/en/players/4e7db402/Alban-Lafont" TargetMode="External"/><Relationship Id="rId271" Type="http://schemas.openxmlformats.org/officeDocument/2006/relationships/hyperlink" Target="https://fbref.com/en/squads/d9676424/2021-2022/Clermont-Foot-Stats" TargetMode="External"/><Relationship Id="rId392" Type="http://schemas.openxmlformats.org/officeDocument/2006/relationships/hyperlink" Target="https://fbref.com/en/players/0b0cbe5b/Denis-Bouanga" TargetMode="External"/><Relationship Id="rId270" Type="http://schemas.openxmlformats.org/officeDocument/2006/relationships/hyperlink" Target="https://fbref.com/en/players/2d70dbe5/Paul-Nardi" TargetMode="External"/><Relationship Id="rId391" Type="http://schemas.openxmlformats.org/officeDocument/2006/relationships/hyperlink" Target="https://fbref.com/en/squads/d298ef2c/2019-2020/Saint-Etienne-Stats" TargetMode="External"/><Relationship Id="rId390" Type="http://schemas.openxmlformats.org/officeDocument/2006/relationships/hyperlink" Target="https://fbref.com/en/players/cecbce23/Alfred-Gomis" TargetMode="External"/><Relationship Id="rId1" Type="http://schemas.openxmlformats.org/officeDocument/2006/relationships/hyperlink" Target="https://fbref.com/en/squads/e2d8892c/2024-2025/Paris-Saint-Germain-Stats" TargetMode="External"/><Relationship Id="rId2" Type="http://schemas.openxmlformats.org/officeDocument/2006/relationships/hyperlink" Target="https://fbref.com/en/players/b19db005/Ousmane-Dembele" TargetMode="External"/><Relationship Id="rId3" Type="http://schemas.openxmlformats.org/officeDocument/2006/relationships/hyperlink" Target="https://fbref.com/en/players/08f5afaa/Gianluigi-Donnarumma" TargetMode="External"/><Relationship Id="rId149" Type="http://schemas.openxmlformats.org/officeDocument/2006/relationships/hyperlink" Target="https://fbref.com/en/players/595e6f3e/Mostafa-Mohamed" TargetMode="External"/><Relationship Id="rId4" Type="http://schemas.openxmlformats.org/officeDocument/2006/relationships/hyperlink" Target="https://fbref.com/en/squads/5725cc7b/2024-2025/Marseille-Stats" TargetMode="External"/><Relationship Id="rId148" Type="http://schemas.openxmlformats.org/officeDocument/2006/relationships/hyperlink" Target="https://fbref.com/en/squads/d7a486cd/2023-2024/Nantes-Stats" TargetMode="External"/><Relationship Id="rId269" Type="http://schemas.openxmlformats.org/officeDocument/2006/relationships/hyperlink" Target="https://fbref.com/en/players/065dc209/Terem-Moffi" TargetMode="External"/><Relationship Id="rId9" Type="http://schemas.openxmlformats.org/officeDocument/2006/relationships/hyperlink" Target="https://fbref.com/en/players/ff74841d/Philipp-Kohn" TargetMode="External"/><Relationship Id="rId143" Type="http://schemas.openxmlformats.org/officeDocument/2006/relationships/hyperlink" Target="https://fbref.com/en/players/6bde367b/Teji-Savanier" TargetMode="External"/><Relationship Id="rId264" Type="http://schemas.openxmlformats.org/officeDocument/2006/relationships/hyperlink" Target="https://fbref.com/en/players/b98cea65/Danijel-Petkovic" TargetMode="External"/><Relationship Id="rId385" Type="http://schemas.openxmlformats.org/officeDocument/2006/relationships/hyperlink" Target="https://fbref.com/en/squads/f83960ae/2019-2020/Metz-Stats" TargetMode="External"/><Relationship Id="rId142" Type="http://schemas.openxmlformats.org/officeDocument/2006/relationships/hyperlink" Target="https://fbref.com/en/squads/281b0e73/2023-2024/Montpellier-Stats" TargetMode="External"/><Relationship Id="rId263" Type="http://schemas.openxmlformats.org/officeDocument/2006/relationships/hyperlink" Target="https://fbref.com/en/players/b0c71810/Sofiane-Boufal" TargetMode="External"/><Relationship Id="rId384" Type="http://schemas.openxmlformats.org/officeDocument/2006/relationships/hyperlink" Target="https://fbref.com/en/players/b49729cb/Gautier-Larsonneur" TargetMode="External"/><Relationship Id="rId141" Type="http://schemas.openxmlformats.org/officeDocument/2006/relationships/hyperlink" Target="https://fbref.com/en/players/6b91b999/Guillaume-Restes" TargetMode="External"/><Relationship Id="rId262" Type="http://schemas.openxmlformats.org/officeDocument/2006/relationships/hyperlink" Target="https://fbref.com/en/squads/69236f98/2021-2022/Angers-Stats" TargetMode="External"/><Relationship Id="rId383" Type="http://schemas.openxmlformats.org/officeDocument/2006/relationships/hyperlink" Target="https://fbref.com/en/players/5e080f73/Irvin-Cardona" TargetMode="External"/><Relationship Id="rId140" Type="http://schemas.openxmlformats.org/officeDocument/2006/relationships/hyperlink" Target="https://fbref.com/en/players/b70afb45/Thijs-Dallinga" TargetMode="External"/><Relationship Id="rId261" Type="http://schemas.openxmlformats.org/officeDocument/2006/relationships/hyperlink" Target="https://fbref.com/en/players/c631f952/Jonas-Omlin" TargetMode="External"/><Relationship Id="rId382" Type="http://schemas.openxmlformats.org/officeDocument/2006/relationships/hyperlink" Target="https://fbref.com/en/squads/fb08dbb3/2019-2020/Brest-Stats" TargetMode="External"/><Relationship Id="rId5" Type="http://schemas.openxmlformats.org/officeDocument/2006/relationships/hyperlink" Target="https://fbref.com/en/players/58eee997/Mason-Greenwood" TargetMode="External"/><Relationship Id="rId147" Type="http://schemas.openxmlformats.org/officeDocument/2006/relationships/hyperlink" Target="https://fbref.com/en/players/834b5c4c/Matz-Sels" TargetMode="External"/><Relationship Id="rId268" Type="http://schemas.openxmlformats.org/officeDocument/2006/relationships/hyperlink" Target="https://fbref.com/en/squads/d2c87802/2021-2022/Lorient-Stats" TargetMode="External"/><Relationship Id="rId389" Type="http://schemas.openxmlformats.org/officeDocument/2006/relationships/hyperlink" Target="https://fbref.com/en/players/fb14aa28/Mama-Samba-Balde" TargetMode="External"/><Relationship Id="rId6" Type="http://schemas.openxmlformats.org/officeDocument/2006/relationships/hyperlink" Target="https://fbref.com/en/players/625c144a/Geronimo-Rulli" TargetMode="External"/><Relationship Id="rId146" Type="http://schemas.openxmlformats.org/officeDocument/2006/relationships/hyperlink" Target="https://fbref.com/en/players/a0c590b9/Emanuel-Emegha" TargetMode="External"/><Relationship Id="rId267" Type="http://schemas.openxmlformats.org/officeDocument/2006/relationships/hyperlink" Target="https://fbref.com/en/players/db3164e1/Gauthier-Gallon" TargetMode="External"/><Relationship Id="rId388" Type="http://schemas.openxmlformats.org/officeDocument/2006/relationships/hyperlink" Target="https://fbref.com/en/squads/8dfb7350/Dijon-Stats" TargetMode="External"/><Relationship Id="rId7" Type="http://schemas.openxmlformats.org/officeDocument/2006/relationships/hyperlink" Target="https://fbref.com/en/squads/fd6114db/2024-2025/Monaco-Stats" TargetMode="External"/><Relationship Id="rId145" Type="http://schemas.openxmlformats.org/officeDocument/2006/relationships/hyperlink" Target="https://fbref.com/en/squads/c0d3eab4/2023-2024/Strasbourg-Stats" TargetMode="External"/><Relationship Id="rId266" Type="http://schemas.openxmlformats.org/officeDocument/2006/relationships/hyperlink" Target="https://fbref.com/en/players/279ddf6a/Xavier-Chavalerin" TargetMode="External"/><Relationship Id="rId387" Type="http://schemas.openxmlformats.org/officeDocument/2006/relationships/hyperlink" Target="https://fbref.com/en/players/ae7d0ecd/Alexandre-Oukidja" TargetMode="External"/><Relationship Id="rId8" Type="http://schemas.openxmlformats.org/officeDocument/2006/relationships/hyperlink" Target="https://fbref.com/en/players/a1d95db3/Mika-Biereth" TargetMode="External"/><Relationship Id="rId144" Type="http://schemas.openxmlformats.org/officeDocument/2006/relationships/hyperlink" Target="https://fbref.com/en/players/2fa2a875/Benjamin-Lecomte" TargetMode="External"/><Relationship Id="rId265" Type="http://schemas.openxmlformats.org/officeDocument/2006/relationships/hyperlink" Target="https://fbref.com/en/squads/54195385/2021-2022/Troyes-Stats" TargetMode="External"/><Relationship Id="rId386" Type="http://schemas.openxmlformats.org/officeDocument/2006/relationships/hyperlink" Target="https://fbref.com/en/players/6605d143/Habib-Diallo" TargetMode="External"/><Relationship Id="rId260" Type="http://schemas.openxmlformats.org/officeDocument/2006/relationships/hyperlink" Target="https://fbref.com/en/players/0d7b6576/Elye-Wahi" TargetMode="External"/><Relationship Id="rId381" Type="http://schemas.openxmlformats.org/officeDocument/2006/relationships/hyperlink" Target="https://fbref.com/en/players/4e7db402/Alban-Lafont" TargetMode="External"/><Relationship Id="rId380" Type="http://schemas.openxmlformats.org/officeDocument/2006/relationships/hyperlink" Target="https://fbref.com/en/players/5f3eaaf5/Moses-Simon" TargetMode="External"/><Relationship Id="rId139" Type="http://schemas.openxmlformats.org/officeDocument/2006/relationships/hyperlink" Target="https://fbref.com/en/squads/3f8c4b5f/2023-2024/Toulouse-Stats" TargetMode="External"/><Relationship Id="rId138" Type="http://schemas.openxmlformats.org/officeDocument/2006/relationships/hyperlink" Target="https://fbref.com/en/players/1d2d5cc8/Steve-Mandanda" TargetMode="External"/><Relationship Id="rId259" Type="http://schemas.openxmlformats.org/officeDocument/2006/relationships/hyperlink" Target="https://fbref.com/en/squads/281b0e73/2021-2022/Montpellier-Stats" TargetMode="External"/><Relationship Id="rId137" Type="http://schemas.openxmlformats.org/officeDocument/2006/relationships/hyperlink" Target="https://fbref.com/en/players/bf4c41f9/Arnaud-Kalimuendo" TargetMode="External"/><Relationship Id="rId258" Type="http://schemas.openxmlformats.org/officeDocument/2006/relationships/hyperlink" Target="https://fbref.com/en/players/58ad9383/Predrag-Rajkovic" TargetMode="External"/><Relationship Id="rId379" Type="http://schemas.openxmlformats.org/officeDocument/2006/relationships/hyperlink" Target="https://fbref.com/en/squads/d7a486cd/2019-2020/Nantes-Stats" TargetMode="External"/><Relationship Id="rId132" Type="http://schemas.openxmlformats.org/officeDocument/2006/relationships/hyperlink" Target="https://fbref.com/en/players/20b9f052/Pau-Lopez" TargetMode="External"/><Relationship Id="rId253" Type="http://schemas.openxmlformats.org/officeDocument/2006/relationships/hyperlink" Target="https://fbref.com/en/squads/fb08dbb3/2021-2022/Brest-Stats" TargetMode="External"/><Relationship Id="rId374" Type="http://schemas.openxmlformats.org/officeDocument/2006/relationships/hyperlink" Target="https://fbref.com/en/players/bdedd861/Rachid-Alioui" TargetMode="External"/><Relationship Id="rId495" Type="http://schemas.openxmlformats.org/officeDocument/2006/relationships/hyperlink" Target="https://fbref.com/en/players/bcf1b2e9/Baptiste-Reynet" TargetMode="External"/><Relationship Id="rId131" Type="http://schemas.openxmlformats.org/officeDocument/2006/relationships/hyperlink" Target="https://fbref.com/en/players/d5dd5f1f/Pierre-Emerick-Aubameyang" TargetMode="External"/><Relationship Id="rId252" Type="http://schemas.openxmlformats.org/officeDocument/2006/relationships/hyperlink" Target="https://fbref.com/en/players/3f034750/Ivo-Grbic" TargetMode="External"/><Relationship Id="rId373" Type="http://schemas.openxmlformats.org/officeDocument/2006/relationships/hyperlink" Target="https://fbref.com/en/squads/69236f98/2019-2020/Angers-Stats" TargetMode="External"/><Relationship Id="rId494" Type="http://schemas.openxmlformats.org/officeDocument/2006/relationships/hyperlink" Target="https://fbref.com/en/players/d520120b/Julio-Tavares" TargetMode="External"/><Relationship Id="rId130" Type="http://schemas.openxmlformats.org/officeDocument/2006/relationships/hyperlink" Target="https://fbref.com/en/squads/5725cc7b/2023-2024/Marseille-Stats" TargetMode="External"/><Relationship Id="rId251" Type="http://schemas.openxmlformats.org/officeDocument/2006/relationships/hyperlink" Target="https://fbref.com/en/players/ce50fd99/Jonathan-David" TargetMode="External"/><Relationship Id="rId372" Type="http://schemas.openxmlformats.org/officeDocument/2006/relationships/hyperlink" Target="https://fbref.com/en/players/834b5c4c/Matz-Sels" TargetMode="External"/><Relationship Id="rId493" Type="http://schemas.openxmlformats.org/officeDocument/2006/relationships/hyperlink" Target="https://fbref.com/en/squads/8dfb7350/2017-2018/Dijon-Stats" TargetMode="External"/><Relationship Id="rId250" Type="http://schemas.openxmlformats.org/officeDocument/2006/relationships/hyperlink" Target="https://fbref.com/en/squads/cb188c0c/2021-2022/Lille-Stats" TargetMode="External"/><Relationship Id="rId371" Type="http://schemas.openxmlformats.org/officeDocument/2006/relationships/hyperlink" Target="https://fbref.com/en/players/c76b7567/Adrien-Thomasson" TargetMode="External"/><Relationship Id="rId492" Type="http://schemas.openxmlformats.org/officeDocument/2006/relationships/hyperlink" Target="https://fbref.com/en/players/2fa2a875/Benjamin-Lecomte" TargetMode="External"/><Relationship Id="rId136" Type="http://schemas.openxmlformats.org/officeDocument/2006/relationships/hyperlink" Target="https://fbref.com/en/squads/b3072e00/2023-2024/Rennes-Stats" TargetMode="External"/><Relationship Id="rId257" Type="http://schemas.openxmlformats.org/officeDocument/2006/relationships/hyperlink" Target="https://fbref.com/en/players/5b92d896/Hugo-Ekitike" TargetMode="External"/><Relationship Id="rId378" Type="http://schemas.openxmlformats.org/officeDocument/2006/relationships/hyperlink" Target="https://fbref.com/en/players/2434f24a/Benoit-Costil" TargetMode="External"/><Relationship Id="rId499" Type="http://schemas.openxmlformats.org/officeDocument/2006/relationships/hyperlink" Target="https://fbref.com/en/squads/25622401/2017-2018/Amiens-Stats" TargetMode="External"/><Relationship Id="rId135" Type="http://schemas.openxmlformats.org/officeDocument/2006/relationships/hyperlink" Target="https://fbref.com/en/players/eedea60b/Yehvann-Diouf" TargetMode="External"/><Relationship Id="rId256" Type="http://schemas.openxmlformats.org/officeDocument/2006/relationships/hyperlink" Target="https://fbref.com/en/squads/7fdd64e0/2021-2022/Reims-Stats" TargetMode="External"/><Relationship Id="rId377" Type="http://schemas.openxmlformats.org/officeDocument/2006/relationships/hyperlink" Target="https://fbref.com/en/players/f83c8d6c/Jimmy-Briand" TargetMode="External"/><Relationship Id="rId498" Type="http://schemas.openxmlformats.org/officeDocument/2006/relationships/hyperlink" Target="https://fbref.com/en/players/a56bd2ee/Karl-Johan-Johnsson" TargetMode="External"/><Relationship Id="rId134" Type="http://schemas.openxmlformats.org/officeDocument/2006/relationships/hyperlink" Target="https://fbref.com/en/players/5c26ca51/Teddy-Teuma" TargetMode="External"/><Relationship Id="rId255" Type="http://schemas.openxmlformats.org/officeDocument/2006/relationships/hyperlink" Target="https://fbref.com/en/players/3d214e5f/Marco-Bizot" TargetMode="External"/><Relationship Id="rId376" Type="http://schemas.openxmlformats.org/officeDocument/2006/relationships/hyperlink" Target="https://fbref.com/en/squads/123f3efe/2019-2020/Bordeaux-Stats" TargetMode="External"/><Relationship Id="rId497" Type="http://schemas.openxmlformats.org/officeDocument/2006/relationships/hyperlink" Target="https://fbref.com/en/players/f83c8d6c/Jimmy-Briand" TargetMode="External"/><Relationship Id="rId133" Type="http://schemas.openxmlformats.org/officeDocument/2006/relationships/hyperlink" Target="https://fbref.com/en/squads/7fdd64e0/2023-2024/Reims-Stats" TargetMode="External"/><Relationship Id="rId254" Type="http://schemas.openxmlformats.org/officeDocument/2006/relationships/hyperlink" Target="https://fbref.com/en/players/db7849ca/Franck-Honorat" TargetMode="External"/><Relationship Id="rId375" Type="http://schemas.openxmlformats.org/officeDocument/2006/relationships/hyperlink" Target="https://fbref.com/en/players/26975a92/Ludovic-Butelle" TargetMode="External"/><Relationship Id="rId496" Type="http://schemas.openxmlformats.org/officeDocument/2006/relationships/hyperlink" Target="https://fbref.com/en/squads/d41b5f53/2017-2018/Guingamp-Stats" TargetMode="External"/><Relationship Id="rId172" Type="http://schemas.openxmlformats.org/officeDocument/2006/relationships/hyperlink" Target="https://fbref.com/en/squads/b3072e00/2022-2023/Rennes-Stats" TargetMode="External"/><Relationship Id="rId293" Type="http://schemas.openxmlformats.org/officeDocument/2006/relationships/hyperlink" Target="https://fbref.com/en/players/8f696594/Memphis" TargetMode="External"/><Relationship Id="rId171" Type="http://schemas.openxmlformats.org/officeDocument/2006/relationships/hyperlink" Target="https://fbref.com/en/players/20b9f052/Pau-Lopez" TargetMode="External"/><Relationship Id="rId292" Type="http://schemas.openxmlformats.org/officeDocument/2006/relationships/hyperlink" Target="https://fbref.com/en/squads/d53c0b06/2020-2021/Lyon-Stats" TargetMode="External"/><Relationship Id="rId170" Type="http://schemas.openxmlformats.org/officeDocument/2006/relationships/hyperlink" Target="https://fbref.com/en/players/2c0f8e9e/Alexis-Sanchez" TargetMode="External"/><Relationship Id="rId291" Type="http://schemas.openxmlformats.org/officeDocument/2006/relationships/hyperlink" Target="https://fbref.com/en/players/2fa2a875/Benjamin-Lecomte" TargetMode="External"/><Relationship Id="rId290" Type="http://schemas.openxmlformats.org/officeDocument/2006/relationships/hyperlink" Target="https://fbref.com/en/players/942b4f90/Wissam-Ben-Yedder" TargetMode="External"/><Relationship Id="rId165" Type="http://schemas.openxmlformats.org/officeDocument/2006/relationships/hyperlink" Target="https://fbref.com/en/players/08f5afaa/Gianluigi-Donnarumma" TargetMode="External"/><Relationship Id="rId286" Type="http://schemas.openxmlformats.org/officeDocument/2006/relationships/hyperlink" Target="https://fbref.com/en/squads/e2d8892c/2020-2021/Paris-Saint-Germain-Stats" TargetMode="External"/><Relationship Id="rId164" Type="http://schemas.openxmlformats.org/officeDocument/2006/relationships/hyperlink" Target="https://fbref.com/en/players/42fd9c7f/Kylian-Mbappe" TargetMode="External"/><Relationship Id="rId285" Type="http://schemas.openxmlformats.org/officeDocument/2006/relationships/hyperlink" Target="https://fbref.com/en/players/fcb38f57/Mike-Maignan" TargetMode="External"/><Relationship Id="rId163" Type="http://schemas.openxmlformats.org/officeDocument/2006/relationships/hyperlink" Target="https://fbref.com/en/squads/e2d8892c/2022-2023/Paris-Saint-Germain-Stats" TargetMode="External"/><Relationship Id="rId284" Type="http://schemas.openxmlformats.org/officeDocument/2006/relationships/hyperlink" Target="https://fbref.com/en/players/165a2e40/Burak-Yilmaz" TargetMode="External"/><Relationship Id="rId162" Type="http://schemas.openxmlformats.org/officeDocument/2006/relationships/hyperlink" Target="https://fbref.com/en/players/f41a69e6/Mory-Diaw" TargetMode="External"/><Relationship Id="rId283" Type="http://schemas.openxmlformats.org/officeDocument/2006/relationships/hyperlink" Target="https://fbref.com/en/squads/cb188c0c/2020-2021/Lille-Stats" TargetMode="External"/><Relationship Id="rId169" Type="http://schemas.openxmlformats.org/officeDocument/2006/relationships/hyperlink" Target="https://fbref.com/en/squads/5725cc7b/2022-2023/Marseille-Stats" TargetMode="External"/><Relationship Id="rId168" Type="http://schemas.openxmlformats.org/officeDocument/2006/relationships/hyperlink" Target="https://fbref.com/en/players/60d90c55/Brice-Samba" TargetMode="External"/><Relationship Id="rId289" Type="http://schemas.openxmlformats.org/officeDocument/2006/relationships/hyperlink" Target="https://fbref.com/en/squads/fd6114db/2020-2021/Monaco-Stats" TargetMode="External"/><Relationship Id="rId167" Type="http://schemas.openxmlformats.org/officeDocument/2006/relationships/hyperlink" Target="https://fbref.com/en/players/8652a85c/Lois-Openda" TargetMode="External"/><Relationship Id="rId288" Type="http://schemas.openxmlformats.org/officeDocument/2006/relationships/hyperlink" Target="https://fbref.com/en/players/ecada4fc/Keylor-Navas" TargetMode="External"/><Relationship Id="rId166" Type="http://schemas.openxmlformats.org/officeDocument/2006/relationships/hyperlink" Target="https://fbref.com/en/squads/fd4e0f7d/2022-2023/Lens-Stats" TargetMode="External"/><Relationship Id="rId287" Type="http://schemas.openxmlformats.org/officeDocument/2006/relationships/hyperlink" Target="https://fbref.com/en/players/42fd9c7f/Kylian-Mbappe" TargetMode="External"/><Relationship Id="rId161" Type="http://schemas.openxmlformats.org/officeDocument/2006/relationships/hyperlink" Target="https://fbref.com/en/players/f527a32c/Muhammed-Cham" TargetMode="External"/><Relationship Id="rId282" Type="http://schemas.openxmlformats.org/officeDocument/2006/relationships/hyperlink" Target="https://fbref.com/en/players/2434f24a/Benoit-Costil" TargetMode="External"/><Relationship Id="rId160" Type="http://schemas.openxmlformats.org/officeDocument/2006/relationships/hyperlink" Target="https://fbref.com/en/squads/d9676424/2023-2024/Clermont-Foot-Stats" TargetMode="External"/><Relationship Id="rId281" Type="http://schemas.openxmlformats.org/officeDocument/2006/relationships/hyperlink" Target="https://fbref.com/en/players/a2d873dd/Hwang-Ui-jo" TargetMode="External"/><Relationship Id="rId280" Type="http://schemas.openxmlformats.org/officeDocument/2006/relationships/hyperlink" Target="https://fbref.com/en/squads/123f3efe/2021-2022/Bordeaux-Stats" TargetMode="External"/><Relationship Id="rId159" Type="http://schemas.openxmlformats.org/officeDocument/2006/relationships/hyperlink" Target="https://fbref.com/en/players/dc29b608/Yvon-Mvogo" TargetMode="External"/><Relationship Id="rId154" Type="http://schemas.openxmlformats.org/officeDocument/2006/relationships/hyperlink" Target="https://fbref.com/en/squads/f83960ae/2023-2024/Metz-Stats" TargetMode="External"/><Relationship Id="rId275" Type="http://schemas.openxmlformats.org/officeDocument/2006/relationships/hyperlink" Target="https://fbref.com/en/players/2677a1de/Wahbi-Khazri" TargetMode="External"/><Relationship Id="rId396" Type="http://schemas.openxmlformats.org/officeDocument/2006/relationships/hyperlink" Target="https://fbref.com/en/players/28dabd43/Paul-Bernardoni" TargetMode="External"/><Relationship Id="rId153" Type="http://schemas.openxmlformats.org/officeDocument/2006/relationships/hyperlink" Target="https://fbref.com/en/players/e8c5dd4d/Arthur-Desmas" TargetMode="External"/><Relationship Id="rId274" Type="http://schemas.openxmlformats.org/officeDocument/2006/relationships/hyperlink" Target="https://fbref.com/en/squads/d298ef2c/2021-2022/Saint-Etienne-Stats" TargetMode="External"/><Relationship Id="rId395" Type="http://schemas.openxmlformats.org/officeDocument/2006/relationships/hyperlink" Target="https://fbref.com/en/players/f98b15f0/Romain-Philippoteaux" TargetMode="External"/><Relationship Id="rId152" Type="http://schemas.openxmlformats.org/officeDocument/2006/relationships/hyperlink" Target="https://fbref.com/en/players/5dbefa9d/Andre-Ayew" TargetMode="External"/><Relationship Id="rId273" Type="http://schemas.openxmlformats.org/officeDocument/2006/relationships/hyperlink" Target="https://fbref.com/en/players/62124972/Ouparine-Djoco" TargetMode="External"/><Relationship Id="rId394" Type="http://schemas.openxmlformats.org/officeDocument/2006/relationships/hyperlink" Target="https://fbref.com/en/squads/1cbf5f9e/Nimes-Stats" TargetMode="External"/><Relationship Id="rId151" Type="http://schemas.openxmlformats.org/officeDocument/2006/relationships/hyperlink" Target="https://fbref.com/en/squads/5c2737db/2023-2024/Le-Havre-Stats" TargetMode="External"/><Relationship Id="rId272" Type="http://schemas.openxmlformats.org/officeDocument/2006/relationships/hyperlink" Target="https://fbref.com/en/players/01870104/Mohamed-Lamine-Bayo" TargetMode="External"/><Relationship Id="rId393" Type="http://schemas.openxmlformats.org/officeDocument/2006/relationships/hyperlink" Target="https://fbref.com/en/players/cac76a72/Stephane-Ruffier" TargetMode="External"/><Relationship Id="rId158" Type="http://schemas.openxmlformats.org/officeDocument/2006/relationships/hyperlink" Target="https://fbref.com/en/players/d469252b/Mohamed-Bamba" TargetMode="External"/><Relationship Id="rId279" Type="http://schemas.openxmlformats.org/officeDocument/2006/relationships/hyperlink" Target="https://fbref.com/en/players/ae7d0ecd/Alexandre-Oukidja" TargetMode="External"/><Relationship Id="rId157" Type="http://schemas.openxmlformats.org/officeDocument/2006/relationships/hyperlink" Target="https://fbref.com/en/squads/d2c87802/2023-2024/Lorient-Stats" TargetMode="External"/><Relationship Id="rId278" Type="http://schemas.openxmlformats.org/officeDocument/2006/relationships/hyperlink" Target="https://fbref.com/en/players/b0547a87/Nicolas-de-Preville" TargetMode="External"/><Relationship Id="rId399" Type="http://schemas.openxmlformats.org/officeDocument/2006/relationships/hyperlink" Target="https://fbref.com/en/players/bc270726/Regis-Gurtner" TargetMode="External"/><Relationship Id="rId156" Type="http://schemas.openxmlformats.org/officeDocument/2006/relationships/hyperlink" Target="https://fbref.com/en/players/ae7d0ecd/Alexandre-Oukidja" TargetMode="External"/><Relationship Id="rId277" Type="http://schemas.openxmlformats.org/officeDocument/2006/relationships/hyperlink" Target="https://fbref.com/en/squads/f83960ae/2021-2022/Metz-Stats" TargetMode="External"/><Relationship Id="rId398" Type="http://schemas.openxmlformats.org/officeDocument/2006/relationships/hyperlink" Target="https://fbref.com/en/players/923f4dda/Serhou-Guirassy" TargetMode="External"/><Relationship Id="rId155" Type="http://schemas.openxmlformats.org/officeDocument/2006/relationships/hyperlink" Target="https://fbref.com/en/players/4788cb6b/Georges-Mikautadze" TargetMode="External"/><Relationship Id="rId276" Type="http://schemas.openxmlformats.org/officeDocument/2006/relationships/hyperlink" Target="https://fbref.com/en/players/28dabd43/Paul-Bernardoni" TargetMode="External"/><Relationship Id="rId397" Type="http://schemas.openxmlformats.org/officeDocument/2006/relationships/hyperlink" Target="https://fbref.com/en/squads/25622401/2019-2020/Amiens-Stats" TargetMode="External"/><Relationship Id="rId40" Type="http://schemas.openxmlformats.org/officeDocument/2006/relationships/hyperlink" Target="https://fbref.com/en/squads/69236f98/2024-2025/Angers-Stats" TargetMode="External"/><Relationship Id="rId42" Type="http://schemas.openxmlformats.org/officeDocument/2006/relationships/hyperlink" Target="https://fbref.com/en/players/9d420dad/Yahia-Fofana" TargetMode="External"/><Relationship Id="rId41" Type="http://schemas.openxmlformats.org/officeDocument/2006/relationships/hyperlink" Target="https://fbref.com/en/players/85ce1949/Esteban-Lepaul" TargetMode="External"/><Relationship Id="rId44" Type="http://schemas.openxmlformats.org/officeDocument/2006/relationships/hyperlink" Target="https://fbref.com/en/players/ef7cd87a/Abdoulaye-Toure" TargetMode="External"/><Relationship Id="rId43" Type="http://schemas.openxmlformats.org/officeDocument/2006/relationships/hyperlink" Target="https://fbref.com/en/squads/5c2737db/2024-2025/Le-Havre-Stats" TargetMode="External"/><Relationship Id="rId46" Type="http://schemas.openxmlformats.org/officeDocument/2006/relationships/hyperlink" Target="https://fbref.com/en/squads/7fdd64e0/2024-2025/Reims-Stats" TargetMode="External"/><Relationship Id="rId45" Type="http://schemas.openxmlformats.org/officeDocument/2006/relationships/hyperlink" Target="https://fbref.com/en/players/e8c5dd4d/Arthur-Desmas" TargetMode="External"/><Relationship Id="rId509" Type="http://schemas.openxmlformats.org/officeDocument/2006/relationships/hyperlink" Target="https://fbref.com/en/players/086d7db3/Ivan-Santini" TargetMode="External"/><Relationship Id="rId508" Type="http://schemas.openxmlformats.org/officeDocument/2006/relationships/hyperlink" Target="https://fbref.com/en/squads/74229020/2017-2018/Caen-Stats" TargetMode="External"/><Relationship Id="rId629" Type="http://schemas.openxmlformats.org/officeDocument/2006/relationships/hyperlink" Target="https://fbref.com/en/players/f83c8d6c/Jimmy-Briand" TargetMode="External"/><Relationship Id="rId503" Type="http://schemas.openxmlformats.org/officeDocument/2006/relationships/hyperlink" Target="https://fbref.com/en/players/5ceba7fc/Karl-Toko-Ekambi" TargetMode="External"/><Relationship Id="rId624" Type="http://schemas.openxmlformats.org/officeDocument/2006/relationships/hyperlink" Target="https://fbref.com/en/players/7f41ee30/Remy-Riou" TargetMode="External"/><Relationship Id="rId502" Type="http://schemas.openxmlformats.org/officeDocument/2006/relationships/hyperlink" Target="https://fbref.com/en/squads/69236f98/2017-2018/Angers-Stats" TargetMode="External"/><Relationship Id="rId623" Type="http://schemas.openxmlformats.org/officeDocument/2006/relationships/hyperlink" Target="https://fbref.com/en/players/5d59e0df/Emiliano-Sala" TargetMode="External"/><Relationship Id="rId501" Type="http://schemas.openxmlformats.org/officeDocument/2006/relationships/hyperlink" Target="https://fbref.com/en/players/bc270726/Regis-Gurtner" TargetMode="External"/><Relationship Id="rId622" Type="http://schemas.openxmlformats.org/officeDocument/2006/relationships/hyperlink" Target="https://fbref.com/en/squads/d7a486cd/2015-2016/Nantes-Stats" TargetMode="External"/><Relationship Id="rId500" Type="http://schemas.openxmlformats.org/officeDocument/2006/relationships/hyperlink" Target="https://fbref.com/en/players/fcbcbd94/Moussa-Konate" TargetMode="External"/><Relationship Id="rId621" Type="http://schemas.openxmlformats.org/officeDocument/2006/relationships/hyperlink" Target="https://fbref.com/en/players/1d2d5cc8/Steve-Mandanda" TargetMode="External"/><Relationship Id="rId507" Type="http://schemas.openxmlformats.org/officeDocument/2006/relationships/hyperlink" Target="https://fbref.com/en/players/3814120d/Bingourou-Kamara" TargetMode="External"/><Relationship Id="rId628" Type="http://schemas.openxmlformats.org/officeDocument/2006/relationships/hyperlink" Target="https://fbref.com/en/squads/d41b5f53/2015-2016/Guingamp-Stats" TargetMode="External"/><Relationship Id="rId506" Type="http://schemas.openxmlformats.org/officeDocument/2006/relationships/hyperlink" Target="https://fbref.com/en/players/5046b7d4/Stephane-Bahoken" TargetMode="External"/><Relationship Id="rId627" Type="http://schemas.openxmlformats.org/officeDocument/2006/relationships/hyperlink" Target="https://fbref.com/en/players/2fa2a875/Benjamin-Lecomte" TargetMode="External"/><Relationship Id="rId505" Type="http://schemas.openxmlformats.org/officeDocument/2006/relationships/hyperlink" Target="https://fbref.com/en/squads/c0d3eab4/2017-2018/Strasbourg-Stats" TargetMode="External"/><Relationship Id="rId626" Type="http://schemas.openxmlformats.org/officeDocument/2006/relationships/hyperlink" Target="https://fbref.com/en/players/e0312377/Benjamin-Moukandjo" TargetMode="External"/><Relationship Id="rId504" Type="http://schemas.openxmlformats.org/officeDocument/2006/relationships/hyperlink" Target="https://fbref.com/en/players/26975a92/Ludovic-Butelle" TargetMode="External"/><Relationship Id="rId625" Type="http://schemas.openxmlformats.org/officeDocument/2006/relationships/hyperlink" Target="https://fbref.com/en/squads/d2c87802/2015-2016/Lorient-Stats" TargetMode="External"/><Relationship Id="rId48" Type="http://schemas.openxmlformats.org/officeDocument/2006/relationships/hyperlink" Target="https://fbref.com/en/players/eedea60b/Yehvann-Diouf" TargetMode="External"/><Relationship Id="rId47" Type="http://schemas.openxmlformats.org/officeDocument/2006/relationships/hyperlink" Target="https://fbref.com/en/players/d97af612/Keito-Nakamura" TargetMode="External"/><Relationship Id="rId49" Type="http://schemas.openxmlformats.org/officeDocument/2006/relationships/hyperlink" Target="https://fbref.com/en/squads/d298ef2c/2024-2025/Saint-Etienne-Stats" TargetMode="External"/><Relationship Id="rId620" Type="http://schemas.openxmlformats.org/officeDocument/2006/relationships/hyperlink" Target="https://fbref.com/en/players/2973d8ff/Michy-Batshuayi" TargetMode="External"/><Relationship Id="rId31" Type="http://schemas.openxmlformats.org/officeDocument/2006/relationships/hyperlink" Target="https://fbref.com/en/squads/5ae09109/2024-2025/Auxerre-Stats" TargetMode="External"/><Relationship Id="rId30" Type="http://schemas.openxmlformats.org/officeDocument/2006/relationships/hyperlink" Target="https://fbref.com/en/players/6b91b999/Guillaume-Restes" TargetMode="External"/><Relationship Id="rId33" Type="http://schemas.openxmlformats.org/officeDocument/2006/relationships/hyperlink" Target="https://fbref.com/en/players/51c83a90/Donovan-Leon" TargetMode="External"/><Relationship Id="rId32" Type="http://schemas.openxmlformats.org/officeDocument/2006/relationships/hyperlink" Target="https://fbref.com/en/players/10dd88f9/Gaetan-Perrin" TargetMode="External"/><Relationship Id="rId35" Type="http://schemas.openxmlformats.org/officeDocument/2006/relationships/hyperlink" Target="https://fbref.com/en/players/bf4c41f9/Arnaud-Kalimuendo" TargetMode="External"/><Relationship Id="rId34" Type="http://schemas.openxmlformats.org/officeDocument/2006/relationships/hyperlink" Target="https://fbref.com/en/squads/b3072e00/2024-2025/Rennes-Stats" TargetMode="External"/><Relationship Id="rId619" Type="http://schemas.openxmlformats.org/officeDocument/2006/relationships/hyperlink" Target="https://fbref.com/en/squads/5725cc7b/2015-2016/Marseille-Stats" TargetMode="External"/><Relationship Id="rId618" Type="http://schemas.openxmlformats.org/officeDocument/2006/relationships/hyperlink" Target="https://fbref.com/en/players/05856228/Laurent-Pionnier" TargetMode="External"/><Relationship Id="rId613" Type="http://schemas.openxmlformats.org/officeDocument/2006/relationships/hyperlink" Target="https://fbref.com/en/squads/123f3efe/2015-2016/Bordeaux-Stats" TargetMode="External"/><Relationship Id="rId612" Type="http://schemas.openxmlformats.org/officeDocument/2006/relationships/hyperlink" Target="https://fbref.com/en/players/edbe46dc/Jean-Louis-Leca" TargetMode="External"/><Relationship Id="rId611" Type="http://schemas.openxmlformats.org/officeDocument/2006/relationships/hyperlink" Target="https://fbref.com/en/players/fd5888a0/Floyd-Ayite" TargetMode="External"/><Relationship Id="rId610" Type="http://schemas.openxmlformats.org/officeDocument/2006/relationships/hyperlink" Target="https://fbref.com/en/squads/6283be2c/2015-2016/Bastia-Stats" TargetMode="External"/><Relationship Id="rId617" Type="http://schemas.openxmlformats.org/officeDocument/2006/relationships/hyperlink" Target="https://fbref.com/en/players/c58270f8/Souleymane-Camara" TargetMode="External"/><Relationship Id="rId616" Type="http://schemas.openxmlformats.org/officeDocument/2006/relationships/hyperlink" Target="https://fbref.com/en/squads/281b0e73/2015-2016/Montpellier-Stats" TargetMode="External"/><Relationship Id="rId615" Type="http://schemas.openxmlformats.org/officeDocument/2006/relationships/hyperlink" Target="https://fbref.com/en/players/17f5a888/Cedric-Carrasso" TargetMode="External"/><Relationship Id="rId614" Type="http://schemas.openxmlformats.org/officeDocument/2006/relationships/hyperlink" Target="https://fbref.com/en/players/95cfe655/Cheick-Diabate" TargetMode="External"/><Relationship Id="rId37" Type="http://schemas.openxmlformats.org/officeDocument/2006/relationships/hyperlink" Target="https://fbref.com/en/squads/d7a486cd/2024-2025/Nantes-Stats" TargetMode="External"/><Relationship Id="rId36" Type="http://schemas.openxmlformats.org/officeDocument/2006/relationships/hyperlink" Target="https://fbref.com/en/players/60d90c55/Brice-Samba" TargetMode="External"/><Relationship Id="rId39" Type="http://schemas.openxmlformats.org/officeDocument/2006/relationships/hyperlink" Target="https://fbref.com/en/players/f00de885/Anthony-Lopes" TargetMode="External"/><Relationship Id="rId38" Type="http://schemas.openxmlformats.org/officeDocument/2006/relationships/hyperlink" Target="https://fbref.com/en/players/0e46fa2f/Matthis-Abline" TargetMode="External"/><Relationship Id="rId20" Type="http://schemas.openxmlformats.org/officeDocument/2006/relationships/hyperlink" Target="https://fbref.com/en/players/a0c590b9/Emanuel-Emegha" TargetMode="External"/><Relationship Id="rId22" Type="http://schemas.openxmlformats.org/officeDocument/2006/relationships/hyperlink" Target="https://fbref.com/en/squads/fd4e0f7d/2024-2025/Lens-Stats" TargetMode="External"/><Relationship Id="rId21" Type="http://schemas.openxmlformats.org/officeDocument/2006/relationships/hyperlink" Target="https://fbref.com/en/players/0cf321c8/Djordje-Petrovic" TargetMode="External"/><Relationship Id="rId24" Type="http://schemas.openxmlformats.org/officeDocument/2006/relationships/hyperlink" Target="https://fbref.com/en/players/60d90c55/Brice-Samba" TargetMode="External"/><Relationship Id="rId23" Type="http://schemas.openxmlformats.org/officeDocument/2006/relationships/hyperlink" Target="https://fbref.com/en/players/17e1261b/Neil-El-Aynaoui" TargetMode="External"/><Relationship Id="rId409" Type="http://schemas.openxmlformats.org/officeDocument/2006/relationships/hyperlink" Target="https://fbref.com/en/squads/d53c0b06/2018-2019/Lyon-Stats" TargetMode="External"/><Relationship Id="rId404" Type="http://schemas.openxmlformats.org/officeDocument/2006/relationships/hyperlink" Target="https://fbref.com/en/players/42fd9c7f/Kylian-Mbappe" TargetMode="External"/><Relationship Id="rId525" Type="http://schemas.openxmlformats.org/officeDocument/2006/relationships/hyperlink" Target="https://fbref.com/en/players/f6db3bd5/Danijel-Subasic" TargetMode="External"/><Relationship Id="rId403" Type="http://schemas.openxmlformats.org/officeDocument/2006/relationships/hyperlink" Target="https://fbref.com/en/squads/e2d8892c/2018-2019/Paris-Saint-Germain-Stats" TargetMode="External"/><Relationship Id="rId524" Type="http://schemas.openxmlformats.org/officeDocument/2006/relationships/hyperlink" Target="https://fbref.com/en/players/66116290/Radamel-Falcao" TargetMode="External"/><Relationship Id="rId402" Type="http://schemas.openxmlformats.org/officeDocument/2006/relationships/hyperlink" Target="https://fbref.com/en/players/bcf1b2e9/Baptiste-Reynet" TargetMode="External"/><Relationship Id="rId523" Type="http://schemas.openxmlformats.org/officeDocument/2006/relationships/hyperlink" Target="https://fbref.com/en/squads/fd6114db/2016-2017/Monaco-Stats" TargetMode="External"/><Relationship Id="rId401" Type="http://schemas.openxmlformats.org/officeDocument/2006/relationships/hyperlink" Target="https://fbref.com/en/players/21f8d950/Efthimis-Koulouris" TargetMode="External"/><Relationship Id="rId522" Type="http://schemas.openxmlformats.org/officeDocument/2006/relationships/hyperlink" Target="https://fbref.com/en/players/a4527d33/Eiji-Kawashima" TargetMode="External"/><Relationship Id="rId643" Type="http://schemas.openxmlformats.org/officeDocument/2006/relationships/drawing" Target="../drawings/drawing2.xml"/><Relationship Id="rId408" Type="http://schemas.openxmlformats.org/officeDocument/2006/relationships/hyperlink" Target="https://fbref.com/en/players/fcb38f57/Mike-Maignan" TargetMode="External"/><Relationship Id="rId529" Type="http://schemas.openxmlformats.org/officeDocument/2006/relationships/hyperlink" Target="https://fbref.com/en/squads/132ebc33/2016-2017/Nice-Stats" TargetMode="External"/><Relationship Id="rId407" Type="http://schemas.openxmlformats.org/officeDocument/2006/relationships/hyperlink" Target="https://fbref.com/en/players/57e3f0c7/Nicolas-Pepe" TargetMode="External"/><Relationship Id="rId528" Type="http://schemas.openxmlformats.org/officeDocument/2006/relationships/hyperlink" Target="https://fbref.com/en/players/ce17b5eb/Kevin-Trapp" TargetMode="External"/><Relationship Id="rId406" Type="http://schemas.openxmlformats.org/officeDocument/2006/relationships/hyperlink" Target="https://fbref.com/en/squads/cb188c0c/2018-2019/Lille-Stats" TargetMode="External"/><Relationship Id="rId527" Type="http://schemas.openxmlformats.org/officeDocument/2006/relationships/hyperlink" Target="https://fbref.com/en/players/527f063d/Edinson-Cavani" TargetMode="External"/><Relationship Id="rId405" Type="http://schemas.openxmlformats.org/officeDocument/2006/relationships/hyperlink" Target="https://fbref.com/en/players/2f965a72/Alphonse-Areola" TargetMode="External"/><Relationship Id="rId526" Type="http://schemas.openxmlformats.org/officeDocument/2006/relationships/hyperlink" Target="https://fbref.com/en/squads/e2d8892c/2016-2017/Paris-Saint-Germain-Stats" TargetMode="External"/><Relationship Id="rId26" Type="http://schemas.openxmlformats.org/officeDocument/2006/relationships/hyperlink" Target="https://fbref.com/en/players/462475ed/Ludovic-Ajorque" TargetMode="External"/><Relationship Id="rId25" Type="http://schemas.openxmlformats.org/officeDocument/2006/relationships/hyperlink" Target="https://fbref.com/en/squads/fb08dbb3/2024-2025/Brest-Stats" TargetMode="External"/><Relationship Id="rId28" Type="http://schemas.openxmlformats.org/officeDocument/2006/relationships/hyperlink" Target="https://fbref.com/en/squads/3f8c4b5f/2024-2025/Toulouse-Stats" TargetMode="External"/><Relationship Id="rId27" Type="http://schemas.openxmlformats.org/officeDocument/2006/relationships/hyperlink" Target="https://fbref.com/en/players/3d214e5f/Marco-Bizot" TargetMode="External"/><Relationship Id="rId400" Type="http://schemas.openxmlformats.org/officeDocument/2006/relationships/hyperlink" Target="https://fbref.com/en/squads/3f8c4b5f/2019-2020/Toulouse-Stats" TargetMode="External"/><Relationship Id="rId521" Type="http://schemas.openxmlformats.org/officeDocument/2006/relationships/hyperlink" Target="https://fbref.com/en/players/3071a619/Nolan-Roux" TargetMode="External"/><Relationship Id="rId642" Type="http://schemas.openxmlformats.org/officeDocument/2006/relationships/hyperlink" Target="https://fbref.com/en/players/fbf83734/Matthieu-Dreyer" TargetMode="External"/><Relationship Id="rId29" Type="http://schemas.openxmlformats.org/officeDocument/2006/relationships/hyperlink" Target="https://fbref.com/en/players/c2a6033c/Zakaria-Aboukhlal" TargetMode="External"/><Relationship Id="rId520" Type="http://schemas.openxmlformats.org/officeDocument/2006/relationships/hyperlink" Target="https://fbref.com/en/squads/f83960ae/2017-2018/Metz-Stats" TargetMode="External"/><Relationship Id="rId641" Type="http://schemas.openxmlformats.org/officeDocument/2006/relationships/hyperlink" Target="https://fbref.com/en/players/42443716/Fabien-Camus" TargetMode="External"/><Relationship Id="rId640" Type="http://schemas.openxmlformats.org/officeDocument/2006/relationships/hyperlink" Target="https://fbref.com/en/squads/54195385/2015-2016/Troyes-Stats" TargetMode="External"/><Relationship Id="rId11" Type="http://schemas.openxmlformats.org/officeDocument/2006/relationships/hyperlink" Target="https://fbref.com/en/players/b73f17f8/Evann-Guessand" TargetMode="External"/><Relationship Id="rId10" Type="http://schemas.openxmlformats.org/officeDocument/2006/relationships/hyperlink" Target="https://fbref.com/en/squads/132ebc33/2024-2025/Nice-Stats" TargetMode="External"/><Relationship Id="rId13" Type="http://schemas.openxmlformats.org/officeDocument/2006/relationships/hyperlink" Target="https://fbref.com/en/squads/cb188c0c/2024-2025/Lille-Stats" TargetMode="External"/><Relationship Id="rId12" Type="http://schemas.openxmlformats.org/officeDocument/2006/relationships/hyperlink" Target="https://fbref.com/en/players/db87a2c4/Marcin-Bulka" TargetMode="External"/><Relationship Id="rId519" Type="http://schemas.openxmlformats.org/officeDocument/2006/relationships/hyperlink" Target="https://fbref.com/en/players/cfe852d8/Mamadou-Samassa" TargetMode="External"/><Relationship Id="rId514" Type="http://schemas.openxmlformats.org/officeDocument/2006/relationships/hyperlink" Target="https://fbref.com/en/squads/3f8c4b5f/2017-2018/Toulouse-Stats" TargetMode="External"/><Relationship Id="rId635" Type="http://schemas.openxmlformats.org/officeDocument/2006/relationships/hyperlink" Target="https://fbref.com/en/players/b0547a87/Nicolas-de-Preville" TargetMode="External"/><Relationship Id="rId513" Type="http://schemas.openxmlformats.org/officeDocument/2006/relationships/hyperlink" Target="https://fbref.com/en/players/fcb38f57/Mike-Maignan" TargetMode="External"/><Relationship Id="rId634" Type="http://schemas.openxmlformats.org/officeDocument/2006/relationships/hyperlink" Target="https://fbref.com/en/squads/7fdd64e0/2015-2016/Reims-Stats" TargetMode="External"/><Relationship Id="rId512" Type="http://schemas.openxmlformats.org/officeDocument/2006/relationships/hyperlink" Target="https://fbref.com/en/players/57e3f0c7/Nicolas-Pepe" TargetMode="External"/><Relationship Id="rId633" Type="http://schemas.openxmlformats.org/officeDocument/2006/relationships/hyperlink" Target="https://fbref.com/en/players/4e7db402/Alban-Lafont" TargetMode="External"/><Relationship Id="rId511" Type="http://schemas.openxmlformats.org/officeDocument/2006/relationships/hyperlink" Target="https://fbref.com/en/squads/cb188c0c/2017-2018/Lille-Stats" TargetMode="External"/><Relationship Id="rId632" Type="http://schemas.openxmlformats.org/officeDocument/2006/relationships/hyperlink" Target="https://fbref.com/en/players/942b4f90/Wissam-Ben-Yedder" TargetMode="External"/><Relationship Id="rId518" Type="http://schemas.openxmlformats.org/officeDocument/2006/relationships/hyperlink" Target="https://fbref.com/en/players/1ac3b888/Adama-Niane" TargetMode="External"/><Relationship Id="rId639" Type="http://schemas.openxmlformats.org/officeDocument/2006/relationships/hyperlink" Target="https://fbref.com/en/players/7dd60434/Clement-Maury" TargetMode="External"/><Relationship Id="rId517" Type="http://schemas.openxmlformats.org/officeDocument/2006/relationships/hyperlink" Target="https://fbref.com/en/squads/54195385/2017-2018/Troyes-Stats" TargetMode="External"/><Relationship Id="rId638" Type="http://schemas.openxmlformats.org/officeDocument/2006/relationships/hyperlink" Target="https://fbref.com/en/players/76be043f/Mohamed-Larbi" TargetMode="External"/><Relationship Id="rId516" Type="http://schemas.openxmlformats.org/officeDocument/2006/relationships/hyperlink" Target="https://fbref.com/en/players/4e7db402/Alban-Lafont" TargetMode="External"/><Relationship Id="rId637" Type="http://schemas.openxmlformats.org/officeDocument/2006/relationships/hyperlink" Target="https://fbref.com/en/squads/73905dde/2015-2016/Gazelec-Ajaccio-Stats" TargetMode="External"/><Relationship Id="rId515" Type="http://schemas.openxmlformats.org/officeDocument/2006/relationships/hyperlink" Target="https://fbref.com/en/players/c5a500ca/Max-Gradel" TargetMode="External"/><Relationship Id="rId636" Type="http://schemas.openxmlformats.org/officeDocument/2006/relationships/hyperlink" Target="https://fbref.com/en/players/f1666a9d/Johny-Placide" TargetMode="External"/><Relationship Id="rId15" Type="http://schemas.openxmlformats.org/officeDocument/2006/relationships/hyperlink" Target="https://fbref.com/en/players/b3d76d84/Lucas-Chevalier" TargetMode="External"/><Relationship Id="rId14" Type="http://schemas.openxmlformats.org/officeDocument/2006/relationships/hyperlink" Target="https://fbref.com/en/players/ce50fd99/Jonathan-David" TargetMode="External"/><Relationship Id="rId17" Type="http://schemas.openxmlformats.org/officeDocument/2006/relationships/hyperlink" Target="https://fbref.com/en/players/9dbb75ca/Alexandre-Lacazette" TargetMode="External"/><Relationship Id="rId16" Type="http://schemas.openxmlformats.org/officeDocument/2006/relationships/hyperlink" Target="https://fbref.com/en/squads/d53c0b06/2024-2025/Lyon-Stats" TargetMode="External"/><Relationship Id="rId19" Type="http://schemas.openxmlformats.org/officeDocument/2006/relationships/hyperlink" Target="https://fbref.com/en/squads/c0d3eab4/2024-2025/Strasbourg-Stats" TargetMode="External"/><Relationship Id="rId510" Type="http://schemas.openxmlformats.org/officeDocument/2006/relationships/hyperlink" Target="https://fbref.com/en/players/1d0900d4/Remy-Vercoutre" TargetMode="External"/><Relationship Id="rId631" Type="http://schemas.openxmlformats.org/officeDocument/2006/relationships/hyperlink" Target="https://fbref.com/en/squads/3f8c4b5f/2015-2016/Toulouse-Stats" TargetMode="External"/><Relationship Id="rId18" Type="http://schemas.openxmlformats.org/officeDocument/2006/relationships/hyperlink" Target="https://fbref.com/en/players/5dbd461a/Lucas-Perri" TargetMode="External"/><Relationship Id="rId630" Type="http://schemas.openxmlformats.org/officeDocument/2006/relationships/hyperlink" Target="https://fbref.com/en/players/939bc634/Jonas-Lossl" TargetMode="External"/><Relationship Id="rId84" Type="http://schemas.openxmlformats.org/officeDocument/2006/relationships/hyperlink" Target="https://fbref.com/en/players/1d2d5cc8/Steve-Mandanda" TargetMode="External"/><Relationship Id="rId83" Type="http://schemas.openxmlformats.org/officeDocument/2006/relationships/hyperlink" Target="https://fbref.com/en/players/bf4c41f9/Arnaud-Kalimuendo" TargetMode="External"/><Relationship Id="rId86" Type="http://schemas.openxmlformats.org/officeDocument/2006/relationships/hyperlink" Target="https://fbref.com/en/players/b70afb45/Thijs-Dallinga" TargetMode="External"/><Relationship Id="rId85" Type="http://schemas.openxmlformats.org/officeDocument/2006/relationships/hyperlink" Target="https://fbref.com/en/squads/3f8c4b5f/2023-2024/Toulouse-Stats" TargetMode="External"/><Relationship Id="rId88" Type="http://schemas.openxmlformats.org/officeDocument/2006/relationships/hyperlink" Target="https://fbref.com/en/squads/281b0e73/2023-2024/Montpellier-Stats" TargetMode="External"/><Relationship Id="rId87" Type="http://schemas.openxmlformats.org/officeDocument/2006/relationships/hyperlink" Target="https://fbref.com/en/players/6b91b999/Guillaume-Restes" TargetMode="External"/><Relationship Id="rId89" Type="http://schemas.openxmlformats.org/officeDocument/2006/relationships/hyperlink" Target="https://fbref.com/en/players/6bde367b/Teji-Savanier" TargetMode="External"/><Relationship Id="rId80" Type="http://schemas.openxmlformats.org/officeDocument/2006/relationships/hyperlink" Target="https://fbref.com/en/players/5c26ca51/Teddy-Teuma" TargetMode="External"/><Relationship Id="rId82" Type="http://schemas.openxmlformats.org/officeDocument/2006/relationships/hyperlink" Target="https://fbref.com/en/squads/b3072e00/2023-2024/Rennes-Stats" TargetMode="External"/><Relationship Id="rId81" Type="http://schemas.openxmlformats.org/officeDocument/2006/relationships/hyperlink" Target="https://fbref.com/en/players/eedea60b/Yehvann-Diouf" TargetMode="External"/><Relationship Id="rId73" Type="http://schemas.openxmlformats.org/officeDocument/2006/relationships/hyperlink" Target="https://fbref.com/en/squads/fd4e0f7d/2023-2024/Lens-Stats" TargetMode="External"/><Relationship Id="rId72" Type="http://schemas.openxmlformats.org/officeDocument/2006/relationships/hyperlink" Target="https://fbref.com/en/players/f00de885/Anthony-Lopes" TargetMode="External"/><Relationship Id="rId75" Type="http://schemas.openxmlformats.org/officeDocument/2006/relationships/hyperlink" Target="https://fbref.com/en/players/60d90c55/Brice-Samba" TargetMode="External"/><Relationship Id="rId74" Type="http://schemas.openxmlformats.org/officeDocument/2006/relationships/hyperlink" Target="https://fbref.com/en/players/0d7b6576/Elye-Wahi" TargetMode="External"/><Relationship Id="rId77" Type="http://schemas.openxmlformats.org/officeDocument/2006/relationships/hyperlink" Target="https://fbref.com/en/players/d5dd5f1f/Pierre-Emerick-Aubameyang" TargetMode="External"/><Relationship Id="rId76" Type="http://schemas.openxmlformats.org/officeDocument/2006/relationships/hyperlink" Target="https://fbref.com/en/squads/5725cc7b/2023-2024/Marseille-Stats" TargetMode="External"/><Relationship Id="rId79" Type="http://schemas.openxmlformats.org/officeDocument/2006/relationships/hyperlink" Target="https://fbref.com/en/squads/7fdd64e0/2023-2024/Reims-Stats" TargetMode="External"/><Relationship Id="rId78" Type="http://schemas.openxmlformats.org/officeDocument/2006/relationships/hyperlink" Target="https://fbref.com/en/players/20b9f052/Pau-Lopez" TargetMode="External"/><Relationship Id="rId71" Type="http://schemas.openxmlformats.org/officeDocument/2006/relationships/hyperlink" Target="https://fbref.com/en/players/9dbb75ca/Alexandre-Lacazette" TargetMode="External"/><Relationship Id="rId70" Type="http://schemas.openxmlformats.org/officeDocument/2006/relationships/hyperlink" Target="https://fbref.com/en/squads/d53c0b06/2023-2024/Lyon-Stats" TargetMode="External"/><Relationship Id="rId62" Type="http://schemas.openxmlformats.org/officeDocument/2006/relationships/hyperlink" Target="https://fbref.com/en/players/0be95d34/Romain-Del-Castillo" TargetMode="External"/><Relationship Id="rId61" Type="http://schemas.openxmlformats.org/officeDocument/2006/relationships/hyperlink" Target="https://fbref.com/en/squads/fb08dbb3/2023-2024/Brest-Stats" TargetMode="External"/><Relationship Id="rId64" Type="http://schemas.openxmlformats.org/officeDocument/2006/relationships/hyperlink" Target="https://fbref.com/en/squads/cb188c0c/2023-2024/Lille-Stats" TargetMode="External"/><Relationship Id="rId63" Type="http://schemas.openxmlformats.org/officeDocument/2006/relationships/hyperlink" Target="https://fbref.com/en/players/3d214e5f/Marco-Bizot" TargetMode="External"/><Relationship Id="rId66" Type="http://schemas.openxmlformats.org/officeDocument/2006/relationships/hyperlink" Target="https://fbref.com/en/players/b3d76d84/Lucas-Chevalier" TargetMode="External"/><Relationship Id="rId65" Type="http://schemas.openxmlformats.org/officeDocument/2006/relationships/hyperlink" Target="https://fbref.com/en/players/ce50fd99/Jonathan-David" TargetMode="External"/><Relationship Id="rId68" Type="http://schemas.openxmlformats.org/officeDocument/2006/relationships/hyperlink" Target="https://fbref.com/en/players/065dc209/Terem-Moffi" TargetMode="External"/><Relationship Id="rId67" Type="http://schemas.openxmlformats.org/officeDocument/2006/relationships/hyperlink" Target="https://fbref.com/en/squads/132ebc33/2023-2024/Nice-Stats" TargetMode="External"/><Relationship Id="rId609" Type="http://schemas.openxmlformats.org/officeDocument/2006/relationships/hyperlink" Target="https://fbref.com/en/players/26975a92/Ludovic-Butelle" TargetMode="External"/><Relationship Id="rId608" Type="http://schemas.openxmlformats.org/officeDocument/2006/relationships/hyperlink" Target="https://fbref.com/en/players/f1b2365a/Cheikh-NDoye" TargetMode="External"/><Relationship Id="rId607" Type="http://schemas.openxmlformats.org/officeDocument/2006/relationships/hyperlink" Target="https://fbref.com/en/squads/69236f98/2015-2016/Angers-Stats" TargetMode="External"/><Relationship Id="rId60" Type="http://schemas.openxmlformats.org/officeDocument/2006/relationships/hyperlink" Target="https://fbref.com/en/players/ff74841d/Philipp-Kohn" TargetMode="External"/><Relationship Id="rId602" Type="http://schemas.openxmlformats.org/officeDocument/2006/relationships/hyperlink" Target="https://fbref.com/en/players/d33c706e/Andy-Delort" TargetMode="External"/><Relationship Id="rId601" Type="http://schemas.openxmlformats.org/officeDocument/2006/relationships/hyperlink" Target="https://fbref.com/en/squads/74229020/2015-2016/Caen-Stats" TargetMode="External"/><Relationship Id="rId600" Type="http://schemas.openxmlformats.org/officeDocument/2006/relationships/hyperlink" Target="https://fbref.com/en/players/cac76a72/Stephane-Ruffier" TargetMode="External"/><Relationship Id="rId606" Type="http://schemas.openxmlformats.org/officeDocument/2006/relationships/hyperlink" Target="https://fbref.com/en/players/2434f24a/Benoit-Costil" TargetMode="External"/><Relationship Id="rId605" Type="http://schemas.openxmlformats.org/officeDocument/2006/relationships/hyperlink" Target="https://fbref.com/en/players/b19db005/Ousmane-Dembele" TargetMode="External"/><Relationship Id="rId604" Type="http://schemas.openxmlformats.org/officeDocument/2006/relationships/hyperlink" Target="https://fbref.com/en/squads/b3072e00/2015-2016/Rennes-Stats" TargetMode="External"/><Relationship Id="rId603" Type="http://schemas.openxmlformats.org/officeDocument/2006/relationships/hyperlink" Target="https://fbref.com/en/players/1d0900d4/Remy-Vercoutre" TargetMode="External"/><Relationship Id="rId69" Type="http://schemas.openxmlformats.org/officeDocument/2006/relationships/hyperlink" Target="https://fbref.com/en/players/db87a2c4/Marcin-Bulka" TargetMode="External"/><Relationship Id="rId51" Type="http://schemas.openxmlformats.org/officeDocument/2006/relationships/hyperlink" Target="https://fbref.com/en/players/b49729cb/Gautier-Larsonneur" TargetMode="External"/><Relationship Id="rId50" Type="http://schemas.openxmlformats.org/officeDocument/2006/relationships/hyperlink" Target="https://fbref.com/en/players/a47d6f3a/Lucas-Stassin" TargetMode="External"/><Relationship Id="rId53" Type="http://schemas.openxmlformats.org/officeDocument/2006/relationships/hyperlink" Target="https://fbref.com/en/players/7b9a9e25/Arnaud-Nordin" TargetMode="External"/><Relationship Id="rId52" Type="http://schemas.openxmlformats.org/officeDocument/2006/relationships/hyperlink" Target="https://fbref.com/en/squads/281b0e73/2024-2025/Montpellier-Stats" TargetMode="External"/><Relationship Id="rId55" Type="http://schemas.openxmlformats.org/officeDocument/2006/relationships/hyperlink" Target="https://fbref.com/en/squads/e2d8892c/2023-2024/Paris-Saint-Germain-Stats" TargetMode="External"/><Relationship Id="rId54" Type="http://schemas.openxmlformats.org/officeDocument/2006/relationships/hyperlink" Target="https://fbref.com/en/players/2fa2a875/Benjamin-Lecomte" TargetMode="External"/><Relationship Id="rId57" Type="http://schemas.openxmlformats.org/officeDocument/2006/relationships/hyperlink" Target="https://fbref.com/en/players/08f5afaa/Gianluigi-Donnarumma" TargetMode="External"/><Relationship Id="rId56" Type="http://schemas.openxmlformats.org/officeDocument/2006/relationships/hyperlink" Target="https://fbref.com/en/players/42fd9c7f/Kylian-Mbappe" TargetMode="External"/><Relationship Id="rId59" Type="http://schemas.openxmlformats.org/officeDocument/2006/relationships/hyperlink" Target="https://fbref.com/en/players/942b4f90/Wissam-Ben-Yedder" TargetMode="External"/><Relationship Id="rId58" Type="http://schemas.openxmlformats.org/officeDocument/2006/relationships/hyperlink" Target="https://fbref.com/en/squads/fd6114db/2023-2024/Monaco-Stats" TargetMode="External"/><Relationship Id="rId590" Type="http://schemas.openxmlformats.org/officeDocument/2006/relationships/hyperlink" Target="https://fbref.com/en/players/3eb22ec9/Bernardo-Silva" TargetMode="External"/><Relationship Id="rId107" Type="http://schemas.openxmlformats.org/officeDocument/2006/relationships/hyperlink" Target="https://fbref.com/en/players/f527a32c/Muhammed-Cham" TargetMode="External"/><Relationship Id="rId228" Type="http://schemas.openxmlformats.org/officeDocument/2006/relationships/hyperlink" Target="https://fbref.com/en/players/20b9f052/Pau-Lopez" TargetMode="External"/><Relationship Id="rId349" Type="http://schemas.openxmlformats.org/officeDocument/2006/relationships/hyperlink" Target="https://fbref.com/en/squads/b3072e00/2019-2020/Rennes-Stats" TargetMode="External"/><Relationship Id="rId106" Type="http://schemas.openxmlformats.org/officeDocument/2006/relationships/hyperlink" Target="https://fbref.com/en/squads/d9676424/2023-2024/Clermont-Foot-Stats" TargetMode="External"/><Relationship Id="rId227" Type="http://schemas.openxmlformats.org/officeDocument/2006/relationships/hyperlink" Target="https://fbref.com/en/players/58ae47b2/Dimitri-Payet" TargetMode="External"/><Relationship Id="rId348" Type="http://schemas.openxmlformats.org/officeDocument/2006/relationships/hyperlink" Target="https://fbref.com/en/players/1d2d5cc8/Steve-Mandanda" TargetMode="External"/><Relationship Id="rId469" Type="http://schemas.openxmlformats.org/officeDocument/2006/relationships/hyperlink" Target="https://fbref.com/en/squads/d53c0b06/2017-2018/Lyon-Stats" TargetMode="External"/><Relationship Id="rId105" Type="http://schemas.openxmlformats.org/officeDocument/2006/relationships/hyperlink" Target="https://fbref.com/en/players/dc29b608/Yvon-Mvogo" TargetMode="External"/><Relationship Id="rId226" Type="http://schemas.openxmlformats.org/officeDocument/2006/relationships/hyperlink" Target="https://fbref.com/en/squads/5725cc7b/2021-2022/Marseille-Stats" TargetMode="External"/><Relationship Id="rId347" Type="http://schemas.openxmlformats.org/officeDocument/2006/relationships/hyperlink" Target="https://fbref.com/en/players/bef0a7ac/Dario-Benedetto" TargetMode="External"/><Relationship Id="rId468" Type="http://schemas.openxmlformats.org/officeDocument/2006/relationships/hyperlink" Target="https://fbref.com/en/players/f6db3bd5/Danijel-Subasic" TargetMode="External"/><Relationship Id="rId589" Type="http://schemas.openxmlformats.org/officeDocument/2006/relationships/hyperlink" Target="https://fbref.com/en/squads/fd6114db/2015-2016/Monaco-Stats" TargetMode="External"/><Relationship Id="rId104" Type="http://schemas.openxmlformats.org/officeDocument/2006/relationships/hyperlink" Target="https://fbref.com/en/players/d469252b/Mohamed-Bamba" TargetMode="External"/><Relationship Id="rId225" Type="http://schemas.openxmlformats.org/officeDocument/2006/relationships/hyperlink" Target="https://fbref.com/en/players/ecada4fc/Keylor-Navas" TargetMode="External"/><Relationship Id="rId346" Type="http://schemas.openxmlformats.org/officeDocument/2006/relationships/hyperlink" Target="https://fbref.com/en/squads/5725cc7b/2019-2020/Marseille-Stats" TargetMode="External"/><Relationship Id="rId467" Type="http://schemas.openxmlformats.org/officeDocument/2006/relationships/hyperlink" Target="https://fbref.com/en/players/66116290/Radamel-Falcao" TargetMode="External"/><Relationship Id="rId588" Type="http://schemas.openxmlformats.org/officeDocument/2006/relationships/hyperlink" Target="https://fbref.com/en/players/f00de885/Anthony-Lopes" TargetMode="External"/><Relationship Id="rId109" Type="http://schemas.openxmlformats.org/officeDocument/2006/relationships/hyperlink" Target="https://fbref.com/en/squads/e2d8892c/2023-2024/Paris-Saint-Germain-Stats" TargetMode="External"/><Relationship Id="rId108" Type="http://schemas.openxmlformats.org/officeDocument/2006/relationships/hyperlink" Target="https://fbref.com/en/players/f41a69e6/Mory-Diaw" TargetMode="External"/><Relationship Id="rId229" Type="http://schemas.openxmlformats.org/officeDocument/2006/relationships/hyperlink" Target="https://fbref.com/en/squads/fd6114db/2021-2022/Monaco-Stats" TargetMode="External"/><Relationship Id="rId220" Type="http://schemas.openxmlformats.org/officeDocument/2006/relationships/hyperlink" Target="https://fbref.com/en/squads/69236f98/2022-2023/Angers-Stats" TargetMode="External"/><Relationship Id="rId341" Type="http://schemas.openxmlformats.org/officeDocument/2006/relationships/hyperlink" Target="https://fbref.com/en/players/fb14aa28/Mama-Samba-Balde" TargetMode="External"/><Relationship Id="rId462" Type="http://schemas.openxmlformats.org/officeDocument/2006/relationships/hyperlink" Target="https://fbref.com/en/players/5ee6e943/Marc-Aurele-Caillard" TargetMode="External"/><Relationship Id="rId583" Type="http://schemas.openxmlformats.org/officeDocument/2006/relationships/hyperlink" Target="https://fbref.com/en/squads/e2d8892c/2015-2016/Paris-Saint-Germain-Stats" TargetMode="External"/><Relationship Id="rId340" Type="http://schemas.openxmlformats.org/officeDocument/2006/relationships/hyperlink" Target="https://fbref.com/en/squads/8dfb7350/2020-2021/Dijon-Stats" TargetMode="External"/><Relationship Id="rId461" Type="http://schemas.openxmlformats.org/officeDocument/2006/relationships/hyperlink" Target="https://fbref.com/en/players/6f8cd6d0/Marcus-Thuram" TargetMode="External"/><Relationship Id="rId582" Type="http://schemas.openxmlformats.org/officeDocument/2006/relationships/hyperlink" Target="https://fbref.com/en/players/edbe46dc/Jean-Louis-Leca" TargetMode="External"/><Relationship Id="rId460" Type="http://schemas.openxmlformats.org/officeDocument/2006/relationships/hyperlink" Target="https://fbref.com/en/squads/d41b5f53/2018-2019/Guingamp-Stats" TargetMode="External"/><Relationship Id="rId581" Type="http://schemas.openxmlformats.org/officeDocument/2006/relationships/hyperlink" Target="https://fbref.com/en/players/06f33dc8/Enzo-Crivelli" TargetMode="External"/><Relationship Id="rId580" Type="http://schemas.openxmlformats.org/officeDocument/2006/relationships/hyperlink" Target="https://fbref.com/en/squads/6283be2c/2016-2017/Bastia-Stats" TargetMode="External"/><Relationship Id="rId103" Type="http://schemas.openxmlformats.org/officeDocument/2006/relationships/hyperlink" Target="https://fbref.com/en/squads/d2c87802/2023-2024/Lorient-Stats" TargetMode="External"/><Relationship Id="rId224" Type="http://schemas.openxmlformats.org/officeDocument/2006/relationships/hyperlink" Target="https://fbref.com/en/players/42fd9c7f/Kylian-Mbappe" TargetMode="External"/><Relationship Id="rId345" Type="http://schemas.openxmlformats.org/officeDocument/2006/relationships/hyperlink" Target="https://fbref.com/en/players/ecada4fc/Keylor-Navas" TargetMode="External"/><Relationship Id="rId466" Type="http://schemas.openxmlformats.org/officeDocument/2006/relationships/hyperlink" Target="https://fbref.com/en/squads/fd6114db/2017-2018/Monaco-Stats" TargetMode="External"/><Relationship Id="rId587" Type="http://schemas.openxmlformats.org/officeDocument/2006/relationships/hyperlink" Target="https://fbref.com/en/players/9dbb75ca/Alexandre-Lacazette" TargetMode="External"/><Relationship Id="rId102" Type="http://schemas.openxmlformats.org/officeDocument/2006/relationships/hyperlink" Target="https://fbref.com/en/players/ae7d0ecd/Alexandre-Oukidja" TargetMode="External"/><Relationship Id="rId223" Type="http://schemas.openxmlformats.org/officeDocument/2006/relationships/hyperlink" Target="https://fbref.com/en/squads/e2d8892c/2021-2022/Paris-Saint-Germain-Stats" TargetMode="External"/><Relationship Id="rId344" Type="http://schemas.openxmlformats.org/officeDocument/2006/relationships/hyperlink" Target="https://fbref.com/en/players/42fd9c7f/Kylian-Mbappe" TargetMode="External"/><Relationship Id="rId465" Type="http://schemas.openxmlformats.org/officeDocument/2006/relationships/hyperlink" Target="https://fbref.com/en/players/2f965a72/Alphonse-Areola" TargetMode="External"/><Relationship Id="rId586" Type="http://schemas.openxmlformats.org/officeDocument/2006/relationships/hyperlink" Target="https://fbref.com/en/squads/d53c0b06/2015-2016/Lyon-Stats" TargetMode="External"/><Relationship Id="rId101" Type="http://schemas.openxmlformats.org/officeDocument/2006/relationships/hyperlink" Target="https://fbref.com/en/players/4788cb6b/Georges-Mikautadze" TargetMode="External"/><Relationship Id="rId222" Type="http://schemas.openxmlformats.org/officeDocument/2006/relationships/hyperlink" Target="https://fbref.com/en/players/28dabd43/Paul-Bernardoni" TargetMode="External"/><Relationship Id="rId343" Type="http://schemas.openxmlformats.org/officeDocument/2006/relationships/hyperlink" Target="https://fbref.com/en/squads/e2d8892c/2019-2020/Paris-Saint-Germain-Stats" TargetMode="External"/><Relationship Id="rId464" Type="http://schemas.openxmlformats.org/officeDocument/2006/relationships/hyperlink" Target="https://fbref.com/en/players/527f063d/Edinson-Cavani" TargetMode="External"/><Relationship Id="rId585" Type="http://schemas.openxmlformats.org/officeDocument/2006/relationships/hyperlink" Target="https://fbref.com/en/players/ce17b5eb/Kevin-Trapp" TargetMode="External"/><Relationship Id="rId100" Type="http://schemas.openxmlformats.org/officeDocument/2006/relationships/hyperlink" Target="https://fbref.com/en/squads/f83960ae/2023-2024/Metz-Stats" TargetMode="External"/><Relationship Id="rId221" Type="http://schemas.openxmlformats.org/officeDocument/2006/relationships/hyperlink" Target="https://fbref.com/en/players/fdbde523/Abdallah-Sima" TargetMode="External"/><Relationship Id="rId342" Type="http://schemas.openxmlformats.org/officeDocument/2006/relationships/hyperlink" Target="https://fbref.com/en/players/abc06eb3/Anthony-Racioppi" TargetMode="External"/><Relationship Id="rId463" Type="http://schemas.openxmlformats.org/officeDocument/2006/relationships/hyperlink" Target="https://fbref.com/en/squads/e2d8892c/2017-2018/Paris-Saint-Germain-Stats" TargetMode="External"/><Relationship Id="rId584" Type="http://schemas.openxmlformats.org/officeDocument/2006/relationships/hyperlink" Target="https://fbref.com/en/players/4cde5509/Zlatan-Ibrahimovic" TargetMode="External"/><Relationship Id="rId217" Type="http://schemas.openxmlformats.org/officeDocument/2006/relationships/hyperlink" Target="https://fbref.com/en/squads/54195385/2022-2023/Troyes-Stats" TargetMode="External"/><Relationship Id="rId338" Type="http://schemas.openxmlformats.org/officeDocument/2006/relationships/hyperlink" Target="https://fbref.com/en/players/beae3a73/Renaud-Ripart" TargetMode="External"/><Relationship Id="rId459" Type="http://schemas.openxmlformats.org/officeDocument/2006/relationships/hyperlink" Target="https://fbref.com/en/players/60d90c55/Brice-Samba" TargetMode="External"/><Relationship Id="rId216" Type="http://schemas.openxmlformats.org/officeDocument/2006/relationships/hyperlink" Target="https://fbref.com/en/players/1e7aea56/Benjamin-Leroy" TargetMode="External"/><Relationship Id="rId337" Type="http://schemas.openxmlformats.org/officeDocument/2006/relationships/hyperlink" Target="https://fbref.com/en/squads/1cbf5f9e/2020-2021/Nimes-Stats" TargetMode="External"/><Relationship Id="rId458" Type="http://schemas.openxmlformats.org/officeDocument/2006/relationships/hyperlink" Target="https://fbref.com/en/players/06f33dc8/Enzo-Crivelli" TargetMode="External"/><Relationship Id="rId579" Type="http://schemas.openxmlformats.org/officeDocument/2006/relationships/hyperlink" Target="https://fbref.com/en/players/b41e280e/Guy-Ndy-Assembe" TargetMode="External"/><Relationship Id="rId215" Type="http://schemas.openxmlformats.org/officeDocument/2006/relationships/hyperlink" Target="https://fbref.com/en/players/1a248246/Youcef-Belaili" TargetMode="External"/><Relationship Id="rId336" Type="http://schemas.openxmlformats.org/officeDocument/2006/relationships/hyperlink" Target="https://fbref.com/en/players/4e7db402/Alban-Lafont" TargetMode="External"/><Relationship Id="rId457" Type="http://schemas.openxmlformats.org/officeDocument/2006/relationships/hyperlink" Target="https://fbref.com/en/squads/74229020/2018-2019/Caen-Stats" TargetMode="External"/><Relationship Id="rId578" Type="http://schemas.openxmlformats.org/officeDocument/2006/relationships/hyperlink" Target="https://fbref.com/en/players/32d787c2/Issiar-Dia" TargetMode="External"/><Relationship Id="rId214" Type="http://schemas.openxmlformats.org/officeDocument/2006/relationships/hyperlink" Target="https://fbref.com/en/squads/7a54bb4f/2022-2023/Ajaccio-Stats" TargetMode="External"/><Relationship Id="rId335" Type="http://schemas.openxmlformats.org/officeDocument/2006/relationships/hyperlink" Target="https://fbref.com/en/players/6191093d/Ludovic-Blas" TargetMode="External"/><Relationship Id="rId456" Type="http://schemas.openxmlformats.org/officeDocument/2006/relationships/hyperlink" Target="https://fbref.com/en/players/8fa8f8d2/Runar-Alex-Runarsson" TargetMode="External"/><Relationship Id="rId577" Type="http://schemas.openxmlformats.org/officeDocument/2006/relationships/hyperlink" Target="https://fbref.com/en/squads/e88fc6e5/2016-2017/Nancy-Stats" TargetMode="External"/><Relationship Id="rId219" Type="http://schemas.openxmlformats.org/officeDocument/2006/relationships/hyperlink" Target="https://fbref.com/en/players/db3164e1/Gauthier-Gallon" TargetMode="External"/><Relationship Id="rId218" Type="http://schemas.openxmlformats.org/officeDocument/2006/relationships/hyperlink" Target="https://fbref.com/en/players/fb14aa28/Mama-Samba-Balde" TargetMode="External"/><Relationship Id="rId339" Type="http://schemas.openxmlformats.org/officeDocument/2006/relationships/hyperlink" Target="https://fbref.com/en/players/bcf1b2e9/Baptiste-Reynet" TargetMode="External"/><Relationship Id="rId330" Type="http://schemas.openxmlformats.org/officeDocument/2006/relationships/hyperlink" Target="https://fbref.com/en/players/2d70dbe5/Paul-Nardi" TargetMode="External"/><Relationship Id="rId451" Type="http://schemas.openxmlformats.org/officeDocument/2006/relationships/hyperlink" Target="https://fbref.com/en/squads/fd6114db/2018-2019/Monaco-Stats" TargetMode="External"/><Relationship Id="rId572" Type="http://schemas.openxmlformats.org/officeDocument/2006/relationships/hyperlink" Target="https://fbref.com/en/players/086d7db3/Ivan-Santini" TargetMode="External"/><Relationship Id="rId450" Type="http://schemas.openxmlformats.org/officeDocument/2006/relationships/hyperlink" Target="https://fbref.com/en/players/bcf1b2e9/Baptiste-Reynet" TargetMode="External"/><Relationship Id="rId571" Type="http://schemas.openxmlformats.org/officeDocument/2006/relationships/hyperlink" Target="https://fbref.com/en/squads/74229020/2016-2017/Caen-Stats" TargetMode="External"/><Relationship Id="rId570" Type="http://schemas.openxmlformats.org/officeDocument/2006/relationships/hyperlink" Target="https://fbref.com/en/players/bcf1b2e9/Baptiste-Reynet" TargetMode="External"/><Relationship Id="rId213" Type="http://schemas.openxmlformats.org/officeDocument/2006/relationships/hyperlink" Target="https://fbref.com/en/players/2434f24a/Benoit-Costil" TargetMode="External"/><Relationship Id="rId334" Type="http://schemas.openxmlformats.org/officeDocument/2006/relationships/hyperlink" Target="https://fbref.com/en/squads/d7a486cd/2020-2021/Nantes-Stats" TargetMode="External"/><Relationship Id="rId455" Type="http://schemas.openxmlformats.org/officeDocument/2006/relationships/hyperlink" Target="https://fbref.com/en/players/d520120b/Julio-Tavares" TargetMode="External"/><Relationship Id="rId576" Type="http://schemas.openxmlformats.org/officeDocument/2006/relationships/hyperlink" Target="https://fbref.com/en/players/2fa2a875/Benjamin-Lecomte" TargetMode="External"/><Relationship Id="rId212" Type="http://schemas.openxmlformats.org/officeDocument/2006/relationships/hyperlink" Target="https://fbref.com/en/players/2054d037/MBaye-Niang" TargetMode="External"/><Relationship Id="rId333" Type="http://schemas.openxmlformats.org/officeDocument/2006/relationships/hyperlink" Target="https://fbref.com/en/players/b49729cb/Gautier-Larsonneur" TargetMode="External"/><Relationship Id="rId454" Type="http://schemas.openxmlformats.org/officeDocument/2006/relationships/hyperlink" Target="https://fbref.com/en/squads/8dfb7350/2018-2019/Dijon-Stats" TargetMode="External"/><Relationship Id="rId575" Type="http://schemas.openxmlformats.org/officeDocument/2006/relationships/hyperlink" Target="https://fbref.com/en/players/e0312377/Benjamin-Moukandjo" TargetMode="External"/><Relationship Id="rId211" Type="http://schemas.openxmlformats.org/officeDocument/2006/relationships/hyperlink" Target="https://fbref.com/en/squads/5ae09109/2022-2023/Auxerre-Stats" TargetMode="External"/><Relationship Id="rId332" Type="http://schemas.openxmlformats.org/officeDocument/2006/relationships/hyperlink" Target="https://fbref.com/en/players/19ba6c6d/Steve-Mounie" TargetMode="External"/><Relationship Id="rId453" Type="http://schemas.openxmlformats.org/officeDocument/2006/relationships/hyperlink" Target="https://fbref.com/en/players/b7e7937d/Diego-Benaglio" TargetMode="External"/><Relationship Id="rId574" Type="http://schemas.openxmlformats.org/officeDocument/2006/relationships/hyperlink" Target="https://fbref.com/en/squads/d2c87802/2016-2017/Lorient-Stats" TargetMode="External"/><Relationship Id="rId210" Type="http://schemas.openxmlformats.org/officeDocument/2006/relationships/hyperlink" Target="https://fbref.com/en/players/4e7db402/Alban-Lafont" TargetMode="External"/><Relationship Id="rId331" Type="http://schemas.openxmlformats.org/officeDocument/2006/relationships/hyperlink" Target="https://fbref.com/en/squads/fb08dbb3/2020-2021/Brest-Stats" TargetMode="External"/><Relationship Id="rId452" Type="http://schemas.openxmlformats.org/officeDocument/2006/relationships/hyperlink" Target="https://fbref.com/en/players/66116290/Radamel-Falcao" TargetMode="External"/><Relationship Id="rId573" Type="http://schemas.openxmlformats.org/officeDocument/2006/relationships/hyperlink" Target="https://fbref.com/en/players/1d0900d4/Remy-Vercoutre" TargetMode="External"/><Relationship Id="rId370" Type="http://schemas.openxmlformats.org/officeDocument/2006/relationships/hyperlink" Target="https://fbref.com/en/squads/c0d3eab4/2019-2020/Strasbourg-Stats" TargetMode="External"/><Relationship Id="rId491" Type="http://schemas.openxmlformats.org/officeDocument/2006/relationships/hyperlink" Target="https://fbref.com/en/players/0fe7f7bc/Giovanni-Sio" TargetMode="External"/><Relationship Id="rId490" Type="http://schemas.openxmlformats.org/officeDocument/2006/relationships/hyperlink" Target="https://fbref.com/en/squads/281b0e73/2017-2018/Montpellier-Stats" TargetMode="External"/><Relationship Id="rId129" Type="http://schemas.openxmlformats.org/officeDocument/2006/relationships/hyperlink" Target="https://fbref.com/en/players/60d90c55/Brice-Samba" TargetMode="External"/><Relationship Id="rId128" Type="http://schemas.openxmlformats.org/officeDocument/2006/relationships/hyperlink" Target="https://fbref.com/en/players/0d7b6576/Elye-Wahi" TargetMode="External"/><Relationship Id="rId249" Type="http://schemas.openxmlformats.org/officeDocument/2006/relationships/hyperlink" Target="https://fbref.com/en/players/4e7db402/Alban-Lafont" TargetMode="External"/><Relationship Id="rId127" Type="http://schemas.openxmlformats.org/officeDocument/2006/relationships/hyperlink" Target="https://fbref.com/en/squads/fd4e0f7d/2023-2024/Lens-Stats" TargetMode="External"/><Relationship Id="rId248" Type="http://schemas.openxmlformats.org/officeDocument/2006/relationships/hyperlink" Target="https://fbref.com/en/players/c0b3669f/Randal-Kolo-Muani" TargetMode="External"/><Relationship Id="rId369" Type="http://schemas.openxmlformats.org/officeDocument/2006/relationships/hyperlink" Target="https://fbref.com/en/players/2fa2a875/Benjamin-Lecomte" TargetMode="External"/><Relationship Id="rId126" Type="http://schemas.openxmlformats.org/officeDocument/2006/relationships/hyperlink" Target="https://fbref.com/en/players/f00de885/Anthony-Lopes" TargetMode="External"/><Relationship Id="rId247" Type="http://schemas.openxmlformats.org/officeDocument/2006/relationships/hyperlink" Target="https://fbref.com/en/squads/d7a486cd/2021-2022/Nantes-Stats" TargetMode="External"/><Relationship Id="rId368" Type="http://schemas.openxmlformats.org/officeDocument/2006/relationships/hyperlink" Target="https://fbref.com/en/players/942b4f90/Wissam-Ben-Yedder" TargetMode="External"/><Relationship Id="rId489" Type="http://schemas.openxmlformats.org/officeDocument/2006/relationships/hyperlink" Target="https://fbref.com/en/players/b056e3da/Ciprian-Tatarusanu" TargetMode="External"/><Relationship Id="rId121" Type="http://schemas.openxmlformats.org/officeDocument/2006/relationships/hyperlink" Target="https://fbref.com/en/squads/132ebc33/2023-2024/Nice-Stats" TargetMode="External"/><Relationship Id="rId242" Type="http://schemas.openxmlformats.org/officeDocument/2006/relationships/hyperlink" Target="https://fbref.com/en/players/bf4c41f9/Arnaud-Kalimuendo" TargetMode="External"/><Relationship Id="rId363" Type="http://schemas.openxmlformats.org/officeDocument/2006/relationships/hyperlink" Target="https://fbref.com/en/players/f00de885/Anthony-Lopes" TargetMode="External"/><Relationship Id="rId484" Type="http://schemas.openxmlformats.org/officeDocument/2006/relationships/hyperlink" Target="https://fbref.com/en/squads/132ebc33/2017-2018/Nice-Stats" TargetMode="External"/><Relationship Id="rId120" Type="http://schemas.openxmlformats.org/officeDocument/2006/relationships/hyperlink" Target="https://fbref.com/en/players/b3d76d84/Lucas-Chevalier" TargetMode="External"/><Relationship Id="rId241" Type="http://schemas.openxmlformats.org/officeDocument/2006/relationships/hyperlink" Target="https://fbref.com/en/squads/fd4e0f7d/2021-2022/Lens-Stats" TargetMode="External"/><Relationship Id="rId362" Type="http://schemas.openxmlformats.org/officeDocument/2006/relationships/hyperlink" Target="https://fbref.com/en/players/e7986081/Moussa-Dembele" TargetMode="External"/><Relationship Id="rId483" Type="http://schemas.openxmlformats.org/officeDocument/2006/relationships/hyperlink" Target="https://fbref.com/en/players/cac76a72/Stephane-Ruffier" TargetMode="External"/><Relationship Id="rId240" Type="http://schemas.openxmlformats.org/officeDocument/2006/relationships/hyperlink" Target="https://fbref.com/en/players/834b5c4c/Matz-Sels" TargetMode="External"/><Relationship Id="rId361" Type="http://schemas.openxmlformats.org/officeDocument/2006/relationships/hyperlink" Target="https://fbref.com/en/squads/d53c0b06/2019-2020/Lyon-Stats" TargetMode="External"/><Relationship Id="rId482" Type="http://schemas.openxmlformats.org/officeDocument/2006/relationships/hyperlink" Target="https://fbref.com/en/players/b2bd0f6c/Jonathan-Bamba" TargetMode="External"/><Relationship Id="rId360" Type="http://schemas.openxmlformats.org/officeDocument/2006/relationships/hyperlink" Target="https://fbref.com/en/players/58ad9383/Predrag-Rajkovic" TargetMode="External"/><Relationship Id="rId481" Type="http://schemas.openxmlformats.org/officeDocument/2006/relationships/hyperlink" Target="https://fbref.com/en/squads/d298ef2c/2017-2018/Saint-Etienne-Stats" TargetMode="External"/><Relationship Id="rId125" Type="http://schemas.openxmlformats.org/officeDocument/2006/relationships/hyperlink" Target="https://fbref.com/en/players/9dbb75ca/Alexandre-Lacazette" TargetMode="External"/><Relationship Id="rId246" Type="http://schemas.openxmlformats.org/officeDocument/2006/relationships/hyperlink" Target="https://fbref.com/en/players/f00de885/Anthony-Lopes" TargetMode="External"/><Relationship Id="rId367" Type="http://schemas.openxmlformats.org/officeDocument/2006/relationships/hyperlink" Target="https://fbref.com/en/squads/fd6114db/2019-2020/Monaco-Stats" TargetMode="External"/><Relationship Id="rId488" Type="http://schemas.openxmlformats.org/officeDocument/2006/relationships/hyperlink" Target="https://fbref.com/en/players/5d59e0df/Emiliano-Sala" TargetMode="External"/><Relationship Id="rId124" Type="http://schemas.openxmlformats.org/officeDocument/2006/relationships/hyperlink" Target="https://fbref.com/en/squads/d53c0b06/2023-2024/Lyon-Stats" TargetMode="External"/><Relationship Id="rId245" Type="http://schemas.openxmlformats.org/officeDocument/2006/relationships/hyperlink" Target="https://fbref.com/en/players/e7986081/Moussa-Dembele" TargetMode="External"/><Relationship Id="rId366" Type="http://schemas.openxmlformats.org/officeDocument/2006/relationships/hyperlink" Target="https://fbref.com/en/players/625c144a/Geronimo-Rulli" TargetMode="External"/><Relationship Id="rId487" Type="http://schemas.openxmlformats.org/officeDocument/2006/relationships/hyperlink" Target="https://fbref.com/en/squads/d7a486cd/2017-2018/Nantes-Stats" TargetMode="External"/><Relationship Id="rId123" Type="http://schemas.openxmlformats.org/officeDocument/2006/relationships/hyperlink" Target="https://fbref.com/en/players/db87a2c4/Marcin-Bulka" TargetMode="External"/><Relationship Id="rId244" Type="http://schemas.openxmlformats.org/officeDocument/2006/relationships/hyperlink" Target="https://fbref.com/en/squads/d53c0b06/2021-2022/Lyon-Stats" TargetMode="External"/><Relationship Id="rId365" Type="http://schemas.openxmlformats.org/officeDocument/2006/relationships/hyperlink" Target="https://fbref.com/en/players/d33c706e/Andy-Delort" TargetMode="External"/><Relationship Id="rId486" Type="http://schemas.openxmlformats.org/officeDocument/2006/relationships/hyperlink" Target="https://fbref.com/en/players/8a2248b4/Walter-Benitez" TargetMode="External"/><Relationship Id="rId122" Type="http://schemas.openxmlformats.org/officeDocument/2006/relationships/hyperlink" Target="https://fbref.com/en/players/065dc209/Terem-Moffi" TargetMode="External"/><Relationship Id="rId243" Type="http://schemas.openxmlformats.org/officeDocument/2006/relationships/hyperlink" Target="https://fbref.com/en/players/edbe46dc/Jean-Louis-Leca" TargetMode="External"/><Relationship Id="rId364" Type="http://schemas.openxmlformats.org/officeDocument/2006/relationships/hyperlink" Target="https://fbref.com/en/squads/281b0e73/2019-2020/Montpellier-Stats" TargetMode="External"/><Relationship Id="rId485" Type="http://schemas.openxmlformats.org/officeDocument/2006/relationships/hyperlink" Target="https://fbref.com/en/players/8ff07990/Mario-Balotelli" TargetMode="External"/><Relationship Id="rId95" Type="http://schemas.openxmlformats.org/officeDocument/2006/relationships/hyperlink" Target="https://fbref.com/en/players/595e6f3e/Mostafa-Mohamed" TargetMode="External"/><Relationship Id="rId94" Type="http://schemas.openxmlformats.org/officeDocument/2006/relationships/hyperlink" Target="https://fbref.com/en/squads/d7a486cd/2023-2024/Nantes-Stats" TargetMode="External"/><Relationship Id="rId97" Type="http://schemas.openxmlformats.org/officeDocument/2006/relationships/hyperlink" Target="https://fbref.com/en/squads/5c2737db/2023-2024/Le-Havre-Stats" TargetMode="External"/><Relationship Id="rId96" Type="http://schemas.openxmlformats.org/officeDocument/2006/relationships/hyperlink" Target="https://fbref.com/en/players/4e7db402/Alban-Lafont" TargetMode="External"/><Relationship Id="rId99" Type="http://schemas.openxmlformats.org/officeDocument/2006/relationships/hyperlink" Target="https://fbref.com/en/players/e8c5dd4d/Arthur-Desmas" TargetMode="External"/><Relationship Id="rId480" Type="http://schemas.openxmlformats.org/officeDocument/2006/relationships/hyperlink" Target="https://fbref.com/en/players/2434f24a/Benoit-Costil" TargetMode="External"/><Relationship Id="rId98" Type="http://schemas.openxmlformats.org/officeDocument/2006/relationships/hyperlink" Target="https://fbref.com/en/players/5dbefa9d/Andre-Ayew" TargetMode="External"/><Relationship Id="rId91" Type="http://schemas.openxmlformats.org/officeDocument/2006/relationships/hyperlink" Target="https://fbref.com/en/squads/c0d3eab4/2023-2024/Strasbourg-Stats" TargetMode="External"/><Relationship Id="rId90" Type="http://schemas.openxmlformats.org/officeDocument/2006/relationships/hyperlink" Target="https://fbref.com/en/players/2fa2a875/Benjamin-Lecomte" TargetMode="External"/><Relationship Id="rId93" Type="http://schemas.openxmlformats.org/officeDocument/2006/relationships/hyperlink" Target="https://fbref.com/en/players/834b5c4c/Matz-Sels" TargetMode="External"/><Relationship Id="rId92" Type="http://schemas.openxmlformats.org/officeDocument/2006/relationships/hyperlink" Target="https://fbref.com/en/players/a0c590b9/Emanuel-Emegha" TargetMode="External"/><Relationship Id="rId118" Type="http://schemas.openxmlformats.org/officeDocument/2006/relationships/hyperlink" Target="https://fbref.com/en/squads/cb188c0c/2023-2024/Lille-Stats" TargetMode="External"/><Relationship Id="rId239" Type="http://schemas.openxmlformats.org/officeDocument/2006/relationships/hyperlink" Target="https://fbref.com/en/players/462475ed/Ludovic-Ajorque" TargetMode="External"/><Relationship Id="rId117" Type="http://schemas.openxmlformats.org/officeDocument/2006/relationships/hyperlink" Target="https://fbref.com/en/players/3d214e5f/Marco-Bizot" TargetMode="External"/><Relationship Id="rId238" Type="http://schemas.openxmlformats.org/officeDocument/2006/relationships/hyperlink" Target="https://fbref.com/en/squads/c0d3eab4/2021-2022/Strasbourg-Stats" TargetMode="External"/><Relationship Id="rId359" Type="http://schemas.openxmlformats.org/officeDocument/2006/relationships/hyperlink" Target="https://fbref.com/en/players/244bc2c8/Boulaye-Dia" TargetMode="External"/><Relationship Id="rId116" Type="http://schemas.openxmlformats.org/officeDocument/2006/relationships/hyperlink" Target="https://fbref.com/en/players/0be95d34/Romain-Del-Castillo" TargetMode="External"/><Relationship Id="rId237" Type="http://schemas.openxmlformats.org/officeDocument/2006/relationships/hyperlink" Target="https://fbref.com/en/players/8a2248b4/Walter-Benitez" TargetMode="External"/><Relationship Id="rId358" Type="http://schemas.openxmlformats.org/officeDocument/2006/relationships/hyperlink" Target="https://fbref.com/en/squads/7fdd64e0/2019-2020/Reims-Stats" TargetMode="External"/><Relationship Id="rId479" Type="http://schemas.openxmlformats.org/officeDocument/2006/relationships/hyperlink" Target="https://fbref.com/en/players/6853490f/Malcom" TargetMode="External"/><Relationship Id="rId115" Type="http://schemas.openxmlformats.org/officeDocument/2006/relationships/hyperlink" Target="https://fbref.com/en/squads/fb08dbb3/2023-2024/Brest-Stats" TargetMode="External"/><Relationship Id="rId236" Type="http://schemas.openxmlformats.org/officeDocument/2006/relationships/hyperlink" Target="https://fbref.com/en/players/d33c706e/Andy-Delort" TargetMode="External"/><Relationship Id="rId357" Type="http://schemas.openxmlformats.org/officeDocument/2006/relationships/hyperlink" Target="https://fbref.com/en/players/8a2248b4/Walter-Benitez" TargetMode="External"/><Relationship Id="rId478" Type="http://schemas.openxmlformats.org/officeDocument/2006/relationships/hyperlink" Target="https://fbref.com/en/squads/123f3efe/2017-2018/Bordeaux-Stats" TargetMode="External"/><Relationship Id="rId599" Type="http://schemas.openxmlformats.org/officeDocument/2006/relationships/hyperlink" Target="https://fbref.com/en/players/3071a619/Nolan-Roux" TargetMode="External"/><Relationship Id="rId119" Type="http://schemas.openxmlformats.org/officeDocument/2006/relationships/hyperlink" Target="https://fbref.com/en/players/ce50fd99/Jonathan-David" TargetMode="External"/><Relationship Id="rId110" Type="http://schemas.openxmlformats.org/officeDocument/2006/relationships/hyperlink" Target="https://fbref.com/en/players/42fd9c7f/Kylian-Mbappe" TargetMode="External"/><Relationship Id="rId231" Type="http://schemas.openxmlformats.org/officeDocument/2006/relationships/hyperlink" Target="https://fbref.com/en/players/afb0c500/Alexander-Nubel" TargetMode="External"/><Relationship Id="rId352" Type="http://schemas.openxmlformats.org/officeDocument/2006/relationships/hyperlink" Target="https://fbref.com/en/squads/cb188c0c/2019-2020/Lille-Stats" TargetMode="External"/><Relationship Id="rId473" Type="http://schemas.openxmlformats.org/officeDocument/2006/relationships/hyperlink" Target="https://fbref.com/en/players/2b9fdeea/Florian-Thauvin" TargetMode="External"/><Relationship Id="rId594" Type="http://schemas.openxmlformats.org/officeDocument/2006/relationships/hyperlink" Target="https://fbref.com/en/players/950ff24d/Yoan-Cardinale" TargetMode="External"/><Relationship Id="rId230" Type="http://schemas.openxmlformats.org/officeDocument/2006/relationships/hyperlink" Target="https://fbref.com/en/players/942b4f90/Wissam-Ben-Yedder" TargetMode="External"/><Relationship Id="rId351" Type="http://schemas.openxmlformats.org/officeDocument/2006/relationships/hyperlink" Target="https://fbref.com/en/players/33887998/Edouard-Mendy" TargetMode="External"/><Relationship Id="rId472" Type="http://schemas.openxmlformats.org/officeDocument/2006/relationships/hyperlink" Target="https://fbref.com/en/squads/5725cc7b/2017-2018/Marseille-Stats" TargetMode="External"/><Relationship Id="rId593" Type="http://schemas.openxmlformats.org/officeDocument/2006/relationships/hyperlink" Target="https://fbref.com/en/players/74dc806c/Hatem-Ben-Arfa" TargetMode="External"/><Relationship Id="rId350" Type="http://schemas.openxmlformats.org/officeDocument/2006/relationships/hyperlink" Target="https://fbref.com/en/players/2054d037/MBaye-Niang" TargetMode="External"/><Relationship Id="rId471" Type="http://schemas.openxmlformats.org/officeDocument/2006/relationships/hyperlink" Target="https://fbref.com/en/players/f00de885/Anthony-Lopes" TargetMode="External"/><Relationship Id="rId592" Type="http://schemas.openxmlformats.org/officeDocument/2006/relationships/hyperlink" Target="https://fbref.com/en/squads/132ebc33/2015-2016/Nice-Stats" TargetMode="External"/><Relationship Id="rId470" Type="http://schemas.openxmlformats.org/officeDocument/2006/relationships/hyperlink" Target="https://fbref.com/en/players/8f696594/Memphis" TargetMode="External"/><Relationship Id="rId591" Type="http://schemas.openxmlformats.org/officeDocument/2006/relationships/hyperlink" Target="https://fbref.com/en/players/f6db3bd5/Danijel-Subasic" TargetMode="External"/><Relationship Id="rId114" Type="http://schemas.openxmlformats.org/officeDocument/2006/relationships/hyperlink" Target="https://fbref.com/en/players/ff74841d/Philipp-Kohn" TargetMode="External"/><Relationship Id="rId235" Type="http://schemas.openxmlformats.org/officeDocument/2006/relationships/hyperlink" Target="https://fbref.com/en/squads/132ebc33/2021-2022/Nice-Stats" TargetMode="External"/><Relationship Id="rId356" Type="http://schemas.openxmlformats.org/officeDocument/2006/relationships/hyperlink" Target="https://fbref.com/en/players/cc83b74d/Kasper-Dolberg" TargetMode="External"/><Relationship Id="rId477" Type="http://schemas.openxmlformats.org/officeDocument/2006/relationships/hyperlink" Target="https://fbref.com/en/players/dc366c36/Tomas-Koubek" TargetMode="External"/><Relationship Id="rId598" Type="http://schemas.openxmlformats.org/officeDocument/2006/relationships/hyperlink" Target="https://fbref.com/en/squads/d298ef2c/2015-2016/Saint-Etienne-Stats" TargetMode="External"/><Relationship Id="rId113" Type="http://schemas.openxmlformats.org/officeDocument/2006/relationships/hyperlink" Target="https://fbref.com/en/players/942b4f90/Wissam-Ben-Yedder" TargetMode="External"/><Relationship Id="rId234" Type="http://schemas.openxmlformats.org/officeDocument/2006/relationships/hyperlink" Target="https://fbref.com/en/players/cecbce23/Alfred-Gomis" TargetMode="External"/><Relationship Id="rId355" Type="http://schemas.openxmlformats.org/officeDocument/2006/relationships/hyperlink" Target="https://fbref.com/en/squads/132ebc33/2019-2020/Nice-Stats" TargetMode="External"/><Relationship Id="rId476" Type="http://schemas.openxmlformats.org/officeDocument/2006/relationships/hyperlink" Target="https://fbref.com/en/players/20e73fac/Benjamin-Bourigeaud" TargetMode="External"/><Relationship Id="rId597" Type="http://schemas.openxmlformats.org/officeDocument/2006/relationships/hyperlink" Target="https://fbref.com/en/players/62156b6a/Vincent-Enyeama" TargetMode="External"/><Relationship Id="rId112" Type="http://schemas.openxmlformats.org/officeDocument/2006/relationships/hyperlink" Target="https://fbref.com/en/squads/fd6114db/2023-2024/Monaco-Stats" TargetMode="External"/><Relationship Id="rId233" Type="http://schemas.openxmlformats.org/officeDocument/2006/relationships/hyperlink" Target="https://fbref.com/en/players/5148dcc5/Martin-Terrier" TargetMode="External"/><Relationship Id="rId354" Type="http://schemas.openxmlformats.org/officeDocument/2006/relationships/hyperlink" Target="https://fbref.com/en/players/fcb38f57/Mike-Maignan" TargetMode="External"/><Relationship Id="rId475" Type="http://schemas.openxmlformats.org/officeDocument/2006/relationships/hyperlink" Target="https://fbref.com/en/squads/b3072e00/2017-2018/Rennes-Stats" TargetMode="External"/><Relationship Id="rId596" Type="http://schemas.openxmlformats.org/officeDocument/2006/relationships/hyperlink" Target="https://fbref.com/en/players/b0c71810/Sofiane-Boufal" TargetMode="External"/><Relationship Id="rId111" Type="http://schemas.openxmlformats.org/officeDocument/2006/relationships/hyperlink" Target="https://fbref.com/en/players/08f5afaa/Gianluigi-Donnarumma" TargetMode="External"/><Relationship Id="rId232" Type="http://schemas.openxmlformats.org/officeDocument/2006/relationships/hyperlink" Target="https://fbref.com/en/squads/b3072e00/2021-2022/Rennes-Stats" TargetMode="External"/><Relationship Id="rId353" Type="http://schemas.openxmlformats.org/officeDocument/2006/relationships/hyperlink" Target="https://fbref.com/en/players/8c90fd7a/Victor-Osimhen" TargetMode="External"/><Relationship Id="rId474" Type="http://schemas.openxmlformats.org/officeDocument/2006/relationships/hyperlink" Target="https://fbref.com/en/players/1d2d5cc8/Steve-Mandanda" TargetMode="External"/><Relationship Id="rId595" Type="http://schemas.openxmlformats.org/officeDocument/2006/relationships/hyperlink" Target="https://fbref.com/en/squads/cb188c0c/2015-2016/Lille-Stats" TargetMode="External"/><Relationship Id="rId305" Type="http://schemas.openxmlformats.org/officeDocument/2006/relationships/hyperlink" Target="https://fbref.com/en/players/7cdda3bf/Gaetan-Laborde" TargetMode="External"/><Relationship Id="rId426" Type="http://schemas.openxmlformats.org/officeDocument/2006/relationships/hyperlink" Target="https://fbref.com/en/players/33887998/Edouard-Mendy" TargetMode="External"/><Relationship Id="rId547" Type="http://schemas.openxmlformats.org/officeDocument/2006/relationships/hyperlink" Target="https://fbref.com/en/squads/b3072e00/2016-2017/Rennes-Stats" TargetMode="External"/><Relationship Id="rId304" Type="http://schemas.openxmlformats.org/officeDocument/2006/relationships/hyperlink" Target="https://fbref.com/en/squads/281b0e73/2020-2021/Montpellier-Stats" TargetMode="External"/><Relationship Id="rId425" Type="http://schemas.openxmlformats.org/officeDocument/2006/relationships/hyperlink" Target="https://fbref.com/en/players/ea02beaf/Remi-Oudin" TargetMode="External"/><Relationship Id="rId546" Type="http://schemas.openxmlformats.org/officeDocument/2006/relationships/hyperlink" Target="https://fbref.com/en/players/cac76a72/Stephane-Ruffier" TargetMode="External"/><Relationship Id="rId303" Type="http://schemas.openxmlformats.org/officeDocument/2006/relationships/hyperlink" Target="https://fbref.com/en/players/edbe46dc/Jean-Louis-Leca" TargetMode="External"/><Relationship Id="rId424" Type="http://schemas.openxmlformats.org/officeDocument/2006/relationships/hyperlink" Target="https://fbref.com/en/squads/7fdd64e0/2018-2019/Reims-Stats" TargetMode="External"/><Relationship Id="rId545" Type="http://schemas.openxmlformats.org/officeDocument/2006/relationships/hyperlink" Target="https://fbref.com/en/players/0b4d8274/Romain-Hamouma" TargetMode="External"/><Relationship Id="rId302" Type="http://schemas.openxmlformats.org/officeDocument/2006/relationships/hyperlink" Target="https://fbref.com/en/players/5b1bf5e3/Gael-Kakuta" TargetMode="External"/><Relationship Id="rId423" Type="http://schemas.openxmlformats.org/officeDocument/2006/relationships/hyperlink" Target="https://fbref.com/en/players/8a2248b4/Walter-Benitez" TargetMode="External"/><Relationship Id="rId544" Type="http://schemas.openxmlformats.org/officeDocument/2006/relationships/hyperlink" Target="https://fbref.com/en/squads/d298ef2c/2016-2017/Saint-Etienne-Stats" TargetMode="External"/><Relationship Id="rId309" Type="http://schemas.openxmlformats.org/officeDocument/2006/relationships/hyperlink" Target="https://fbref.com/en/players/8a2248b4/Walter-Benitez" TargetMode="External"/><Relationship Id="rId308" Type="http://schemas.openxmlformats.org/officeDocument/2006/relationships/hyperlink" Target="https://fbref.com/en/players/aad56ca3/Amine-Gouiri" TargetMode="External"/><Relationship Id="rId429" Type="http://schemas.openxmlformats.org/officeDocument/2006/relationships/hyperlink" Target="https://fbref.com/en/players/28dabd43/Paul-Bernardoni" TargetMode="External"/><Relationship Id="rId307" Type="http://schemas.openxmlformats.org/officeDocument/2006/relationships/hyperlink" Target="https://fbref.com/en/squads/132ebc33/2020-2021/Nice-Stats" TargetMode="External"/><Relationship Id="rId428" Type="http://schemas.openxmlformats.org/officeDocument/2006/relationships/hyperlink" Target="https://fbref.com/en/players/0b0cbe5b/Denis-Bouanga" TargetMode="External"/><Relationship Id="rId549" Type="http://schemas.openxmlformats.org/officeDocument/2006/relationships/hyperlink" Target="https://fbref.com/en/players/2434f24a/Benoit-Costil" TargetMode="External"/><Relationship Id="rId306" Type="http://schemas.openxmlformats.org/officeDocument/2006/relationships/hyperlink" Target="https://fbref.com/en/players/c631f952/Jonas-Omlin" TargetMode="External"/><Relationship Id="rId427" Type="http://schemas.openxmlformats.org/officeDocument/2006/relationships/hyperlink" Target="https://fbref.com/en/squads/1cbf5f9e/2018-2019/Nimes-Stats" TargetMode="External"/><Relationship Id="rId548" Type="http://schemas.openxmlformats.org/officeDocument/2006/relationships/hyperlink" Target="https://fbref.com/en/players/0fe7f7bc/Giovanni-Sio" TargetMode="External"/><Relationship Id="rId301" Type="http://schemas.openxmlformats.org/officeDocument/2006/relationships/hyperlink" Target="https://fbref.com/en/squads/fd4e0f7d/2020-2021/Lens-Stats" TargetMode="External"/><Relationship Id="rId422" Type="http://schemas.openxmlformats.org/officeDocument/2006/relationships/hyperlink" Target="https://fbref.com/en/players/2b16cb1a/Allan-Saint-Maximin" TargetMode="External"/><Relationship Id="rId543" Type="http://schemas.openxmlformats.org/officeDocument/2006/relationships/hyperlink" Target="https://fbref.com/en/players/7f41ee30/Remy-Riou" TargetMode="External"/><Relationship Id="rId300" Type="http://schemas.openxmlformats.org/officeDocument/2006/relationships/hyperlink" Target="https://fbref.com/en/players/cecbce23/Alfred-Gomis" TargetMode="External"/><Relationship Id="rId421" Type="http://schemas.openxmlformats.org/officeDocument/2006/relationships/hyperlink" Target="https://fbref.com/en/squads/132ebc33/2018-2019/Nice-Stats" TargetMode="External"/><Relationship Id="rId542" Type="http://schemas.openxmlformats.org/officeDocument/2006/relationships/hyperlink" Target="https://fbref.com/en/players/5d59e0df/Emiliano-Sala" TargetMode="External"/><Relationship Id="rId420" Type="http://schemas.openxmlformats.org/officeDocument/2006/relationships/hyperlink" Target="https://fbref.com/en/players/2fa2a875/Benjamin-Lecomte" TargetMode="External"/><Relationship Id="rId541" Type="http://schemas.openxmlformats.org/officeDocument/2006/relationships/hyperlink" Target="https://fbref.com/en/squads/d7a486cd/2016-2017/Nantes-Stats" TargetMode="External"/><Relationship Id="rId540" Type="http://schemas.openxmlformats.org/officeDocument/2006/relationships/hyperlink" Target="https://fbref.com/en/players/17f5a888/Cedric-Carrasso" TargetMode="External"/><Relationship Id="rId415" Type="http://schemas.openxmlformats.org/officeDocument/2006/relationships/hyperlink" Target="https://fbref.com/en/squads/5725cc7b/2018-2019/Marseille-Stats" TargetMode="External"/><Relationship Id="rId536" Type="http://schemas.openxmlformats.org/officeDocument/2006/relationships/hyperlink" Target="https://fbref.com/en/players/3d6686f9/Bafetimbi-Gomis" TargetMode="External"/><Relationship Id="rId414" Type="http://schemas.openxmlformats.org/officeDocument/2006/relationships/hyperlink" Target="https://fbref.com/en/players/cac76a72/Stephane-Ruffier" TargetMode="External"/><Relationship Id="rId535" Type="http://schemas.openxmlformats.org/officeDocument/2006/relationships/hyperlink" Target="https://fbref.com/en/squads/5725cc7b/2016-2017/Marseille-Stats" TargetMode="External"/><Relationship Id="rId413" Type="http://schemas.openxmlformats.org/officeDocument/2006/relationships/hyperlink" Target="https://fbref.com/en/players/2677a1de/Wahbi-Khazri" TargetMode="External"/><Relationship Id="rId534" Type="http://schemas.openxmlformats.org/officeDocument/2006/relationships/hyperlink" Target="https://fbref.com/en/players/f00de885/Anthony-Lopes" TargetMode="External"/><Relationship Id="rId412" Type="http://schemas.openxmlformats.org/officeDocument/2006/relationships/hyperlink" Target="https://fbref.com/en/squads/d298ef2c/2018-2019/Saint-Etienne-Stats" TargetMode="External"/><Relationship Id="rId533" Type="http://schemas.openxmlformats.org/officeDocument/2006/relationships/hyperlink" Target="https://fbref.com/en/players/9dbb75ca/Alexandre-Lacazette" TargetMode="External"/><Relationship Id="rId419" Type="http://schemas.openxmlformats.org/officeDocument/2006/relationships/hyperlink" Target="https://fbref.com/en/players/d33c706e/Andy-Delort" TargetMode="External"/><Relationship Id="rId418" Type="http://schemas.openxmlformats.org/officeDocument/2006/relationships/hyperlink" Target="https://fbref.com/en/squads/281b0e73/2018-2019/Montpellier-Stats" TargetMode="External"/><Relationship Id="rId539" Type="http://schemas.openxmlformats.org/officeDocument/2006/relationships/hyperlink" Target="https://fbref.com/en/players/d1491e00/Diego-Rolan" TargetMode="External"/><Relationship Id="rId417" Type="http://schemas.openxmlformats.org/officeDocument/2006/relationships/hyperlink" Target="https://fbref.com/en/players/1d2d5cc8/Steve-Mandanda" TargetMode="External"/><Relationship Id="rId538" Type="http://schemas.openxmlformats.org/officeDocument/2006/relationships/hyperlink" Target="https://fbref.com/en/squads/123f3efe/2016-2017/Bordeaux-Stats" TargetMode="External"/><Relationship Id="rId416" Type="http://schemas.openxmlformats.org/officeDocument/2006/relationships/hyperlink" Target="https://fbref.com/en/players/2b9fdeea/Florian-Thauvin" TargetMode="External"/><Relationship Id="rId537" Type="http://schemas.openxmlformats.org/officeDocument/2006/relationships/hyperlink" Target="https://fbref.com/en/players/76806215/Yohann-Pele" TargetMode="External"/><Relationship Id="rId411" Type="http://schemas.openxmlformats.org/officeDocument/2006/relationships/hyperlink" Target="https://fbref.com/en/players/f00de885/Anthony-Lopes" TargetMode="External"/><Relationship Id="rId532" Type="http://schemas.openxmlformats.org/officeDocument/2006/relationships/hyperlink" Target="https://fbref.com/en/squads/d53c0b06/2016-2017/Lyon-Stats" TargetMode="External"/><Relationship Id="rId410" Type="http://schemas.openxmlformats.org/officeDocument/2006/relationships/hyperlink" Target="https://fbref.com/en/players/e7986081/Moussa-Dembele" TargetMode="External"/><Relationship Id="rId531" Type="http://schemas.openxmlformats.org/officeDocument/2006/relationships/hyperlink" Target="https://fbref.com/en/players/950ff24d/Yoan-Cardinale" TargetMode="External"/><Relationship Id="rId530" Type="http://schemas.openxmlformats.org/officeDocument/2006/relationships/hyperlink" Target="https://fbref.com/en/players/8ff07990/Mario-Balotelli" TargetMode="External"/><Relationship Id="rId206" Type="http://schemas.openxmlformats.org/officeDocument/2006/relationships/hyperlink" Target="https://fbref.com/en/players/6605d143/Habib-Diallo" TargetMode="External"/><Relationship Id="rId327" Type="http://schemas.openxmlformats.org/officeDocument/2006/relationships/hyperlink" Target="https://fbref.com/en/players/a4527d33/Eiji-Kawashima" TargetMode="External"/><Relationship Id="rId448" Type="http://schemas.openxmlformats.org/officeDocument/2006/relationships/hyperlink" Target="https://fbref.com/en/squads/3f8c4b5f/2018-2019/Toulouse-Stats" TargetMode="External"/><Relationship Id="rId569" Type="http://schemas.openxmlformats.org/officeDocument/2006/relationships/hyperlink" Target="https://fbref.com/en/players/4be0b467/Lois-Diony" TargetMode="External"/><Relationship Id="rId205" Type="http://schemas.openxmlformats.org/officeDocument/2006/relationships/hyperlink" Target="https://fbref.com/en/squads/c0d3eab4/2022-2023/Strasbourg-Stats" TargetMode="External"/><Relationship Id="rId326" Type="http://schemas.openxmlformats.org/officeDocument/2006/relationships/hyperlink" Target="https://fbref.com/en/players/462475ed/Ludovic-Ajorque" TargetMode="External"/><Relationship Id="rId447" Type="http://schemas.openxmlformats.org/officeDocument/2006/relationships/hyperlink" Target="https://fbref.com/en/players/bc270726/Regis-Gurtner" TargetMode="External"/><Relationship Id="rId568" Type="http://schemas.openxmlformats.org/officeDocument/2006/relationships/hyperlink" Target="https://fbref.com/en/squads/8dfb7350/2016-2017/Dijon-Stats" TargetMode="External"/><Relationship Id="rId204" Type="http://schemas.openxmlformats.org/officeDocument/2006/relationships/hyperlink" Target="https://fbref.com/en/players/3d214e5f/Marco-Bizot" TargetMode="External"/><Relationship Id="rId325" Type="http://schemas.openxmlformats.org/officeDocument/2006/relationships/hyperlink" Target="https://fbref.com/en/squads/c0d3eab4/2020-2021/Strasbourg-Stats" TargetMode="External"/><Relationship Id="rId446" Type="http://schemas.openxmlformats.org/officeDocument/2006/relationships/hyperlink" Target="https://fbref.com/en/players/fcbcbd94/Moussa-Konate" TargetMode="External"/><Relationship Id="rId567" Type="http://schemas.openxmlformats.org/officeDocument/2006/relationships/hyperlink" Target="https://fbref.com/en/players/05856228/Laurent-Pionnier" TargetMode="External"/><Relationship Id="rId203" Type="http://schemas.openxmlformats.org/officeDocument/2006/relationships/hyperlink" Target="https://fbref.com/en/players/88c4d190/Jeremy-Le-Douaron" TargetMode="External"/><Relationship Id="rId324" Type="http://schemas.openxmlformats.org/officeDocument/2006/relationships/hyperlink" Target="https://fbref.com/en/players/58ad9383/Predrag-Rajkovic" TargetMode="External"/><Relationship Id="rId445" Type="http://schemas.openxmlformats.org/officeDocument/2006/relationships/hyperlink" Target="https://fbref.com/en/squads/25622401/2018-2019/Amiens-Stats" TargetMode="External"/><Relationship Id="rId566" Type="http://schemas.openxmlformats.org/officeDocument/2006/relationships/hyperlink" Target="https://fbref.com/en/players/19ba6c6d/Steve-Mounie" TargetMode="External"/><Relationship Id="rId209" Type="http://schemas.openxmlformats.org/officeDocument/2006/relationships/hyperlink" Target="https://fbref.com/en/players/595e6f3e/Mostafa-Mohamed" TargetMode="External"/><Relationship Id="rId208" Type="http://schemas.openxmlformats.org/officeDocument/2006/relationships/hyperlink" Target="https://fbref.com/en/squads/d7a486cd/2022-2023/Nantes-Stats" TargetMode="External"/><Relationship Id="rId329" Type="http://schemas.openxmlformats.org/officeDocument/2006/relationships/hyperlink" Target="https://fbref.com/en/players/065dc209/Terem-Moffi" TargetMode="External"/><Relationship Id="rId207" Type="http://schemas.openxmlformats.org/officeDocument/2006/relationships/hyperlink" Target="https://fbref.com/en/players/834b5c4c/Matz-Sels" TargetMode="External"/><Relationship Id="rId328" Type="http://schemas.openxmlformats.org/officeDocument/2006/relationships/hyperlink" Target="https://fbref.com/en/squads/d2c87802/2020-2021/Lorient-Stats" TargetMode="External"/><Relationship Id="rId449" Type="http://schemas.openxmlformats.org/officeDocument/2006/relationships/hyperlink" Target="https://fbref.com/en/players/c5a500ca/Max-Gradel" TargetMode="External"/><Relationship Id="rId440" Type="http://schemas.openxmlformats.org/officeDocument/2006/relationships/hyperlink" Target="https://fbref.com/en/players/5046b7d4/Stephane-Bahoken" TargetMode="External"/><Relationship Id="rId561" Type="http://schemas.openxmlformats.org/officeDocument/2006/relationships/hyperlink" Target="https://fbref.com/en/players/4e7db402/Alban-Lafont" TargetMode="External"/><Relationship Id="rId560" Type="http://schemas.openxmlformats.org/officeDocument/2006/relationships/hyperlink" Target="https://fbref.com/en/players/fd771f95/Martin-Braithwaite" TargetMode="External"/><Relationship Id="rId202" Type="http://schemas.openxmlformats.org/officeDocument/2006/relationships/hyperlink" Target="https://fbref.com/en/squads/fb08dbb3/2022-2023/Brest-Stats" TargetMode="External"/><Relationship Id="rId323" Type="http://schemas.openxmlformats.org/officeDocument/2006/relationships/hyperlink" Target="https://fbref.com/en/players/244bc2c8/Boulaye-Dia" TargetMode="External"/><Relationship Id="rId444" Type="http://schemas.openxmlformats.org/officeDocument/2006/relationships/hyperlink" Target="https://fbref.com/en/players/2434f24a/Benoit-Costil" TargetMode="External"/><Relationship Id="rId565" Type="http://schemas.openxmlformats.org/officeDocument/2006/relationships/hyperlink" Target="https://fbref.com/en/squads/281b0e73/2016-2017/Montpellier-Stats" TargetMode="External"/><Relationship Id="rId201" Type="http://schemas.openxmlformats.org/officeDocument/2006/relationships/hyperlink" Target="https://fbref.com/en/players/0e12089d/Maxime-Dupe" TargetMode="External"/><Relationship Id="rId322" Type="http://schemas.openxmlformats.org/officeDocument/2006/relationships/hyperlink" Target="https://fbref.com/en/squads/7fdd64e0/2020-2021/Reims-Stats" TargetMode="External"/><Relationship Id="rId443" Type="http://schemas.openxmlformats.org/officeDocument/2006/relationships/hyperlink" Target="https://fbref.com/en/players/81d3318f/Francois-Kamano" TargetMode="External"/><Relationship Id="rId564" Type="http://schemas.openxmlformats.org/officeDocument/2006/relationships/hyperlink" Target="https://fbref.com/en/players/a3d524cb/Thomas-Didillon" TargetMode="External"/><Relationship Id="rId200" Type="http://schemas.openxmlformats.org/officeDocument/2006/relationships/hyperlink" Target="https://fbref.com/en/players/b70afb45/Thijs-Dallinga" TargetMode="External"/><Relationship Id="rId321" Type="http://schemas.openxmlformats.org/officeDocument/2006/relationships/hyperlink" Target="https://fbref.com/en/players/28dabd43/Paul-Bernardoni" TargetMode="External"/><Relationship Id="rId442" Type="http://schemas.openxmlformats.org/officeDocument/2006/relationships/hyperlink" Target="https://fbref.com/en/squads/123f3efe/2018-2019/Bordeaux-Stats" TargetMode="External"/><Relationship Id="rId563" Type="http://schemas.openxmlformats.org/officeDocument/2006/relationships/hyperlink" Target="https://fbref.com/en/players/95cfe655/Cheick-Diabate" TargetMode="External"/><Relationship Id="rId320" Type="http://schemas.openxmlformats.org/officeDocument/2006/relationships/hyperlink" Target="https://fbref.com/en/players/4b96c347/Angelo-Fulgini" TargetMode="External"/><Relationship Id="rId441" Type="http://schemas.openxmlformats.org/officeDocument/2006/relationships/hyperlink" Target="https://fbref.com/en/players/26975a92/Ludovic-Butelle" TargetMode="External"/><Relationship Id="rId562" Type="http://schemas.openxmlformats.org/officeDocument/2006/relationships/hyperlink" Target="https://fbref.com/en/squads/f83960ae/2016-2017/Metz-Stats" TargetMode="External"/><Relationship Id="rId316" Type="http://schemas.openxmlformats.org/officeDocument/2006/relationships/hyperlink" Target="https://fbref.com/en/squads/123f3efe/2020-2021/Bordeaux-Stats" TargetMode="External"/><Relationship Id="rId437" Type="http://schemas.openxmlformats.org/officeDocument/2006/relationships/hyperlink" Target="https://fbref.com/en/players/5d59e0df/Emiliano-Sala" TargetMode="External"/><Relationship Id="rId558" Type="http://schemas.openxmlformats.org/officeDocument/2006/relationships/hyperlink" Target="https://fbref.com/en/players/e39f8724/Mathieu-Michel" TargetMode="External"/><Relationship Id="rId315" Type="http://schemas.openxmlformats.org/officeDocument/2006/relationships/hyperlink" Target="https://fbref.com/en/players/28a65a2c/Jessy-Moulin" TargetMode="External"/><Relationship Id="rId436" Type="http://schemas.openxmlformats.org/officeDocument/2006/relationships/hyperlink" Target="https://fbref.com/en/squads/d7a486cd/2018-2019/Nantes-Stats" TargetMode="External"/><Relationship Id="rId557" Type="http://schemas.openxmlformats.org/officeDocument/2006/relationships/hyperlink" Target="https://fbref.com/en/players/e447352c/Famara-Diedhiou" TargetMode="External"/><Relationship Id="rId314" Type="http://schemas.openxmlformats.org/officeDocument/2006/relationships/hyperlink" Target="https://fbref.com/en/players/2677a1de/Wahbi-Khazri" TargetMode="External"/><Relationship Id="rId435" Type="http://schemas.openxmlformats.org/officeDocument/2006/relationships/hyperlink" Target="https://fbref.com/en/players/834b5c4c/Matz-Sels" TargetMode="External"/><Relationship Id="rId556" Type="http://schemas.openxmlformats.org/officeDocument/2006/relationships/hyperlink" Target="https://fbref.com/en/squads/69236f98/2016-2017/Angers-Stats" TargetMode="External"/><Relationship Id="rId313" Type="http://schemas.openxmlformats.org/officeDocument/2006/relationships/hyperlink" Target="https://fbref.com/en/squads/d298ef2c/2020-2021/Saint-Etienne-Stats" TargetMode="External"/><Relationship Id="rId434" Type="http://schemas.openxmlformats.org/officeDocument/2006/relationships/hyperlink" Target="https://fbref.com/en/players/462475ed/Ludovic-Ajorque" TargetMode="External"/><Relationship Id="rId555" Type="http://schemas.openxmlformats.org/officeDocument/2006/relationships/hyperlink" Target="https://fbref.com/en/players/62156b6a/Vincent-Enyeama" TargetMode="External"/><Relationship Id="rId319" Type="http://schemas.openxmlformats.org/officeDocument/2006/relationships/hyperlink" Target="https://fbref.com/en/squads/69236f98/2020-2021/Angers-Stats" TargetMode="External"/><Relationship Id="rId318" Type="http://schemas.openxmlformats.org/officeDocument/2006/relationships/hyperlink" Target="https://fbref.com/en/players/2434f24a/Benoit-Costil" TargetMode="External"/><Relationship Id="rId439" Type="http://schemas.openxmlformats.org/officeDocument/2006/relationships/hyperlink" Target="https://fbref.com/en/squads/69236f98/2018-2019/Angers-Stats" TargetMode="External"/><Relationship Id="rId317" Type="http://schemas.openxmlformats.org/officeDocument/2006/relationships/hyperlink" Target="https://fbref.com/en/players/a2d873dd/Hwang-Ui-jo" TargetMode="External"/><Relationship Id="rId438" Type="http://schemas.openxmlformats.org/officeDocument/2006/relationships/hyperlink" Target="https://fbref.com/en/players/b056e3da/Ciprian-Tatarusanu" TargetMode="External"/><Relationship Id="rId559" Type="http://schemas.openxmlformats.org/officeDocument/2006/relationships/hyperlink" Target="https://fbref.com/en/squads/3f8c4b5f/2016-2017/Toulouse-Stats" TargetMode="External"/><Relationship Id="rId550" Type="http://schemas.openxmlformats.org/officeDocument/2006/relationships/hyperlink" Target="https://fbref.com/en/squads/d41b5f53/2016-2017/Guingamp-Stats" TargetMode="External"/><Relationship Id="rId312" Type="http://schemas.openxmlformats.org/officeDocument/2006/relationships/hyperlink" Target="https://fbref.com/en/players/ae7d0ecd/Alexandre-Oukidja" TargetMode="External"/><Relationship Id="rId433" Type="http://schemas.openxmlformats.org/officeDocument/2006/relationships/hyperlink" Target="https://fbref.com/en/squads/c0d3eab4/2018-2019/Strasbourg-Stats" TargetMode="External"/><Relationship Id="rId554" Type="http://schemas.openxmlformats.org/officeDocument/2006/relationships/hyperlink" Target="https://fbref.com/en/players/b0547a87/Nicolas-de-Preville" TargetMode="External"/><Relationship Id="rId311" Type="http://schemas.openxmlformats.org/officeDocument/2006/relationships/hyperlink" Target="https://fbref.com/en/players/a0791826/Farid-Boulaya" TargetMode="External"/><Relationship Id="rId432" Type="http://schemas.openxmlformats.org/officeDocument/2006/relationships/hyperlink" Target="https://fbref.com/en/players/dc366c36/Tomas-Koubek" TargetMode="External"/><Relationship Id="rId553" Type="http://schemas.openxmlformats.org/officeDocument/2006/relationships/hyperlink" Target="https://fbref.com/en/squads/cb188c0c/2016-2017/Lille-Stats" TargetMode="External"/><Relationship Id="rId310" Type="http://schemas.openxmlformats.org/officeDocument/2006/relationships/hyperlink" Target="https://fbref.com/en/squads/f83960ae/2020-2021/Metz-Stats" TargetMode="External"/><Relationship Id="rId431" Type="http://schemas.openxmlformats.org/officeDocument/2006/relationships/hyperlink" Target="https://fbref.com/en/players/2054d037/MBaye-Niang" TargetMode="External"/><Relationship Id="rId552" Type="http://schemas.openxmlformats.org/officeDocument/2006/relationships/hyperlink" Target="https://fbref.com/en/players/a56bd2ee/Karl-Johan-Johnsson" TargetMode="External"/><Relationship Id="rId430" Type="http://schemas.openxmlformats.org/officeDocument/2006/relationships/hyperlink" Target="https://fbref.com/en/squads/b3072e00/2018-2019/Rennes-Stats" TargetMode="External"/><Relationship Id="rId551" Type="http://schemas.openxmlformats.org/officeDocument/2006/relationships/hyperlink" Target="https://fbref.com/en/players/f83c8d6c/Jimmy-Briand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fbref.com/en/squads/361ca564/2021-2022/Tottenham-Hotspur-Stats" TargetMode="External"/><Relationship Id="rId194" Type="http://schemas.openxmlformats.org/officeDocument/2006/relationships/hyperlink" Target="https://fbref.com/en/players/bc7dc64d/Bukayo-Saka" TargetMode="External"/><Relationship Id="rId193" Type="http://schemas.openxmlformats.org/officeDocument/2006/relationships/hyperlink" Target="https://fbref.com/en/squads/18bb7c10/2021-2022/Arsenal-Stats" TargetMode="External"/><Relationship Id="rId192" Type="http://schemas.openxmlformats.org/officeDocument/2006/relationships/hyperlink" Target="https://fbref.com/en/players/8f62b6ee/Hugo-Lloris" TargetMode="External"/><Relationship Id="rId191" Type="http://schemas.openxmlformats.org/officeDocument/2006/relationships/hyperlink" Target="https://fbref.com/en/players/92e7e919/Son-Heung-min" TargetMode="External"/><Relationship Id="rId187" Type="http://schemas.openxmlformats.org/officeDocument/2006/relationships/hyperlink" Target="https://fbref.com/en/squads/cff3d9bb/2021-2022/Chelsea-Stats" TargetMode="External"/><Relationship Id="rId186" Type="http://schemas.openxmlformats.org/officeDocument/2006/relationships/hyperlink" Target="https://fbref.com/en/players/7a2e46a8/Alisson" TargetMode="External"/><Relationship Id="rId185" Type="http://schemas.openxmlformats.org/officeDocument/2006/relationships/hyperlink" Target="https://fbref.com/en/players/e342ad68/Mohamed-Salah" TargetMode="External"/><Relationship Id="rId184" Type="http://schemas.openxmlformats.org/officeDocument/2006/relationships/hyperlink" Target="https://fbref.com/en/squads/822bd0ba/2021-2022/Liverpool-Stats" TargetMode="External"/><Relationship Id="rId189" Type="http://schemas.openxmlformats.org/officeDocument/2006/relationships/hyperlink" Target="https://fbref.com/en/players/33887998/Edouard-Mendy" TargetMode="External"/><Relationship Id="rId188" Type="http://schemas.openxmlformats.org/officeDocument/2006/relationships/hyperlink" Target="https://fbref.com/en/players/9674002f/Mason-Mount" TargetMode="External"/><Relationship Id="rId183" Type="http://schemas.openxmlformats.org/officeDocument/2006/relationships/hyperlink" Target="https://fbref.com/en/players/3bb7b8b4/Ederson" TargetMode="External"/><Relationship Id="rId182" Type="http://schemas.openxmlformats.org/officeDocument/2006/relationships/hyperlink" Target="https://fbref.com/en/players/e46012d4/Kevin-De-Bruyne" TargetMode="External"/><Relationship Id="rId181" Type="http://schemas.openxmlformats.org/officeDocument/2006/relationships/hyperlink" Target="https://fbref.com/en/squads/b8fd03ef/2021-2022/Manchester-City-Stats" TargetMode="External"/><Relationship Id="rId180" Type="http://schemas.openxmlformats.org/officeDocument/2006/relationships/hyperlink" Target="https://fbref.com/en/players/c91441dc/Gavin-Bazunu" TargetMode="External"/><Relationship Id="rId176" Type="http://schemas.openxmlformats.org/officeDocument/2006/relationships/hyperlink" Target="https://fbref.com/en/players/1fb1c435/Rodrigo" TargetMode="External"/><Relationship Id="rId297" Type="http://schemas.openxmlformats.org/officeDocument/2006/relationships/hyperlink" Target="https://fbref.com/en/players/9e5708be/Sam-Johnstone" TargetMode="External"/><Relationship Id="rId175" Type="http://schemas.openxmlformats.org/officeDocument/2006/relationships/hyperlink" Target="https://fbref.com/en/squads/5bfb9659/2022-2023/Leeds-United-Stats" TargetMode="External"/><Relationship Id="rId296" Type="http://schemas.openxmlformats.org/officeDocument/2006/relationships/hyperlink" Target="https://fbref.com/en/players/b04ee927/Matheus-Pereira" TargetMode="External"/><Relationship Id="rId174" Type="http://schemas.openxmlformats.org/officeDocument/2006/relationships/hyperlink" Target="https://fbref.com/en/players/d3ce0e89/Danny-Ward" TargetMode="External"/><Relationship Id="rId295" Type="http://schemas.openxmlformats.org/officeDocument/2006/relationships/hyperlink" Target="https://fbref.com/en/squads/60c6b05f/2020-2021/West-Bromwich-Albion-Stats" TargetMode="External"/><Relationship Id="rId173" Type="http://schemas.openxmlformats.org/officeDocument/2006/relationships/hyperlink" Target="https://fbref.com/en/players/3ea50f67/Harvey-Barnes" TargetMode="External"/><Relationship Id="rId294" Type="http://schemas.openxmlformats.org/officeDocument/2006/relationships/hyperlink" Target="https://fbref.com/en/players/2f965a72/Alphonse-Areola" TargetMode="External"/><Relationship Id="rId179" Type="http://schemas.openxmlformats.org/officeDocument/2006/relationships/hyperlink" Target="https://fbref.com/en/players/3515d404/James-Ward-Prowse" TargetMode="External"/><Relationship Id="rId178" Type="http://schemas.openxmlformats.org/officeDocument/2006/relationships/hyperlink" Target="https://fbref.com/en/squads/33c895d4/2022-2023/Southampton-Stats" TargetMode="External"/><Relationship Id="rId299" Type="http://schemas.openxmlformats.org/officeDocument/2006/relationships/hyperlink" Target="https://fbref.com/en/players/dbe56a33/David-McGoldrick" TargetMode="External"/><Relationship Id="rId177" Type="http://schemas.openxmlformats.org/officeDocument/2006/relationships/hyperlink" Target="https://fbref.com/en/players/6b625ac2/Illan-Meslier" TargetMode="External"/><Relationship Id="rId298" Type="http://schemas.openxmlformats.org/officeDocument/2006/relationships/hyperlink" Target="https://fbref.com/en/squads/1df6b87e/2020-2021/Sheffield-United-Stats" TargetMode="External"/><Relationship Id="rId198" Type="http://schemas.openxmlformats.org/officeDocument/2006/relationships/hyperlink" Target="https://fbref.com/en/players/7ba6d84e/David-de-Gea" TargetMode="External"/><Relationship Id="rId197" Type="http://schemas.openxmlformats.org/officeDocument/2006/relationships/hyperlink" Target="https://fbref.com/en/players/dea698d9/Cristiano-Ronaldo" TargetMode="External"/><Relationship Id="rId196" Type="http://schemas.openxmlformats.org/officeDocument/2006/relationships/hyperlink" Target="https://fbref.com/en/squads/19538871/2021-2022/Manchester-United-Stats" TargetMode="External"/><Relationship Id="rId195" Type="http://schemas.openxmlformats.org/officeDocument/2006/relationships/hyperlink" Target="https://fbref.com/en/players/466fb2c5/Aaron-Ramsdale" TargetMode="External"/><Relationship Id="rId199" Type="http://schemas.openxmlformats.org/officeDocument/2006/relationships/hyperlink" Target="https://fbref.com/en/squads/7c21e445/2021-2022/West-Ham-United-Stats" TargetMode="External"/><Relationship Id="rId150" Type="http://schemas.openxmlformats.org/officeDocument/2006/relationships/hyperlink" Target="https://fbref.com/en/players/2628fd2b/Bernd-Leno" TargetMode="External"/><Relationship Id="rId271" Type="http://schemas.openxmlformats.org/officeDocument/2006/relationships/hyperlink" Target="https://fbref.com/en/squads/8602292d/2020-2021/Aston-Villa-Stats" TargetMode="External"/><Relationship Id="rId392" Type="http://schemas.openxmlformats.org/officeDocument/2006/relationships/hyperlink" Target="https://fbref.com/en/players/39583cfd/Gerard-Deulofeu" TargetMode="External"/><Relationship Id="rId270" Type="http://schemas.openxmlformats.org/officeDocument/2006/relationships/hyperlink" Target="https://fbref.com/en/players/4806ec67/Jordan-Pickford" TargetMode="External"/><Relationship Id="rId391" Type="http://schemas.openxmlformats.org/officeDocument/2006/relationships/hyperlink" Target="https://fbref.com/en/squads/2abfe087/2018-2019/Watford-Stats" TargetMode="External"/><Relationship Id="rId390" Type="http://schemas.openxmlformats.org/officeDocument/2006/relationships/hyperlink" Target="https://fbref.com/en/players/9328b835/Lukasz-Fabianski" TargetMode="External"/><Relationship Id="rId1" Type="http://schemas.openxmlformats.org/officeDocument/2006/relationships/hyperlink" Target="https://fbref.com/en/squads/822bd0ba/2024-2025/Liverpool-Stats" TargetMode="External"/><Relationship Id="rId2" Type="http://schemas.openxmlformats.org/officeDocument/2006/relationships/hyperlink" Target="https://fbref.com/en/players/e342ad68/Mohamed-Salah" TargetMode="External"/><Relationship Id="rId3" Type="http://schemas.openxmlformats.org/officeDocument/2006/relationships/hyperlink" Target="https://fbref.com/en/players/7a2e46a8/Alisson" TargetMode="External"/><Relationship Id="rId149" Type="http://schemas.openxmlformats.org/officeDocument/2006/relationships/hyperlink" Target="https://fbref.com/en/players/3925dbd6/Aleksandar-Mitrovic" TargetMode="External"/><Relationship Id="rId4" Type="http://schemas.openxmlformats.org/officeDocument/2006/relationships/hyperlink" Target="https://fbref.com/en/squads/18bb7c10/2024-2025/Arsenal-Stats" TargetMode="External"/><Relationship Id="rId148" Type="http://schemas.openxmlformats.org/officeDocument/2006/relationships/hyperlink" Target="https://fbref.com/en/squads/fd962109/2022-2023/Fulham-Stats" TargetMode="External"/><Relationship Id="rId269" Type="http://schemas.openxmlformats.org/officeDocument/2006/relationships/hyperlink" Target="https://fbref.com/en/players/59e6e5bf/Dominic-Calvert-Lewin" TargetMode="External"/><Relationship Id="rId9" Type="http://schemas.openxmlformats.org/officeDocument/2006/relationships/hyperlink" Target="https://fbref.com/en/players/3bb7b8b4/Ederson" TargetMode="External"/><Relationship Id="rId143" Type="http://schemas.openxmlformats.org/officeDocument/2006/relationships/hyperlink" Target="https://fbref.com/en/players/21a66f6a/Harry-Kane" TargetMode="External"/><Relationship Id="rId264" Type="http://schemas.openxmlformats.org/officeDocument/2006/relationships/hyperlink" Target="https://fbref.com/en/players/2628fd2b/Bernd-Leno" TargetMode="External"/><Relationship Id="rId385" Type="http://schemas.openxmlformats.org/officeDocument/2006/relationships/hyperlink" Target="https://fbref.com/en/squads/a2d435b3/2018-2019/Leicester-City-Stats" TargetMode="External"/><Relationship Id="rId142" Type="http://schemas.openxmlformats.org/officeDocument/2006/relationships/hyperlink" Target="https://fbref.com/en/squads/361ca564/2022-2023/Tottenham-Hotspur-Stats" TargetMode="External"/><Relationship Id="rId263" Type="http://schemas.openxmlformats.org/officeDocument/2006/relationships/hyperlink" Target="https://fbref.com/en/players/9dbb75ca/Alexandre-Lacazette" TargetMode="External"/><Relationship Id="rId384" Type="http://schemas.openxmlformats.org/officeDocument/2006/relationships/hyperlink" Target="https://fbref.com/en/players/4806ec67/Jordan-Pickford" TargetMode="External"/><Relationship Id="rId141" Type="http://schemas.openxmlformats.org/officeDocument/2006/relationships/hyperlink" Target="https://fbref.com/en/players/7956236f/Emiliano-Martinez" TargetMode="External"/><Relationship Id="rId262" Type="http://schemas.openxmlformats.org/officeDocument/2006/relationships/hyperlink" Target="https://fbref.com/en/squads/18bb7c10/2020-2021/Arsenal-Stats" TargetMode="External"/><Relationship Id="rId383" Type="http://schemas.openxmlformats.org/officeDocument/2006/relationships/hyperlink" Target="https://fbref.com/en/players/76dd1480/Gylfi-Sigurdsson" TargetMode="External"/><Relationship Id="rId140" Type="http://schemas.openxmlformats.org/officeDocument/2006/relationships/hyperlink" Target="https://fbref.com/en/players/aed3a70f/Ollie-Watkins" TargetMode="External"/><Relationship Id="rId261" Type="http://schemas.openxmlformats.org/officeDocument/2006/relationships/hyperlink" Target="https://fbref.com/en/players/8f62b6ee/Hugo-Lloris" TargetMode="External"/><Relationship Id="rId382" Type="http://schemas.openxmlformats.org/officeDocument/2006/relationships/hyperlink" Target="https://fbref.com/en/squads/d3fd31cc/2018-2019/Everton-Stats" TargetMode="External"/><Relationship Id="rId5" Type="http://schemas.openxmlformats.org/officeDocument/2006/relationships/hyperlink" Target="https://fbref.com/en/players/fed7cb61/Kai-Havertz" TargetMode="External"/><Relationship Id="rId147" Type="http://schemas.openxmlformats.org/officeDocument/2006/relationships/hyperlink" Target="https://fbref.com/en/players/98ea5115/David-Raya" TargetMode="External"/><Relationship Id="rId268" Type="http://schemas.openxmlformats.org/officeDocument/2006/relationships/hyperlink" Target="https://fbref.com/en/squads/d3fd31cc/2020-2021/Everton-Stats" TargetMode="External"/><Relationship Id="rId389" Type="http://schemas.openxmlformats.org/officeDocument/2006/relationships/hyperlink" Target="https://fbref.com/en/players/00459419/Marko-Arnautovic" TargetMode="External"/><Relationship Id="rId6" Type="http://schemas.openxmlformats.org/officeDocument/2006/relationships/hyperlink" Target="https://fbref.com/en/players/98ea5115/David-Raya" TargetMode="External"/><Relationship Id="rId146" Type="http://schemas.openxmlformats.org/officeDocument/2006/relationships/hyperlink" Target="https://fbref.com/en/players/e09f279b/Ivan-Toney" TargetMode="External"/><Relationship Id="rId267" Type="http://schemas.openxmlformats.org/officeDocument/2006/relationships/hyperlink" Target="https://fbref.com/en/players/6b625ac2/Illan-Meslier" TargetMode="External"/><Relationship Id="rId388" Type="http://schemas.openxmlformats.org/officeDocument/2006/relationships/hyperlink" Target="https://fbref.com/en/squads/7c21e445/2018-2019/West-Ham-United-Stats" TargetMode="External"/><Relationship Id="rId7" Type="http://schemas.openxmlformats.org/officeDocument/2006/relationships/hyperlink" Target="https://fbref.com/en/squads/b8fd03ef/2024-2025/Manchester-City-Stats" TargetMode="External"/><Relationship Id="rId145" Type="http://schemas.openxmlformats.org/officeDocument/2006/relationships/hyperlink" Target="https://fbref.com/en/squads/cd051869/2022-2023/Brentford-Stats" TargetMode="External"/><Relationship Id="rId266" Type="http://schemas.openxmlformats.org/officeDocument/2006/relationships/hyperlink" Target="https://fbref.com/en/players/93feac6e/Patrick-Bamford" TargetMode="External"/><Relationship Id="rId387" Type="http://schemas.openxmlformats.org/officeDocument/2006/relationships/hyperlink" Target="https://fbref.com/en/players/53af52f3/Kasper-Schmeichel" TargetMode="External"/><Relationship Id="rId8" Type="http://schemas.openxmlformats.org/officeDocument/2006/relationships/hyperlink" Target="https://fbref.com/en/players/1f44ac21/Erling-Haaland" TargetMode="External"/><Relationship Id="rId144" Type="http://schemas.openxmlformats.org/officeDocument/2006/relationships/hyperlink" Target="https://fbref.com/en/players/8f62b6ee/Hugo-Lloris" TargetMode="External"/><Relationship Id="rId265" Type="http://schemas.openxmlformats.org/officeDocument/2006/relationships/hyperlink" Target="https://fbref.com/en/squads/5bfb9659/2020-2021/Leeds-United-Stats" TargetMode="External"/><Relationship Id="rId386" Type="http://schemas.openxmlformats.org/officeDocument/2006/relationships/hyperlink" Target="https://fbref.com/en/players/45963054/Jamie-Vardy" TargetMode="External"/><Relationship Id="rId260" Type="http://schemas.openxmlformats.org/officeDocument/2006/relationships/hyperlink" Target="https://fbref.com/en/players/21a66f6a/Harry-Kane" TargetMode="External"/><Relationship Id="rId381" Type="http://schemas.openxmlformats.org/officeDocument/2006/relationships/hyperlink" Target="https://fbref.com/en/players/79b0d6a0/Rui-Patricio" TargetMode="External"/><Relationship Id="rId380" Type="http://schemas.openxmlformats.org/officeDocument/2006/relationships/hyperlink" Target="https://fbref.com/en/players/b561db50/Raul-Jimenez" TargetMode="External"/><Relationship Id="rId139" Type="http://schemas.openxmlformats.org/officeDocument/2006/relationships/hyperlink" Target="https://fbref.com/en/squads/8602292d/2022-2023/Aston-Villa-Stats" TargetMode="External"/><Relationship Id="rId138" Type="http://schemas.openxmlformats.org/officeDocument/2006/relationships/hyperlink" Target="https://fbref.com/en/players/6a713852/Robert-Sanchez" TargetMode="External"/><Relationship Id="rId259" Type="http://schemas.openxmlformats.org/officeDocument/2006/relationships/hyperlink" Target="https://fbref.com/en/squads/361ca564/2020-2021/Tottenham-Hotspur-Stats" TargetMode="External"/><Relationship Id="rId137" Type="http://schemas.openxmlformats.org/officeDocument/2006/relationships/hyperlink" Target="https://fbref.com/en/players/83d074ff/Alexis-Mac-Allister" TargetMode="External"/><Relationship Id="rId258" Type="http://schemas.openxmlformats.org/officeDocument/2006/relationships/hyperlink" Target="https://fbref.com/en/players/9328b835/Lukasz-Fabianski" TargetMode="External"/><Relationship Id="rId379" Type="http://schemas.openxmlformats.org/officeDocument/2006/relationships/hyperlink" Target="https://fbref.com/en/squads/8cec06e1/2018-2019/Wolverhampton-Wanderers-Stats" TargetMode="External"/><Relationship Id="rId132" Type="http://schemas.openxmlformats.org/officeDocument/2006/relationships/hyperlink" Target="https://fbref.com/en/players/4b40d9ca/Nick-Pope" TargetMode="External"/><Relationship Id="rId253" Type="http://schemas.openxmlformats.org/officeDocument/2006/relationships/hyperlink" Target="https://fbref.com/en/squads/a2d435b3/2020-2021/Leicester-City-Stats" TargetMode="External"/><Relationship Id="rId374" Type="http://schemas.openxmlformats.org/officeDocument/2006/relationships/hyperlink" Target="https://fbref.com/en/players/d5dd5f1f/Pierre-Emerick-Aubameyang" TargetMode="External"/><Relationship Id="rId495" Type="http://schemas.openxmlformats.org/officeDocument/2006/relationships/hyperlink" Target="https://fbref.com/en/players/71672fa0/Petr-Cech" TargetMode="External"/><Relationship Id="rId131" Type="http://schemas.openxmlformats.org/officeDocument/2006/relationships/hyperlink" Target="https://fbref.com/en/players/c596fcb0/Callum-Wilson" TargetMode="External"/><Relationship Id="rId252" Type="http://schemas.openxmlformats.org/officeDocument/2006/relationships/hyperlink" Target="https://fbref.com/en/players/33887998/Edouard-Mendy" TargetMode="External"/><Relationship Id="rId373" Type="http://schemas.openxmlformats.org/officeDocument/2006/relationships/hyperlink" Target="https://fbref.com/en/squads/18bb7c10/2018-2019/Arsenal-Stats" TargetMode="External"/><Relationship Id="rId494" Type="http://schemas.openxmlformats.org/officeDocument/2006/relationships/hyperlink" Target="https://fbref.com/en/players/2c0f8e9e/Alexis-Sanchez" TargetMode="External"/><Relationship Id="rId130" Type="http://schemas.openxmlformats.org/officeDocument/2006/relationships/hyperlink" Target="https://fbref.com/en/squads/b2b47a98/2022-2023/Newcastle-United-Stats" TargetMode="External"/><Relationship Id="rId251" Type="http://schemas.openxmlformats.org/officeDocument/2006/relationships/hyperlink" Target="https://fbref.com/en/players/45db685d/Jorginho" TargetMode="External"/><Relationship Id="rId372" Type="http://schemas.openxmlformats.org/officeDocument/2006/relationships/hyperlink" Target="https://fbref.com/en/players/8f62b6ee/Hugo-Lloris" TargetMode="External"/><Relationship Id="rId493" Type="http://schemas.openxmlformats.org/officeDocument/2006/relationships/hyperlink" Target="https://fbref.com/en/squads/18bb7c10/2016-2017/Arsenal-Stats" TargetMode="External"/><Relationship Id="rId250" Type="http://schemas.openxmlformats.org/officeDocument/2006/relationships/hyperlink" Target="https://fbref.com/en/squads/cff3d9bb/2020-2021/Chelsea-Stats" TargetMode="External"/><Relationship Id="rId371" Type="http://schemas.openxmlformats.org/officeDocument/2006/relationships/hyperlink" Target="https://fbref.com/en/players/21a66f6a/Harry-Kane" TargetMode="External"/><Relationship Id="rId492" Type="http://schemas.openxmlformats.org/officeDocument/2006/relationships/hyperlink" Target="https://fbref.com/en/players/d436eb94/Simon-Mignolet" TargetMode="External"/><Relationship Id="rId136" Type="http://schemas.openxmlformats.org/officeDocument/2006/relationships/hyperlink" Target="https://fbref.com/en/squads/d07537b9/2022-2023/Brighton-and-Hove-Albion-Stats" TargetMode="External"/><Relationship Id="rId257" Type="http://schemas.openxmlformats.org/officeDocument/2006/relationships/hyperlink" Target="https://fbref.com/en/players/ac05f970/Michail-Antonio" TargetMode="External"/><Relationship Id="rId378" Type="http://schemas.openxmlformats.org/officeDocument/2006/relationships/hyperlink" Target="https://fbref.com/en/players/7ba6d84e/David-de-Gea" TargetMode="External"/><Relationship Id="rId499" Type="http://schemas.openxmlformats.org/officeDocument/2006/relationships/hyperlink" Target="https://fbref.com/en/squads/d3fd31cc/2016-2017/Everton-Stats" TargetMode="External"/><Relationship Id="rId135" Type="http://schemas.openxmlformats.org/officeDocument/2006/relationships/hyperlink" Target="https://fbref.com/en/players/7a2e46a8/Alisson" TargetMode="External"/><Relationship Id="rId256" Type="http://schemas.openxmlformats.org/officeDocument/2006/relationships/hyperlink" Target="https://fbref.com/en/squads/7c21e445/2020-2021/West-Ham-United-Stats" TargetMode="External"/><Relationship Id="rId377" Type="http://schemas.openxmlformats.org/officeDocument/2006/relationships/hyperlink" Target="https://fbref.com/en/players/867239d3/Paul-Pogba" TargetMode="External"/><Relationship Id="rId498" Type="http://schemas.openxmlformats.org/officeDocument/2006/relationships/hyperlink" Target="https://fbref.com/en/players/7ba6d84e/David-de-Gea" TargetMode="External"/><Relationship Id="rId134" Type="http://schemas.openxmlformats.org/officeDocument/2006/relationships/hyperlink" Target="https://fbref.com/en/players/e342ad68/Mohamed-Salah" TargetMode="External"/><Relationship Id="rId255" Type="http://schemas.openxmlformats.org/officeDocument/2006/relationships/hyperlink" Target="https://fbref.com/en/players/53af52f3/Kasper-Schmeichel" TargetMode="External"/><Relationship Id="rId376" Type="http://schemas.openxmlformats.org/officeDocument/2006/relationships/hyperlink" Target="https://fbref.com/en/squads/19538871/2018-2019/Manchester-United-Stats" TargetMode="External"/><Relationship Id="rId497" Type="http://schemas.openxmlformats.org/officeDocument/2006/relationships/hyperlink" Target="https://fbref.com/en/players/4cde5509/Zlatan-Ibrahimovic" TargetMode="External"/><Relationship Id="rId133" Type="http://schemas.openxmlformats.org/officeDocument/2006/relationships/hyperlink" Target="https://fbref.com/en/squads/822bd0ba/2022-2023/Liverpool-Stats" TargetMode="External"/><Relationship Id="rId254" Type="http://schemas.openxmlformats.org/officeDocument/2006/relationships/hyperlink" Target="https://fbref.com/en/players/45963054/Jamie-Vardy" TargetMode="External"/><Relationship Id="rId375" Type="http://schemas.openxmlformats.org/officeDocument/2006/relationships/hyperlink" Target="https://fbref.com/en/players/2628fd2b/Bernd-Leno" TargetMode="External"/><Relationship Id="rId496" Type="http://schemas.openxmlformats.org/officeDocument/2006/relationships/hyperlink" Target="https://fbref.com/en/squads/19538871/2016-2017/Manchester-United-Stats" TargetMode="External"/><Relationship Id="rId172" Type="http://schemas.openxmlformats.org/officeDocument/2006/relationships/hyperlink" Target="https://fbref.com/en/squads/a2d435b3/2022-2023/Leicester-City-Stats" TargetMode="External"/><Relationship Id="rId293" Type="http://schemas.openxmlformats.org/officeDocument/2006/relationships/hyperlink" Target="https://fbref.com/en/players/0f7533cd/Bobby-De-Cordova-Reid" TargetMode="External"/><Relationship Id="rId171" Type="http://schemas.openxmlformats.org/officeDocument/2006/relationships/hyperlink" Target="https://fbref.com/en/players/4806ec67/Jordan-Pickford" TargetMode="External"/><Relationship Id="rId292" Type="http://schemas.openxmlformats.org/officeDocument/2006/relationships/hyperlink" Target="https://fbref.com/en/squads/fd962109/2020-2021/Fulham-Stats" TargetMode="External"/><Relationship Id="rId170" Type="http://schemas.openxmlformats.org/officeDocument/2006/relationships/hyperlink" Target="https://fbref.com/en/players/fc15fb84/Dwight-McNeil" TargetMode="External"/><Relationship Id="rId291" Type="http://schemas.openxmlformats.org/officeDocument/2006/relationships/hyperlink" Target="https://fbref.com/en/players/4b40d9ca/Nick-Pope" TargetMode="External"/><Relationship Id="rId290" Type="http://schemas.openxmlformats.org/officeDocument/2006/relationships/hyperlink" Target="https://fbref.com/en/players/4e9a0555/Chris-Wood" TargetMode="External"/><Relationship Id="rId165" Type="http://schemas.openxmlformats.org/officeDocument/2006/relationships/hyperlink" Target="https://fbref.com/en/players/a9dc785c/Neto" TargetMode="External"/><Relationship Id="rId286" Type="http://schemas.openxmlformats.org/officeDocument/2006/relationships/hyperlink" Target="https://fbref.com/en/squads/d07537b9/2020-2021/Brighton-and-Hove-Albion-Stats" TargetMode="External"/><Relationship Id="rId164" Type="http://schemas.openxmlformats.org/officeDocument/2006/relationships/hyperlink" Target="https://fbref.com/en/players/d328a254/Philip-Billing" TargetMode="External"/><Relationship Id="rId285" Type="http://schemas.openxmlformats.org/officeDocument/2006/relationships/hyperlink" Target="https://fbref.com/en/players/36c2ca73/Alex-McCarthy" TargetMode="External"/><Relationship Id="rId163" Type="http://schemas.openxmlformats.org/officeDocument/2006/relationships/hyperlink" Target="https://fbref.com/en/squads/4ba7cbea/2022-2023/Bournemouth-Stats" TargetMode="External"/><Relationship Id="rId284" Type="http://schemas.openxmlformats.org/officeDocument/2006/relationships/hyperlink" Target="https://fbref.com/en/players/07802f7f/Danny-Ings" TargetMode="External"/><Relationship Id="rId162" Type="http://schemas.openxmlformats.org/officeDocument/2006/relationships/hyperlink" Target="https://fbref.com/en/players/9328b835/Lukasz-Fabianski" TargetMode="External"/><Relationship Id="rId283" Type="http://schemas.openxmlformats.org/officeDocument/2006/relationships/hyperlink" Target="https://fbref.com/en/squads/33c895d4/2020-2021/Southampton-Stats" TargetMode="External"/><Relationship Id="rId169" Type="http://schemas.openxmlformats.org/officeDocument/2006/relationships/hyperlink" Target="https://fbref.com/en/squads/d3fd31cc/2022-2023/Everton-Stats" TargetMode="External"/><Relationship Id="rId168" Type="http://schemas.openxmlformats.org/officeDocument/2006/relationships/hyperlink" Target="https://fbref.com/en/players/e5a76dfe/Dean-Henderson" TargetMode="External"/><Relationship Id="rId289" Type="http://schemas.openxmlformats.org/officeDocument/2006/relationships/hyperlink" Target="https://fbref.com/en/squads/943e8050/2020-2021/Burnley-Stats" TargetMode="External"/><Relationship Id="rId167" Type="http://schemas.openxmlformats.org/officeDocument/2006/relationships/hyperlink" Target="https://fbref.com/en/players/e5478b87/Taiwo-Awoniyi" TargetMode="External"/><Relationship Id="rId288" Type="http://schemas.openxmlformats.org/officeDocument/2006/relationships/hyperlink" Target="https://fbref.com/en/players/6a713852/Robert-Sanchez" TargetMode="External"/><Relationship Id="rId166" Type="http://schemas.openxmlformats.org/officeDocument/2006/relationships/hyperlink" Target="https://fbref.com/en/squads/e4a775cb/2022-2023/Nottingham-Forest-Stats" TargetMode="External"/><Relationship Id="rId287" Type="http://schemas.openxmlformats.org/officeDocument/2006/relationships/hyperlink" Target="https://fbref.com/en/players/4bcf39f6/Neal-Maupay" TargetMode="External"/><Relationship Id="rId161" Type="http://schemas.openxmlformats.org/officeDocument/2006/relationships/hyperlink" Target="https://fbref.com/en/players/5a04fd92/Said-Benrahma" TargetMode="External"/><Relationship Id="rId282" Type="http://schemas.openxmlformats.org/officeDocument/2006/relationships/hyperlink" Target="https://fbref.com/en/players/ab13a5aa/Vicente-Guaita" TargetMode="External"/><Relationship Id="rId160" Type="http://schemas.openxmlformats.org/officeDocument/2006/relationships/hyperlink" Target="https://fbref.com/en/squads/7c21e445/2022-2023/West-Ham-United-Stats" TargetMode="External"/><Relationship Id="rId281" Type="http://schemas.openxmlformats.org/officeDocument/2006/relationships/hyperlink" Target="https://fbref.com/en/players/b2bc3b1f/Wilfried-Zaha" TargetMode="External"/><Relationship Id="rId280" Type="http://schemas.openxmlformats.org/officeDocument/2006/relationships/hyperlink" Target="https://fbref.com/en/squads/47c64c55/2020-2021/Crystal-Palace-Stats" TargetMode="External"/><Relationship Id="rId159" Type="http://schemas.openxmlformats.org/officeDocument/2006/relationships/hyperlink" Target="https://fbref.com/en/players/903b6e8b/Jose-Sa" TargetMode="External"/><Relationship Id="rId154" Type="http://schemas.openxmlformats.org/officeDocument/2006/relationships/hyperlink" Target="https://fbref.com/en/squads/cff3d9bb/2022-2023/Chelsea-Stats" TargetMode="External"/><Relationship Id="rId275" Type="http://schemas.openxmlformats.org/officeDocument/2006/relationships/hyperlink" Target="https://fbref.com/en/players/c596fcb0/Callum-Wilson" TargetMode="External"/><Relationship Id="rId396" Type="http://schemas.openxmlformats.org/officeDocument/2006/relationships/hyperlink" Target="https://fbref.com/en/players/ab13a5aa/Vicente-Guaita" TargetMode="External"/><Relationship Id="rId153" Type="http://schemas.openxmlformats.org/officeDocument/2006/relationships/hyperlink" Target="https://fbref.com/en/players/ab13a5aa/Vicente-Guaita" TargetMode="External"/><Relationship Id="rId274" Type="http://schemas.openxmlformats.org/officeDocument/2006/relationships/hyperlink" Target="https://fbref.com/en/squads/b2b47a98/2020-2021/Newcastle-United-Stats" TargetMode="External"/><Relationship Id="rId395" Type="http://schemas.openxmlformats.org/officeDocument/2006/relationships/hyperlink" Target="https://fbref.com/en/players/2ce2508a/Luka-Milivojevic" TargetMode="External"/><Relationship Id="rId152" Type="http://schemas.openxmlformats.org/officeDocument/2006/relationships/hyperlink" Target="https://fbref.com/en/players/ae4fc6a4/Eberechi-Eze" TargetMode="External"/><Relationship Id="rId273" Type="http://schemas.openxmlformats.org/officeDocument/2006/relationships/hyperlink" Target="https://fbref.com/en/players/7956236f/Emiliano-Martinez" TargetMode="External"/><Relationship Id="rId394" Type="http://schemas.openxmlformats.org/officeDocument/2006/relationships/hyperlink" Target="https://fbref.com/en/squads/47c64c55/2018-2019/Crystal-Palace-Stats" TargetMode="External"/><Relationship Id="rId151" Type="http://schemas.openxmlformats.org/officeDocument/2006/relationships/hyperlink" Target="https://fbref.com/en/squads/47c64c55/2022-2023/Crystal-Palace-Stats" TargetMode="External"/><Relationship Id="rId272" Type="http://schemas.openxmlformats.org/officeDocument/2006/relationships/hyperlink" Target="https://fbref.com/en/players/aed3a70f/Ollie-Watkins" TargetMode="External"/><Relationship Id="rId393" Type="http://schemas.openxmlformats.org/officeDocument/2006/relationships/hyperlink" Target="https://fbref.com/en/players/d0b3ceb9/Ben-Foster" TargetMode="External"/><Relationship Id="rId158" Type="http://schemas.openxmlformats.org/officeDocument/2006/relationships/hyperlink" Target="https://fbref.com/en/players/44bfb6c5/Ruben-Neves" TargetMode="External"/><Relationship Id="rId279" Type="http://schemas.openxmlformats.org/officeDocument/2006/relationships/hyperlink" Target="https://fbref.com/en/players/79b0d6a0/Rui-Patricio" TargetMode="External"/><Relationship Id="rId157" Type="http://schemas.openxmlformats.org/officeDocument/2006/relationships/hyperlink" Target="https://fbref.com/en/squads/8cec06e1/2022-2023/Wolverhampton-Wanderers-Stats" TargetMode="External"/><Relationship Id="rId278" Type="http://schemas.openxmlformats.org/officeDocument/2006/relationships/hyperlink" Target="https://fbref.com/en/players/44bfb6c5/Ruben-Neves" TargetMode="External"/><Relationship Id="rId399" Type="http://schemas.openxmlformats.org/officeDocument/2006/relationships/hyperlink" Target="https://fbref.com/en/players/3a949a25/Martin-Dubravka" TargetMode="External"/><Relationship Id="rId156" Type="http://schemas.openxmlformats.org/officeDocument/2006/relationships/hyperlink" Target="https://fbref.com/en/players/28d596a0/Kepa-Arrizabalaga" TargetMode="External"/><Relationship Id="rId277" Type="http://schemas.openxmlformats.org/officeDocument/2006/relationships/hyperlink" Target="https://fbref.com/en/squads/8cec06e1/2020-2021/Wolverhampton-Wanderers-Stats" TargetMode="External"/><Relationship Id="rId398" Type="http://schemas.openxmlformats.org/officeDocument/2006/relationships/hyperlink" Target="https://fbref.com/en/players/819aa8e7/Ayoze-Perez" TargetMode="External"/><Relationship Id="rId155" Type="http://schemas.openxmlformats.org/officeDocument/2006/relationships/hyperlink" Target="https://fbref.com/en/players/fed7cb61/Kai-Havertz" TargetMode="External"/><Relationship Id="rId276" Type="http://schemas.openxmlformats.org/officeDocument/2006/relationships/hyperlink" Target="https://fbref.com/en/players/cde3309f/Karl-Darlow" TargetMode="External"/><Relationship Id="rId397" Type="http://schemas.openxmlformats.org/officeDocument/2006/relationships/hyperlink" Target="https://fbref.com/en/squads/b2b47a98/2018-2019/Newcastle-United-Stats" TargetMode="External"/><Relationship Id="rId40" Type="http://schemas.openxmlformats.org/officeDocument/2006/relationships/hyperlink" Target="https://fbref.com/en/squads/7c21e445/2024-2025/West-Ham-United-Stats" TargetMode="External"/><Relationship Id="rId42" Type="http://schemas.openxmlformats.org/officeDocument/2006/relationships/hyperlink" Target="https://fbref.com/en/players/2f965a72/Alphonse-Areola" TargetMode="External"/><Relationship Id="rId41" Type="http://schemas.openxmlformats.org/officeDocument/2006/relationships/hyperlink" Target="https://fbref.com/en/players/79c84d1c/Jarrod-Bowen" TargetMode="External"/><Relationship Id="rId44" Type="http://schemas.openxmlformats.org/officeDocument/2006/relationships/hyperlink" Target="https://fbref.com/en/players/507c7bdf/Bruno-Fernandes" TargetMode="External"/><Relationship Id="rId43" Type="http://schemas.openxmlformats.org/officeDocument/2006/relationships/hyperlink" Target="https://fbref.com/en/squads/19538871/2024-2025/Manchester-United-Stats" TargetMode="External"/><Relationship Id="rId46" Type="http://schemas.openxmlformats.org/officeDocument/2006/relationships/hyperlink" Target="https://fbref.com/en/squads/8cec06e1/2024-2025/Wolverhampton-Wanderers-Stats" TargetMode="External"/><Relationship Id="rId45" Type="http://schemas.openxmlformats.org/officeDocument/2006/relationships/hyperlink" Target="https://fbref.com/en/players/e9c0c1b2/Andre-Onana" TargetMode="External"/><Relationship Id="rId509" Type="http://schemas.openxmlformats.org/officeDocument/2006/relationships/hyperlink" Target="https://fbref.com/en/players/b318a643/Salomon-Rondon" TargetMode="External"/><Relationship Id="rId508" Type="http://schemas.openxmlformats.org/officeDocument/2006/relationships/hyperlink" Target="https://fbref.com/en/squads/60c6b05f/2016-2017/West-Bromwich-Albion-Stats" TargetMode="External"/><Relationship Id="rId503" Type="http://schemas.openxmlformats.org/officeDocument/2006/relationships/hyperlink" Target="https://fbref.com/en/players/ab651565/Nathan-Redmond" TargetMode="External"/><Relationship Id="rId502" Type="http://schemas.openxmlformats.org/officeDocument/2006/relationships/hyperlink" Target="https://fbref.com/en/squads/33c895d4/2016-2017/Southampton-Stats" TargetMode="External"/><Relationship Id="rId501" Type="http://schemas.openxmlformats.org/officeDocument/2006/relationships/hyperlink" Target="https://fbref.com/en/players/cda0b317/Joel-Robles" TargetMode="External"/><Relationship Id="rId500" Type="http://schemas.openxmlformats.org/officeDocument/2006/relationships/hyperlink" Target="https://fbref.com/en/players/5eae500a/Romelu-Lukaku" TargetMode="External"/><Relationship Id="rId507" Type="http://schemas.openxmlformats.org/officeDocument/2006/relationships/hyperlink" Target="https://fbref.com/en/players/34ccf6fa/Artur-Boruc" TargetMode="External"/><Relationship Id="rId506" Type="http://schemas.openxmlformats.org/officeDocument/2006/relationships/hyperlink" Target="https://fbref.com/en/players/43458538/Joshua-King" TargetMode="External"/><Relationship Id="rId505" Type="http://schemas.openxmlformats.org/officeDocument/2006/relationships/hyperlink" Target="https://fbref.com/en/squads/4ba7cbea/2016-2017/Bournemouth-Stats" TargetMode="External"/><Relationship Id="rId504" Type="http://schemas.openxmlformats.org/officeDocument/2006/relationships/hyperlink" Target="https://fbref.com/en/players/c3e39f12/Fraser-Forster" TargetMode="External"/><Relationship Id="rId48" Type="http://schemas.openxmlformats.org/officeDocument/2006/relationships/hyperlink" Target="https://fbref.com/en/players/903b6e8b/Jose-Sa" TargetMode="External"/><Relationship Id="rId47" Type="http://schemas.openxmlformats.org/officeDocument/2006/relationships/hyperlink" Target="https://fbref.com/en/players/dc62b55d/Matheus-Cunha" TargetMode="External"/><Relationship Id="rId49" Type="http://schemas.openxmlformats.org/officeDocument/2006/relationships/hyperlink" Target="https://fbref.com/en/squads/361ca564/2024-2025/Tottenham-Hotspur-Stats" TargetMode="External"/><Relationship Id="rId31" Type="http://schemas.openxmlformats.org/officeDocument/2006/relationships/hyperlink" Target="https://fbref.com/en/squads/fd962109/2024-2025/Fulham-Stats" TargetMode="External"/><Relationship Id="rId30" Type="http://schemas.openxmlformats.org/officeDocument/2006/relationships/hyperlink" Target="https://fbref.com/en/players/a92ab7be/Mark-Flekken" TargetMode="External"/><Relationship Id="rId33" Type="http://schemas.openxmlformats.org/officeDocument/2006/relationships/hyperlink" Target="https://fbref.com/en/players/2628fd2b/Bernd-Leno" TargetMode="External"/><Relationship Id="rId32" Type="http://schemas.openxmlformats.org/officeDocument/2006/relationships/hyperlink" Target="https://fbref.com/en/players/b561db50/Raul-Jimenez" TargetMode="External"/><Relationship Id="rId35" Type="http://schemas.openxmlformats.org/officeDocument/2006/relationships/hyperlink" Target="https://fbref.com/en/players/50e6dc35/Jean-Philippe-Mateta" TargetMode="External"/><Relationship Id="rId34" Type="http://schemas.openxmlformats.org/officeDocument/2006/relationships/hyperlink" Target="https://fbref.com/en/squads/47c64c55/2024-2025/Crystal-Palace-Stats" TargetMode="External"/><Relationship Id="rId37" Type="http://schemas.openxmlformats.org/officeDocument/2006/relationships/hyperlink" Target="https://fbref.com/en/squads/d3fd31cc/2024-2025/Everton-Stats" TargetMode="External"/><Relationship Id="rId36" Type="http://schemas.openxmlformats.org/officeDocument/2006/relationships/hyperlink" Target="https://fbref.com/en/players/e5a76dfe/Dean-Henderson" TargetMode="External"/><Relationship Id="rId39" Type="http://schemas.openxmlformats.org/officeDocument/2006/relationships/hyperlink" Target="https://fbref.com/en/players/4806ec67/Jordan-Pickford" TargetMode="External"/><Relationship Id="rId38" Type="http://schemas.openxmlformats.org/officeDocument/2006/relationships/hyperlink" Target="https://fbref.com/en/players/5ed97752/Iliman-Ndiaye" TargetMode="External"/><Relationship Id="rId20" Type="http://schemas.openxmlformats.org/officeDocument/2006/relationships/hyperlink" Target="https://fbref.com/en/players/4e9a0555/Chris-Wood" TargetMode="External"/><Relationship Id="rId22" Type="http://schemas.openxmlformats.org/officeDocument/2006/relationships/hyperlink" Target="https://fbref.com/en/squads/d07537b9/2024-2025/Brighton-and-Hove-Albion-Stats" TargetMode="External"/><Relationship Id="rId21" Type="http://schemas.openxmlformats.org/officeDocument/2006/relationships/hyperlink" Target="https://fbref.com/en/players/834b5c4c/Matz-Sels" TargetMode="External"/><Relationship Id="rId24" Type="http://schemas.openxmlformats.org/officeDocument/2006/relationships/hyperlink" Target="https://fbref.com/en/players/cf134113/Bart-Verbruggen" TargetMode="External"/><Relationship Id="rId23" Type="http://schemas.openxmlformats.org/officeDocument/2006/relationships/hyperlink" Target="https://fbref.com/en/players/ce5143da/Danny-Welbeck" TargetMode="External"/><Relationship Id="rId409" Type="http://schemas.openxmlformats.org/officeDocument/2006/relationships/hyperlink" Target="https://fbref.com/en/squads/d07537b9/2018-2019/Brighton-and-Hove-Albion-Stats" TargetMode="External"/><Relationship Id="rId404" Type="http://schemas.openxmlformats.org/officeDocument/2006/relationships/hyperlink" Target="https://fbref.com/en/players/2691c772/Ashley-Barnes" TargetMode="External"/><Relationship Id="rId525" Type="http://schemas.openxmlformats.org/officeDocument/2006/relationships/hyperlink" Target="https://fbref.com/en/players/9328b835/Lukasz-Fabianski" TargetMode="External"/><Relationship Id="rId403" Type="http://schemas.openxmlformats.org/officeDocument/2006/relationships/hyperlink" Target="https://fbref.com/en/squads/943e8050/2018-2019/Burnley-Stats" TargetMode="External"/><Relationship Id="rId524" Type="http://schemas.openxmlformats.org/officeDocument/2006/relationships/hyperlink" Target="https://fbref.com/en/players/82dbf623/Fernando-Llorente" TargetMode="External"/><Relationship Id="rId402" Type="http://schemas.openxmlformats.org/officeDocument/2006/relationships/hyperlink" Target="https://fbref.com/en/players/7b4de647/Asmir-Begovic" TargetMode="External"/><Relationship Id="rId523" Type="http://schemas.openxmlformats.org/officeDocument/2006/relationships/hyperlink" Target="https://fbref.com/en/squads/fb10988f/2016-2017/Swansea-City-Stats" TargetMode="External"/><Relationship Id="rId401" Type="http://schemas.openxmlformats.org/officeDocument/2006/relationships/hyperlink" Target="https://fbref.com/en/players/c596fcb0/Callum-Wilson" TargetMode="External"/><Relationship Id="rId522" Type="http://schemas.openxmlformats.org/officeDocument/2006/relationships/hyperlink" Target="https://fbref.com/en/players/76eca7e2/Wayne-Hennessey" TargetMode="External"/><Relationship Id="rId408" Type="http://schemas.openxmlformats.org/officeDocument/2006/relationships/hyperlink" Target="https://fbref.com/en/players/36c2ca73/Alex-McCarthy" TargetMode="External"/><Relationship Id="rId529" Type="http://schemas.openxmlformats.org/officeDocument/2006/relationships/hyperlink" Target="https://fbref.com/en/squads/2abfe087/2016-2017/Watford-Stats" TargetMode="External"/><Relationship Id="rId407" Type="http://schemas.openxmlformats.org/officeDocument/2006/relationships/hyperlink" Target="https://fbref.com/en/players/07802f7f/Danny-Ings" TargetMode="External"/><Relationship Id="rId528" Type="http://schemas.openxmlformats.org/officeDocument/2006/relationships/hyperlink" Target="https://fbref.com/en/players/a6de6361/Tom-Heaton" TargetMode="External"/><Relationship Id="rId406" Type="http://schemas.openxmlformats.org/officeDocument/2006/relationships/hyperlink" Target="https://fbref.com/en/squads/33c895d4/2018-2019/Southampton-Stats" TargetMode="External"/><Relationship Id="rId527" Type="http://schemas.openxmlformats.org/officeDocument/2006/relationships/hyperlink" Target="https://fbref.com/en/players/1d6ac165/Sam-Vokes" TargetMode="External"/><Relationship Id="rId405" Type="http://schemas.openxmlformats.org/officeDocument/2006/relationships/hyperlink" Target="https://fbref.com/en/players/a6de6361/Tom-Heaton" TargetMode="External"/><Relationship Id="rId526" Type="http://schemas.openxmlformats.org/officeDocument/2006/relationships/hyperlink" Target="https://fbref.com/en/squads/943e8050/2016-2017/Burnley-Stats" TargetMode="External"/><Relationship Id="rId26" Type="http://schemas.openxmlformats.org/officeDocument/2006/relationships/hyperlink" Target="https://fbref.com/en/players/4c3a6744/Justin-Kluivert" TargetMode="External"/><Relationship Id="rId25" Type="http://schemas.openxmlformats.org/officeDocument/2006/relationships/hyperlink" Target="https://fbref.com/en/squads/4ba7cbea/2024-2025/Bournemouth-Stats" TargetMode="External"/><Relationship Id="rId28" Type="http://schemas.openxmlformats.org/officeDocument/2006/relationships/hyperlink" Target="https://fbref.com/en/squads/cd051869/2024-2025/Brentford-Stats" TargetMode="External"/><Relationship Id="rId27" Type="http://schemas.openxmlformats.org/officeDocument/2006/relationships/hyperlink" Target="https://fbref.com/en/players/28d596a0/Kepa-Arrizabalaga" TargetMode="External"/><Relationship Id="rId400" Type="http://schemas.openxmlformats.org/officeDocument/2006/relationships/hyperlink" Target="https://fbref.com/en/squads/4ba7cbea/2018-2019/Bournemouth-Stats" TargetMode="External"/><Relationship Id="rId521" Type="http://schemas.openxmlformats.org/officeDocument/2006/relationships/hyperlink" Target="https://fbref.com/en/players/ab070c55/Christian-Benteke" TargetMode="External"/><Relationship Id="rId29" Type="http://schemas.openxmlformats.org/officeDocument/2006/relationships/hyperlink" Target="https://fbref.com/en/players/6afaebf2/Bryan-Mbeumo" TargetMode="External"/><Relationship Id="rId520" Type="http://schemas.openxmlformats.org/officeDocument/2006/relationships/hyperlink" Target="https://fbref.com/en/squads/47c64c55/2016-2017/Crystal-Palace-Stats" TargetMode="External"/><Relationship Id="rId11" Type="http://schemas.openxmlformats.org/officeDocument/2006/relationships/hyperlink" Target="https://fbref.com/en/players/dc7f8a28/Cole-Palmer" TargetMode="External"/><Relationship Id="rId10" Type="http://schemas.openxmlformats.org/officeDocument/2006/relationships/hyperlink" Target="https://fbref.com/en/squads/cff3d9bb/2024-2025/Chelsea-Stats" TargetMode="External"/><Relationship Id="rId13" Type="http://schemas.openxmlformats.org/officeDocument/2006/relationships/hyperlink" Target="https://fbref.com/en/squads/b2b47a98/2024-2025/Newcastle-United-Stats" TargetMode="External"/><Relationship Id="rId12" Type="http://schemas.openxmlformats.org/officeDocument/2006/relationships/hyperlink" Target="https://fbref.com/en/players/6a713852/Robert-Sanchez" TargetMode="External"/><Relationship Id="rId519" Type="http://schemas.openxmlformats.org/officeDocument/2006/relationships/hyperlink" Target="https://fbref.com/en/players/9dab6e3b/Lee-Grant" TargetMode="External"/><Relationship Id="rId514" Type="http://schemas.openxmlformats.org/officeDocument/2006/relationships/hyperlink" Target="https://fbref.com/en/squads/a2d435b3/2016-2017/Leicester-City-Stats" TargetMode="External"/><Relationship Id="rId513" Type="http://schemas.openxmlformats.org/officeDocument/2006/relationships/hyperlink" Target="https://fbref.com/en/players/6385ebfb/Darren-Randolph" TargetMode="External"/><Relationship Id="rId512" Type="http://schemas.openxmlformats.org/officeDocument/2006/relationships/hyperlink" Target="https://fbref.com/en/players/ac05f970/Michail-Antonio" TargetMode="External"/><Relationship Id="rId511" Type="http://schemas.openxmlformats.org/officeDocument/2006/relationships/hyperlink" Target="https://fbref.com/en/squads/7c21e445/2016-2017/West-Ham-United-Stats" TargetMode="External"/><Relationship Id="rId518" Type="http://schemas.openxmlformats.org/officeDocument/2006/relationships/hyperlink" Target="https://fbref.com/en/players/73d9bdc7/Peter-Crouch" TargetMode="External"/><Relationship Id="rId517" Type="http://schemas.openxmlformats.org/officeDocument/2006/relationships/hyperlink" Target="https://fbref.com/en/squads/17892952/2016-2017/Stoke-City-Stats" TargetMode="External"/><Relationship Id="rId516" Type="http://schemas.openxmlformats.org/officeDocument/2006/relationships/hyperlink" Target="https://fbref.com/en/players/53af52f3/Kasper-Schmeichel" TargetMode="External"/><Relationship Id="rId515" Type="http://schemas.openxmlformats.org/officeDocument/2006/relationships/hyperlink" Target="https://fbref.com/en/players/45963054/Jamie-Vardy" TargetMode="External"/><Relationship Id="rId15" Type="http://schemas.openxmlformats.org/officeDocument/2006/relationships/hyperlink" Target="https://fbref.com/en/players/4b40d9ca/Nick-Pope" TargetMode="External"/><Relationship Id="rId14" Type="http://schemas.openxmlformats.org/officeDocument/2006/relationships/hyperlink" Target="https://fbref.com/en/players/8e92be30/Alexander-Isak" TargetMode="External"/><Relationship Id="rId17" Type="http://schemas.openxmlformats.org/officeDocument/2006/relationships/hyperlink" Target="https://fbref.com/en/players/aed3a70f/Ollie-Watkins" TargetMode="External"/><Relationship Id="rId16" Type="http://schemas.openxmlformats.org/officeDocument/2006/relationships/hyperlink" Target="https://fbref.com/en/squads/8602292d/2024-2025/Aston-Villa-Stats" TargetMode="External"/><Relationship Id="rId19" Type="http://schemas.openxmlformats.org/officeDocument/2006/relationships/hyperlink" Target="https://fbref.com/en/squads/e4a775cb/2024-2025/Nottingham-Forest-Stats" TargetMode="External"/><Relationship Id="rId510" Type="http://schemas.openxmlformats.org/officeDocument/2006/relationships/hyperlink" Target="https://fbref.com/en/players/d0b3ceb9/Ben-Foster" TargetMode="External"/><Relationship Id="rId18" Type="http://schemas.openxmlformats.org/officeDocument/2006/relationships/hyperlink" Target="https://fbref.com/en/players/7956236f/Emiliano-Martinez" TargetMode="External"/><Relationship Id="rId84" Type="http://schemas.openxmlformats.org/officeDocument/2006/relationships/hyperlink" Target="https://fbref.com/en/players/e9c0c1b2/Andre-Onana" TargetMode="External"/><Relationship Id="rId83" Type="http://schemas.openxmlformats.org/officeDocument/2006/relationships/hyperlink" Target="https://fbref.com/en/players/491a433d/Rasmus-Hojlund" TargetMode="External"/><Relationship Id="rId86" Type="http://schemas.openxmlformats.org/officeDocument/2006/relationships/hyperlink" Target="https://fbref.com/en/players/79c84d1c/Jarrod-Bowen" TargetMode="External"/><Relationship Id="rId85" Type="http://schemas.openxmlformats.org/officeDocument/2006/relationships/hyperlink" Target="https://fbref.com/en/squads/7c21e445/2023-2024/West-Ham-United-Stats" TargetMode="External"/><Relationship Id="rId88" Type="http://schemas.openxmlformats.org/officeDocument/2006/relationships/hyperlink" Target="https://fbref.com/en/squads/47c64c55/2023-2024/Crystal-Palace-Stats" TargetMode="External"/><Relationship Id="rId87" Type="http://schemas.openxmlformats.org/officeDocument/2006/relationships/hyperlink" Target="https://fbref.com/en/players/2f965a72/Alphonse-Areola" TargetMode="External"/><Relationship Id="rId89" Type="http://schemas.openxmlformats.org/officeDocument/2006/relationships/hyperlink" Target="https://fbref.com/en/players/50e6dc35/Jean-Philippe-Mateta" TargetMode="External"/><Relationship Id="rId80" Type="http://schemas.openxmlformats.org/officeDocument/2006/relationships/hyperlink" Target="https://fbref.com/en/players/8e92be30/Alexander-Isak" TargetMode="External"/><Relationship Id="rId82" Type="http://schemas.openxmlformats.org/officeDocument/2006/relationships/hyperlink" Target="https://fbref.com/en/squads/19538871/2023-2024/Manchester-United-Stats" TargetMode="External"/><Relationship Id="rId81" Type="http://schemas.openxmlformats.org/officeDocument/2006/relationships/hyperlink" Target="https://fbref.com/en/players/3a949a25/Martin-Dubravka" TargetMode="External"/><Relationship Id="rId73" Type="http://schemas.openxmlformats.org/officeDocument/2006/relationships/hyperlink" Target="https://fbref.com/en/squads/361ca564/2023-2024/Tottenham-Hotspur-Stats" TargetMode="External"/><Relationship Id="rId72" Type="http://schemas.openxmlformats.org/officeDocument/2006/relationships/hyperlink" Target="https://fbref.com/en/players/7956236f/Emiliano-Martinez" TargetMode="External"/><Relationship Id="rId75" Type="http://schemas.openxmlformats.org/officeDocument/2006/relationships/hyperlink" Target="https://fbref.com/en/players/77d6fd4d/Guglielmo-Vicario" TargetMode="External"/><Relationship Id="rId74" Type="http://schemas.openxmlformats.org/officeDocument/2006/relationships/hyperlink" Target="https://fbref.com/en/players/92e7e919/Son-Heung-min" TargetMode="External"/><Relationship Id="rId77" Type="http://schemas.openxmlformats.org/officeDocument/2006/relationships/hyperlink" Target="https://fbref.com/en/players/dc7f8a28/Cole-Palmer" TargetMode="External"/><Relationship Id="rId76" Type="http://schemas.openxmlformats.org/officeDocument/2006/relationships/hyperlink" Target="https://fbref.com/en/squads/cff3d9bb/2023-2024/Chelsea-Stats" TargetMode="External"/><Relationship Id="rId79" Type="http://schemas.openxmlformats.org/officeDocument/2006/relationships/hyperlink" Target="https://fbref.com/en/squads/b2b47a98/2023-2024/Newcastle-United-Stats" TargetMode="External"/><Relationship Id="rId78" Type="http://schemas.openxmlformats.org/officeDocument/2006/relationships/hyperlink" Target="https://fbref.com/en/players/0cf321c8/Djordje-Petrovic" TargetMode="External"/><Relationship Id="rId71" Type="http://schemas.openxmlformats.org/officeDocument/2006/relationships/hyperlink" Target="https://fbref.com/en/players/aed3a70f/Ollie-Watkins" TargetMode="External"/><Relationship Id="rId70" Type="http://schemas.openxmlformats.org/officeDocument/2006/relationships/hyperlink" Target="https://fbref.com/en/squads/8602292d/2023-2024/Aston-Villa-Stats" TargetMode="External"/><Relationship Id="rId62" Type="http://schemas.openxmlformats.org/officeDocument/2006/relationships/hyperlink" Target="https://fbref.com/en/players/1f44ac21/Erling-Haaland" TargetMode="External"/><Relationship Id="rId61" Type="http://schemas.openxmlformats.org/officeDocument/2006/relationships/hyperlink" Target="https://fbref.com/en/squads/b8fd03ef/2023-2024/Manchester-City-Stats" TargetMode="External"/><Relationship Id="rId64" Type="http://schemas.openxmlformats.org/officeDocument/2006/relationships/hyperlink" Target="https://fbref.com/en/squads/18bb7c10/2023-2024/Arsenal-Stats" TargetMode="External"/><Relationship Id="rId63" Type="http://schemas.openxmlformats.org/officeDocument/2006/relationships/hyperlink" Target="https://fbref.com/en/players/3bb7b8b4/Ederson" TargetMode="External"/><Relationship Id="rId66" Type="http://schemas.openxmlformats.org/officeDocument/2006/relationships/hyperlink" Target="https://fbref.com/en/players/98ea5115/David-Raya" TargetMode="External"/><Relationship Id="rId65" Type="http://schemas.openxmlformats.org/officeDocument/2006/relationships/hyperlink" Target="https://fbref.com/en/players/bc7dc64d/Bukayo-Saka" TargetMode="External"/><Relationship Id="rId68" Type="http://schemas.openxmlformats.org/officeDocument/2006/relationships/hyperlink" Target="https://fbref.com/en/players/e342ad68/Mohamed-Salah" TargetMode="External"/><Relationship Id="rId67" Type="http://schemas.openxmlformats.org/officeDocument/2006/relationships/hyperlink" Target="https://fbref.com/en/squads/822bd0ba/2023-2024/Liverpool-Stats" TargetMode="External"/><Relationship Id="rId60" Type="http://schemas.openxmlformats.org/officeDocument/2006/relationships/hyperlink" Target="https://fbref.com/en/players/466fb2c5/Aaron-Ramsdale" TargetMode="External"/><Relationship Id="rId601" Type="http://schemas.openxmlformats.org/officeDocument/2006/relationships/drawing" Target="../drawings/drawing3.xml"/><Relationship Id="rId600" Type="http://schemas.openxmlformats.org/officeDocument/2006/relationships/hyperlink" Target="https://fbref.com/en/players/d899e3bf/Brad-Guzan" TargetMode="External"/><Relationship Id="rId69" Type="http://schemas.openxmlformats.org/officeDocument/2006/relationships/hyperlink" Target="https://fbref.com/en/players/7a2e46a8/Alisson" TargetMode="External"/><Relationship Id="rId51" Type="http://schemas.openxmlformats.org/officeDocument/2006/relationships/hyperlink" Target="https://fbref.com/en/players/77d6fd4d/Guglielmo-Vicario" TargetMode="External"/><Relationship Id="rId50" Type="http://schemas.openxmlformats.org/officeDocument/2006/relationships/hyperlink" Target="https://fbref.com/en/players/0cd31129/Brennan-Johnson" TargetMode="External"/><Relationship Id="rId53" Type="http://schemas.openxmlformats.org/officeDocument/2006/relationships/hyperlink" Target="https://fbref.com/en/players/45963054/Jamie-Vardy" TargetMode="External"/><Relationship Id="rId52" Type="http://schemas.openxmlformats.org/officeDocument/2006/relationships/hyperlink" Target="https://fbref.com/en/squads/a2d435b3/2024-2025/Leicester-City-Stats" TargetMode="External"/><Relationship Id="rId55" Type="http://schemas.openxmlformats.org/officeDocument/2006/relationships/hyperlink" Target="https://fbref.com/en/squads/b74092de/2024-2025/Ipswich-Town-Stats" TargetMode="External"/><Relationship Id="rId54" Type="http://schemas.openxmlformats.org/officeDocument/2006/relationships/hyperlink" Target="https://fbref.com/en/players/c924b17d/Mads-Hermansen" TargetMode="External"/><Relationship Id="rId57" Type="http://schemas.openxmlformats.org/officeDocument/2006/relationships/hyperlink" Target="https://fbref.com/en/players/99aa1a84/Arijanet-Muric" TargetMode="External"/><Relationship Id="rId56" Type="http://schemas.openxmlformats.org/officeDocument/2006/relationships/hyperlink" Target="https://fbref.com/en/players/dd897ee7/Liam-Delap" TargetMode="External"/><Relationship Id="rId59" Type="http://schemas.openxmlformats.org/officeDocument/2006/relationships/hyperlink" Target="https://fbref.com/en/players/c06d1086/Paul-Onuachu" TargetMode="External"/><Relationship Id="rId58" Type="http://schemas.openxmlformats.org/officeDocument/2006/relationships/hyperlink" Target="https://fbref.com/en/squads/33c895d4/2024-2025/Southampton-Stats" TargetMode="External"/><Relationship Id="rId590" Type="http://schemas.openxmlformats.org/officeDocument/2006/relationships/hyperlink" Target="https://fbref.com/en/players/f1e8372d/Jermain-Defoe" TargetMode="External"/><Relationship Id="rId107" Type="http://schemas.openxmlformats.org/officeDocument/2006/relationships/hyperlink" Target="https://fbref.com/en/players/2500cef9/Yoane-Wissa" TargetMode="External"/><Relationship Id="rId228" Type="http://schemas.openxmlformats.org/officeDocument/2006/relationships/hyperlink" Target="https://fbref.com/en/players/4806ec67/Jordan-Pickford" TargetMode="External"/><Relationship Id="rId349" Type="http://schemas.openxmlformats.org/officeDocument/2006/relationships/hyperlink" Target="https://fbref.com/en/squads/8602292d/2019-2020/Aston-Villa-Stats" TargetMode="External"/><Relationship Id="rId106" Type="http://schemas.openxmlformats.org/officeDocument/2006/relationships/hyperlink" Target="https://fbref.com/en/squads/cd051869/2023-2024/Brentford-Stats" TargetMode="External"/><Relationship Id="rId227" Type="http://schemas.openxmlformats.org/officeDocument/2006/relationships/hyperlink" Target="https://fbref.com/en/players/fa031b34/Richarlison" TargetMode="External"/><Relationship Id="rId348" Type="http://schemas.openxmlformats.org/officeDocument/2006/relationships/hyperlink" Target="https://fbref.com/en/players/9328b835/Lukasz-Fabianski" TargetMode="External"/><Relationship Id="rId469" Type="http://schemas.openxmlformats.org/officeDocument/2006/relationships/hyperlink" Target="https://fbref.com/en/squads/33c895d4/2017-2018/Southampton-Stats" TargetMode="External"/><Relationship Id="rId105" Type="http://schemas.openxmlformats.org/officeDocument/2006/relationships/hyperlink" Target="https://fbref.com/en/players/4806ec67/Jordan-Pickford" TargetMode="External"/><Relationship Id="rId226" Type="http://schemas.openxmlformats.org/officeDocument/2006/relationships/hyperlink" Target="https://fbref.com/en/squads/d3fd31cc/2021-2022/Everton-Stats" TargetMode="External"/><Relationship Id="rId347" Type="http://schemas.openxmlformats.org/officeDocument/2006/relationships/hyperlink" Target="https://fbref.com/en/players/ac05f970/Michail-Antonio" TargetMode="External"/><Relationship Id="rId468" Type="http://schemas.openxmlformats.org/officeDocument/2006/relationships/hyperlink" Target="https://fbref.com/en/players/939bc634/Jonas-Lossl" TargetMode="External"/><Relationship Id="rId589" Type="http://schemas.openxmlformats.org/officeDocument/2006/relationships/hyperlink" Target="https://fbref.com/en/squads/8ef52968/2015-2016/Sunderland-Stats" TargetMode="External"/><Relationship Id="rId104" Type="http://schemas.openxmlformats.org/officeDocument/2006/relationships/hyperlink" Target="https://fbref.com/en/players/02b29014/Abdoulaye-Doucoure" TargetMode="External"/><Relationship Id="rId225" Type="http://schemas.openxmlformats.org/officeDocument/2006/relationships/hyperlink" Target="https://fbref.com/en/players/c3e39f12/Fraser-Forster" TargetMode="External"/><Relationship Id="rId346" Type="http://schemas.openxmlformats.org/officeDocument/2006/relationships/hyperlink" Target="https://fbref.com/en/squads/7c21e445/2019-2020/West-Ham-United-Stats" TargetMode="External"/><Relationship Id="rId467" Type="http://schemas.openxmlformats.org/officeDocument/2006/relationships/hyperlink" Target="https://fbref.com/en/players/19ba6c6d/Steve-Mounie" TargetMode="External"/><Relationship Id="rId588" Type="http://schemas.openxmlformats.org/officeDocument/2006/relationships/hyperlink" Target="https://fbref.com/en/players/34ccf6fa/Artur-Boruc" TargetMode="External"/><Relationship Id="rId109" Type="http://schemas.openxmlformats.org/officeDocument/2006/relationships/hyperlink" Target="https://fbref.com/en/squads/e4a775cb/2023-2024/Nottingham-Forest-Stats" TargetMode="External"/><Relationship Id="rId108" Type="http://schemas.openxmlformats.org/officeDocument/2006/relationships/hyperlink" Target="https://fbref.com/en/players/a92ab7be/Mark-Flekken" TargetMode="External"/><Relationship Id="rId229" Type="http://schemas.openxmlformats.org/officeDocument/2006/relationships/hyperlink" Target="https://fbref.com/en/squads/5bfb9659/2021-2022/Leeds-United-Stats" TargetMode="External"/><Relationship Id="rId220" Type="http://schemas.openxmlformats.org/officeDocument/2006/relationships/hyperlink" Target="https://fbref.com/en/squads/8602292d/2021-2022/Aston-Villa-Stats" TargetMode="External"/><Relationship Id="rId341" Type="http://schemas.openxmlformats.org/officeDocument/2006/relationships/hyperlink" Target="https://fbref.com/en/players/da052c14/Jordan-Ayew" TargetMode="External"/><Relationship Id="rId462" Type="http://schemas.openxmlformats.org/officeDocument/2006/relationships/hyperlink" Target="https://fbref.com/en/players/d596e193/Heurelho-Gomes" TargetMode="External"/><Relationship Id="rId583" Type="http://schemas.openxmlformats.org/officeDocument/2006/relationships/hyperlink" Target="https://fbref.com/en/squads/47c64c55/2015-2016/Crystal-Palace-Stats" TargetMode="External"/><Relationship Id="rId340" Type="http://schemas.openxmlformats.org/officeDocument/2006/relationships/hyperlink" Target="https://fbref.com/en/squads/47c64c55/2019-2020/Crystal-Palace-Stats" TargetMode="External"/><Relationship Id="rId461" Type="http://schemas.openxmlformats.org/officeDocument/2006/relationships/hyperlink" Target="https://fbref.com/en/players/02b29014/Abdoulaye-Doucoure" TargetMode="External"/><Relationship Id="rId582" Type="http://schemas.openxmlformats.org/officeDocument/2006/relationships/hyperlink" Target="https://fbref.com/en/players/7ca2d989/Boaz-Myhill" TargetMode="External"/><Relationship Id="rId460" Type="http://schemas.openxmlformats.org/officeDocument/2006/relationships/hyperlink" Target="https://fbref.com/en/squads/2abfe087/2017-2018/Watford-Stats" TargetMode="External"/><Relationship Id="rId581" Type="http://schemas.openxmlformats.org/officeDocument/2006/relationships/hyperlink" Target="https://fbref.com/en/players/b318a643/Salomon-Rondon" TargetMode="External"/><Relationship Id="rId580" Type="http://schemas.openxmlformats.org/officeDocument/2006/relationships/hyperlink" Target="https://fbref.com/en/squads/60c6b05f/2015-2016/West-Bromwich-Albion-Stats" TargetMode="External"/><Relationship Id="rId103" Type="http://schemas.openxmlformats.org/officeDocument/2006/relationships/hyperlink" Target="https://fbref.com/en/squads/d3fd31cc/2023-2024/Everton-Stats" TargetMode="External"/><Relationship Id="rId224" Type="http://schemas.openxmlformats.org/officeDocument/2006/relationships/hyperlink" Target="https://fbref.com/en/players/3515d404/James-Ward-Prowse" TargetMode="External"/><Relationship Id="rId345" Type="http://schemas.openxmlformats.org/officeDocument/2006/relationships/hyperlink" Target="https://fbref.com/en/players/4535e4bb/Mathew-Ryan" TargetMode="External"/><Relationship Id="rId466" Type="http://schemas.openxmlformats.org/officeDocument/2006/relationships/hyperlink" Target="https://fbref.com/en/squads/f5922ca5/2017-2018/Huddersfield-Town-Stats" TargetMode="External"/><Relationship Id="rId587" Type="http://schemas.openxmlformats.org/officeDocument/2006/relationships/hyperlink" Target="https://fbref.com/en/players/43458538/Joshua-King" TargetMode="External"/><Relationship Id="rId102" Type="http://schemas.openxmlformats.org/officeDocument/2006/relationships/hyperlink" Target="https://fbref.com/en/players/903b6e8b/Jose-Sa" TargetMode="External"/><Relationship Id="rId223" Type="http://schemas.openxmlformats.org/officeDocument/2006/relationships/hyperlink" Target="https://fbref.com/en/squads/33c895d4/2021-2022/Southampton-Stats" TargetMode="External"/><Relationship Id="rId344" Type="http://schemas.openxmlformats.org/officeDocument/2006/relationships/hyperlink" Target="https://fbref.com/en/players/4bcf39f6/Neal-Maupay" TargetMode="External"/><Relationship Id="rId465" Type="http://schemas.openxmlformats.org/officeDocument/2006/relationships/hyperlink" Target="https://fbref.com/en/players/4535e4bb/Mathew-Ryan" TargetMode="External"/><Relationship Id="rId586" Type="http://schemas.openxmlformats.org/officeDocument/2006/relationships/hyperlink" Target="https://fbref.com/en/squads/4ba7cbea/2015-2016/Bournemouth-Stats" TargetMode="External"/><Relationship Id="rId101" Type="http://schemas.openxmlformats.org/officeDocument/2006/relationships/hyperlink" Target="https://fbref.com/en/players/169fd162/Hwang-Hee-chan" TargetMode="External"/><Relationship Id="rId222" Type="http://schemas.openxmlformats.org/officeDocument/2006/relationships/hyperlink" Target="https://fbref.com/en/players/7956236f/Emiliano-Martinez" TargetMode="External"/><Relationship Id="rId343" Type="http://schemas.openxmlformats.org/officeDocument/2006/relationships/hyperlink" Target="https://fbref.com/en/squads/d07537b9/2019-2020/Brighton-and-Hove-Albion-Stats" TargetMode="External"/><Relationship Id="rId464" Type="http://schemas.openxmlformats.org/officeDocument/2006/relationships/hyperlink" Target="https://fbref.com/en/players/f2f29dda/Glenn-Murray" TargetMode="External"/><Relationship Id="rId585" Type="http://schemas.openxmlformats.org/officeDocument/2006/relationships/hyperlink" Target="https://fbref.com/en/players/76eca7e2/Wayne-Hennessey" TargetMode="External"/><Relationship Id="rId100" Type="http://schemas.openxmlformats.org/officeDocument/2006/relationships/hyperlink" Target="https://fbref.com/en/squads/8cec06e1/2023-2024/Wolverhampton-Wanderers-Stats" TargetMode="External"/><Relationship Id="rId221" Type="http://schemas.openxmlformats.org/officeDocument/2006/relationships/hyperlink" Target="https://fbref.com/en/players/aed3a70f/Ollie-Watkins" TargetMode="External"/><Relationship Id="rId342" Type="http://schemas.openxmlformats.org/officeDocument/2006/relationships/hyperlink" Target="https://fbref.com/en/players/ab13a5aa/Vicente-Guaita" TargetMode="External"/><Relationship Id="rId463" Type="http://schemas.openxmlformats.org/officeDocument/2006/relationships/hyperlink" Target="https://fbref.com/en/squads/d07537b9/2017-2018/Brighton-and-Hove-Albion-Stats" TargetMode="External"/><Relationship Id="rId584" Type="http://schemas.openxmlformats.org/officeDocument/2006/relationships/hyperlink" Target="https://fbref.com/en/players/52105203/Scott-Dann" TargetMode="External"/><Relationship Id="rId217" Type="http://schemas.openxmlformats.org/officeDocument/2006/relationships/hyperlink" Target="https://fbref.com/en/squads/cd051869/2021-2022/Brentford-Stats" TargetMode="External"/><Relationship Id="rId338" Type="http://schemas.openxmlformats.org/officeDocument/2006/relationships/hyperlink" Target="https://fbref.com/en/players/3727dd3c/Jonjo-Shelvey" TargetMode="External"/><Relationship Id="rId459" Type="http://schemas.openxmlformats.org/officeDocument/2006/relationships/hyperlink" Target="https://fbref.com/en/players/cb4f24c6/Joe-Hart" TargetMode="External"/><Relationship Id="rId216" Type="http://schemas.openxmlformats.org/officeDocument/2006/relationships/hyperlink" Target="https://fbref.com/en/players/ab13a5aa/Vicente-Guaita" TargetMode="External"/><Relationship Id="rId337" Type="http://schemas.openxmlformats.org/officeDocument/2006/relationships/hyperlink" Target="https://fbref.com/en/squads/b2b47a98/2019-2020/Newcastle-United-Stats" TargetMode="External"/><Relationship Id="rId458" Type="http://schemas.openxmlformats.org/officeDocument/2006/relationships/hyperlink" Target="https://fbref.com/en/players/00459419/Marko-Arnautovic" TargetMode="External"/><Relationship Id="rId579" Type="http://schemas.openxmlformats.org/officeDocument/2006/relationships/hyperlink" Target="https://fbref.com/en/players/d596e193/Heurelho-Gomes" TargetMode="External"/><Relationship Id="rId215" Type="http://schemas.openxmlformats.org/officeDocument/2006/relationships/hyperlink" Target="https://fbref.com/en/players/b2bc3b1f/Wilfried-Zaha" TargetMode="External"/><Relationship Id="rId336" Type="http://schemas.openxmlformats.org/officeDocument/2006/relationships/hyperlink" Target="https://fbref.com/en/players/4806ec67/Jordan-Pickford" TargetMode="External"/><Relationship Id="rId457" Type="http://schemas.openxmlformats.org/officeDocument/2006/relationships/hyperlink" Target="https://fbref.com/en/squads/7c21e445/2017-2018/West-Ham-United-Stats" TargetMode="External"/><Relationship Id="rId578" Type="http://schemas.openxmlformats.org/officeDocument/2006/relationships/hyperlink" Target="https://fbref.com/en/players/03622183/Odion-Ighalo" TargetMode="External"/><Relationship Id="rId214" Type="http://schemas.openxmlformats.org/officeDocument/2006/relationships/hyperlink" Target="https://fbref.com/en/squads/47c64c55/2021-2022/Crystal-Palace-Stats" TargetMode="External"/><Relationship Id="rId335" Type="http://schemas.openxmlformats.org/officeDocument/2006/relationships/hyperlink" Target="https://fbref.com/en/players/59e6e5bf/Dominic-Calvert-Lewin" TargetMode="External"/><Relationship Id="rId456" Type="http://schemas.openxmlformats.org/officeDocument/2006/relationships/hyperlink" Target="https://fbref.com/en/players/7b4de647/Asmir-Begovic" TargetMode="External"/><Relationship Id="rId577" Type="http://schemas.openxmlformats.org/officeDocument/2006/relationships/hyperlink" Target="https://fbref.com/en/squads/2abfe087/2015-2016/Watford-Stats" TargetMode="External"/><Relationship Id="rId219" Type="http://schemas.openxmlformats.org/officeDocument/2006/relationships/hyperlink" Target="https://fbref.com/en/players/98ea5115/David-Raya" TargetMode="External"/><Relationship Id="rId218" Type="http://schemas.openxmlformats.org/officeDocument/2006/relationships/hyperlink" Target="https://fbref.com/en/players/e09f279b/Ivan-Toney" TargetMode="External"/><Relationship Id="rId339" Type="http://schemas.openxmlformats.org/officeDocument/2006/relationships/hyperlink" Target="https://fbref.com/en/players/3a949a25/Martin-Dubravka" TargetMode="External"/><Relationship Id="rId330" Type="http://schemas.openxmlformats.org/officeDocument/2006/relationships/hyperlink" Target="https://fbref.com/en/players/4b40d9ca/Nick-Pope" TargetMode="External"/><Relationship Id="rId451" Type="http://schemas.openxmlformats.org/officeDocument/2006/relationships/hyperlink" Target="https://fbref.com/en/squads/47c64c55/2017-2018/Crystal-Palace-Stats" TargetMode="External"/><Relationship Id="rId572" Type="http://schemas.openxmlformats.org/officeDocument/2006/relationships/hyperlink" Target="https://fbref.com/en/players/5eae500a/Romelu-Lukaku" TargetMode="External"/><Relationship Id="rId450" Type="http://schemas.openxmlformats.org/officeDocument/2006/relationships/hyperlink" Target="https://fbref.com/en/players/b1b25949/Rob-Elliot" TargetMode="External"/><Relationship Id="rId571" Type="http://schemas.openxmlformats.org/officeDocument/2006/relationships/hyperlink" Target="https://fbref.com/en/squads/d3fd31cc/2015-2016/Everton-Stats" TargetMode="External"/><Relationship Id="rId570" Type="http://schemas.openxmlformats.org/officeDocument/2006/relationships/hyperlink" Target="https://fbref.com/en/players/1840e36d/Thibaut-Courtois" TargetMode="External"/><Relationship Id="rId213" Type="http://schemas.openxmlformats.org/officeDocument/2006/relationships/hyperlink" Target="https://fbref.com/en/players/3a949a25/Martin-Dubravka" TargetMode="External"/><Relationship Id="rId334" Type="http://schemas.openxmlformats.org/officeDocument/2006/relationships/hyperlink" Target="https://fbref.com/en/squads/d3fd31cc/2019-2020/Everton-Stats" TargetMode="External"/><Relationship Id="rId455" Type="http://schemas.openxmlformats.org/officeDocument/2006/relationships/hyperlink" Target="https://fbref.com/en/players/43458538/Joshua-King" TargetMode="External"/><Relationship Id="rId576" Type="http://schemas.openxmlformats.org/officeDocument/2006/relationships/hyperlink" Target="https://fbref.com/en/players/9328b835/Lukasz-Fabianski" TargetMode="External"/><Relationship Id="rId212" Type="http://schemas.openxmlformats.org/officeDocument/2006/relationships/hyperlink" Target="https://fbref.com/en/players/c596fcb0/Callum-Wilson" TargetMode="External"/><Relationship Id="rId333" Type="http://schemas.openxmlformats.org/officeDocument/2006/relationships/hyperlink" Target="https://fbref.com/en/players/36c2ca73/Alex-McCarthy" TargetMode="External"/><Relationship Id="rId454" Type="http://schemas.openxmlformats.org/officeDocument/2006/relationships/hyperlink" Target="https://fbref.com/en/squads/4ba7cbea/2017-2018/Bournemouth-Stats" TargetMode="External"/><Relationship Id="rId575" Type="http://schemas.openxmlformats.org/officeDocument/2006/relationships/hyperlink" Target="https://fbref.com/en/players/5dbefa9d/Andre-Ayew" TargetMode="External"/><Relationship Id="rId211" Type="http://schemas.openxmlformats.org/officeDocument/2006/relationships/hyperlink" Target="https://fbref.com/en/squads/b2b47a98/2021-2022/Newcastle-United-Stats" TargetMode="External"/><Relationship Id="rId332" Type="http://schemas.openxmlformats.org/officeDocument/2006/relationships/hyperlink" Target="https://fbref.com/en/players/07802f7f/Danny-Ings" TargetMode="External"/><Relationship Id="rId453" Type="http://schemas.openxmlformats.org/officeDocument/2006/relationships/hyperlink" Target="https://fbref.com/en/players/76eca7e2/Wayne-Hennessey" TargetMode="External"/><Relationship Id="rId574" Type="http://schemas.openxmlformats.org/officeDocument/2006/relationships/hyperlink" Target="https://fbref.com/en/squads/fb10988f/2015-2016/Swansea-City-Stats" TargetMode="External"/><Relationship Id="rId210" Type="http://schemas.openxmlformats.org/officeDocument/2006/relationships/hyperlink" Target="https://fbref.com/en/players/903b6e8b/Jose-Sa" TargetMode="External"/><Relationship Id="rId331" Type="http://schemas.openxmlformats.org/officeDocument/2006/relationships/hyperlink" Target="https://fbref.com/en/squads/33c895d4/2019-2020/Southampton-Stats" TargetMode="External"/><Relationship Id="rId452" Type="http://schemas.openxmlformats.org/officeDocument/2006/relationships/hyperlink" Target="https://fbref.com/en/players/2ce2508a/Luka-Milivojevic" TargetMode="External"/><Relationship Id="rId573" Type="http://schemas.openxmlformats.org/officeDocument/2006/relationships/hyperlink" Target="https://fbref.com/en/players/c444465e/Tim-Howard" TargetMode="External"/><Relationship Id="rId370" Type="http://schemas.openxmlformats.org/officeDocument/2006/relationships/hyperlink" Target="https://fbref.com/en/squads/361ca564/2018-2019/Tottenham-Hotspur-Stats" TargetMode="External"/><Relationship Id="rId491" Type="http://schemas.openxmlformats.org/officeDocument/2006/relationships/hyperlink" Target="https://fbref.com/en/players/0ef89a37/Philippe-Coutinho" TargetMode="External"/><Relationship Id="rId490" Type="http://schemas.openxmlformats.org/officeDocument/2006/relationships/hyperlink" Target="https://fbref.com/en/squads/822bd0ba/2016-2017/Liverpool-Stats" TargetMode="External"/><Relationship Id="rId129" Type="http://schemas.openxmlformats.org/officeDocument/2006/relationships/hyperlink" Target="https://fbref.com/en/players/7ba6d84e/David-de-Gea" TargetMode="External"/><Relationship Id="rId128" Type="http://schemas.openxmlformats.org/officeDocument/2006/relationships/hyperlink" Target="https://fbref.com/en/players/a1d5bd30/Marcus-Rashford" TargetMode="External"/><Relationship Id="rId249" Type="http://schemas.openxmlformats.org/officeDocument/2006/relationships/hyperlink" Target="https://fbref.com/en/players/7a2e46a8/Alisson" TargetMode="External"/><Relationship Id="rId127" Type="http://schemas.openxmlformats.org/officeDocument/2006/relationships/hyperlink" Target="https://fbref.com/en/squads/19538871/2022-2023/Manchester-United-Stats" TargetMode="External"/><Relationship Id="rId248" Type="http://schemas.openxmlformats.org/officeDocument/2006/relationships/hyperlink" Target="https://fbref.com/en/players/e342ad68/Mohamed-Salah" TargetMode="External"/><Relationship Id="rId369" Type="http://schemas.openxmlformats.org/officeDocument/2006/relationships/hyperlink" Target="https://fbref.com/en/players/28d596a0/Kepa-Arrizabalaga" TargetMode="External"/><Relationship Id="rId126" Type="http://schemas.openxmlformats.org/officeDocument/2006/relationships/hyperlink" Target="https://fbref.com/en/players/466fb2c5/Aaron-Ramsdale" TargetMode="External"/><Relationship Id="rId247" Type="http://schemas.openxmlformats.org/officeDocument/2006/relationships/hyperlink" Target="https://fbref.com/en/squads/822bd0ba/2020-2021/Liverpool-Stats" TargetMode="External"/><Relationship Id="rId368" Type="http://schemas.openxmlformats.org/officeDocument/2006/relationships/hyperlink" Target="https://fbref.com/en/players/a39bb753/Eden-Hazard" TargetMode="External"/><Relationship Id="rId489" Type="http://schemas.openxmlformats.org/officeDocument/2006/relationships/hyperlink" Target="https://fbref.com/en/players/10072610/Claudio-Bravo" TargetMode="External"/><Relationship Id="rId121" Type="http://schemas.openxmlformats.org/officeDocument/2006/relationships/hyperlink" Target="https://fbref.com/en/squads/b8fd03ef/2022-2023/Manchester-City-Stats" TargetMode="External"/><Relationship Id="rId242" Type="http://schemas.openxmlformats.org/officeDocument/2006/relationships/hyperlink" Target="https://fbref.com/en/players/819b3158/Ilkay-Gundogan" TargetMode="External"/><Relationship Id="rId363" Type="http://schemas.openxmlformats.org/officeDocument/2006/relationships/hyperlink" Target="https://fbref.com/en/players/3bb7b8b4/Ederson" TargetMode="External"/><Relationship Id="rId484" Type="http://schemas.openxmlformats.org/officeDocument/2006/relationships/hyperlink" Target="https://fbref.com/en/squads/361ca564/2016-2017/Tottenham-Hotspur-Stats" TargetMode="External"/><Relationship Id="rId120" Type="http://schemas.openxmlformats.org/officeDocument/2006/relationships/hyperlink" Target="https://fbref.com/en/players/96cf7b61/Wes-Foderingham" TargetMode="External"/><Relationship Id="rId241" Type="http://schemas.openxmlformats.org/officeDocument/2006/relationships/hyperlink" Target="https://fbref.com/en/squads/b8fd03ef/2020-2021/Manchester-City-Stats" TargetMode="External"/><Relationship Id="rId362" Type="http://schemas.openxmlformats.org/officeDocument/2006/relationships/hyperlink" Target="https://fbref.com/en/players/4d034881/Sergio-Aguero" TargetMode="External"/><Relationship Id="rId483" Type="http://schemas.openxmlformats.org/officeDocument/2006/relationships/hyperlink" Target="https://fbref.com/en/players/1840e36d/Thibaut-Courtois" TargetMode="External"/><Relationship Id="rId240" Type="http://schemas.openxmlformats.org/officeDocument/2006/relationships/hyperlink" Target="https://fbref.com/en/players/f23f9d20/Tim-Krul" TargetMode="External"/><Relationship Id="rId361" Type="http://schemas.openxmlformats.org/officeDocument/2006/relationships/hyperlink" Target="https://fbref.com/en/squads/b8fd03ef/2018-2019/Manchester-City-Stats" TargetMode="External"/><Relationship Id="rId482" Type="http://schemas.openxmlformats.org/officeDocument/2006/relationships/hyperlink" Target="https://fbref.com/en/players/a190d597/Diego-Costa" TargetMode="External"/><Relationship Id="rId360" Type="http://schemas.openxmlformats.org/officeDocument/2006/relationships/hyperlink" Target="https://fbref.com/en/players/f23f9d20/Tim-Krul" TargetMode="External"/><Relationship Id="rId481" Type="http://schemas.openxmlformats.org/officeDocument/2006/relationships/hyperlink" Target="https://fbref.com/en/squads/cff3d9bb/2016-2017/Chelsea-Stats" TargetMode="External"/><Relationship Id="rId125" Type="http://schemas.openxmlformats.org/officeDocument/2006/relationships/hyperlink" Target="https://fbref.com/en/players/79300479/Martin-Odegaard" TargetMode="External"/><Relationship Id="rId246" Type="http://schemas.openxmlformats.org/officeDocument/2006/relationships/hyperlink" Target="https://fbref.com/en/players/7ba6d84e/David-de-Gea" TargetMode="External"/><Relationship Id="rId367" Type="http://schemas.openxmlformats.org/officeDocument/2006/relationships/hyperlink" Target="https://fbref.com/en/squads/cff3d9bb/2018-2019/Chelsea-Stats" TargetMode="External"/><Relationship Id="rId488" Type="http://schemas.openxmlformats.org/officeDocument/2006/relationships/hyperlink" Target="https://fbref.com/en/players/4d034881/Sergio-Aguero" TargetMode="External"/><Relationship Id="rId124" Type="http://schemas.openxmlformats.org/officeDocument/2006/relationships/hyperlink" Target="https://fbref.com/en/squads/18bb7c10/2022-2023/Arsenal-Stats" TargetMode="External"/><Relationship Id="rId245" Type="http://schemas.openxmlformats.org/officeDocument/2006/relationships/hyperlink" Target="https://fbref.com/en/players/507c7bdf/Bruno-Fernandes" TargetMode="External"/><Relationship Id="rId366" Type="http://schemas.openxmlformats.org/officeDocument/2006/relationships/hyperlink" Target="https://fbref.com/en/players/7a2e46a8/Alisson" TargetMode="External"/><Relationship Id="rId487" Type="http://schemas.openxmlformats.org/officeDocument/2006/relationships/hyperlink" Target="https://fbref.com/en/squads/b8fd03ef/2016-2017/Manchester-City-Stats" TargetMode="External"/><Relationship Id="rId123" Type="http://schemas.openxmlformats.org/officeDocument/2006/relationships/hyperlink" Target="https://fbref.com/en/players/3bb7b8b4/Ederson" TargetMode="External"/><Relationship Id="rId244" Type="http://schemas.openxmlformats.org/officeDocument/2006/relationships/hyperlink" Target="https://fbref.com/en/squads/19538871/2020-2021/Manchester-United-Stats" TargetMode="External"/><Relationship Id="rId365" Type="http://schemas.openxmlformats.org/officeDocument/2006/relationships/hyperlink" Target="https://fbref.com/en/players/c691bfe2/Sadio-Mane" TargetMode="External"/><Relationship Id="rId486" Type="http://schemas.openxmlformats.org/officeDocument/2006/relationships/hyperlink" Target="https://fbref.com/en/players/8f62b6ee/Hugo-Lloris" TargetMode="External"/><Relationship Id="rId122" Type="http://schemas.openxmlformats.org/officeDocument/2006/relationships/hyperlink" Target="https://fbref.com/en/players/1f44ac21/Erling-Haaland" TargetMode="External"/><Relationship Id="rId243" Type="http://schemas.openxmlformats.org/officeDocument/2006/relationships/hyperlink" Target="https://fbref.com/en/players/3bb7b8b4/Ederson" TargetMode="External"/><Relationship Id="rId364" Type="http://schemas.openxmlformats.org/officeDocument/2006/relationships/hyperlink" Target="https://fbref.com/en/squads/822bd0ba/2018-2019/Liverpool-Stats" TargetMode="External"/><Relationship Id="rId485" Type="http://schemas.openxmlformats.org/officeDocument/2006/relationships/hyperlink" Target="https://fbref.com/en/players/21a66f6a/Harry-Kane" TargetMode="External"/><Relationship Id="rId95" Type="http://schemas.openxmlformats.org/officeDocument/2006/relationships/hyperlink" Target="https://fbref.com/en/players/e77dc3b2/Dominic-Solanke" TargetMode="External"/><Relationship Id="rId94" Type="http://schemas.openxmlformats.org/officeDocument/2006/relationships/hyperlink" Target="https://fbref.com/en/squads/4ba7cbea/2023-2024/Bournemouth-Stats" TargetMode="External"/><Relationship Id="rId97" Type="http://schemas.openxmlformats.org/officeDocument/2006/relationships/hyperlink" Target="https://fbref.com/en/squads/fd962109/2023-2024/Fulham-Stats" TargetMode="External"/><Relationship Id="rId96" Type="http://schemas.openxmlformats.org/officeDocument/2006/relationships/hyperlink" Target="https://fbref.com/en/players/a9dc785c/Neto" TargetMode="External"/><Relationship Id="rId99" Type="http://schemas.openxmlformats.org/officeDocument/2006/relationships/hyperlink" Target="https://fbref.com/en/players/2628fd2b/Bernd-Leno" TargetMode="External"/><Relationship Id="rId480" Type="http://schemas.openxmlformats.org/officeDocument/2006/relationships/hyperlink" Target="https://fbref.com/en/players/d0b3ceb9/Ben-Foster" TargetMode="External"/><Relationship Id="rId98" Type="http://schemas.openxmlformats.org/officeDocument/2006/relationships/hyperlink" Target="https://fbref.com/en/players/a755db8c/Rodrigo-Muniz" TargetMode="External"/><Relationship Id="rId91" Type="http://schemas.openxmlformats.org/officeDocument/2006/relationships/hyperlink" Target="https://fbref.com/en/squads/d07537b9/2023-2024/Brighton-and-Hove-Albion-Stats" TargetMode="External"/><Relationship Id="rId90" Type="http://schemas.openxmlformats.org/officeDocument/2006/relationships/hyperlink" Target="https://fbref.com/en/players/9e5708be/Sam-Johnstone" TargetMode="External"/><Relationship Id="rId93" Type="http://schemas.openxmlformats.org/officeDocument/2006/relationships/hyperlink" Target="https://fbref.com/en/players/cf134113/Bart-Verbruggen" TargetMode="External"/><Relationship Id="rId92" Type="http://schemas.openxmlformats.org/officeDocument/2006/relationships/hyperlink" Target="https://fbref.com/en/players/e8832875/Joao-Pedro" TargetMode="External"/><Relationship Id="rId118" Type="http://schemas.openxmlformats.org/officeDocument/2006/relationships/hyperlink" Target="https://fbref.com/en/squads/1df6b87e/2023-2024/Sheffield-United-Stats" TargetMode="External"/><Relationship Id="rId239" Type="http://schemas.openxmlformats.org/officeDocument/2006/relationships/hyperlink" Target="https://fbref.com/en/players/0745b37d/Teemu-Pukki" TargetMode="External"/><Relationship Id="rId117" Type="http://schemas.openxmlformats.org/officeDocument/2006/relationships/hyperlink" Target="https://fbref.com/en/players/259fea27/James-Trafford" TargetMode="External"/><Relationship Id="rId238" Type="http://schemas.openxmlformats.org/officeDocument/2006/relationships/hyperlink" Target="https://fbref.com/en/squads/1c781004/2021-2022/Norwich-City-Stats" TargetMode="External"/><Relationship Id="rId359" Type="http://schemas.openxmlformats.org/officeDocument/2006/relationships/hyperlink" Target="https://fbref.com/en/players/0745b37d/Teemu-Pukki" TargetMode="External"/><Relationship Id="rId116" Type="http://schemas.openxmlformats.org/officeDocument/2006/relationships/hyperlink" Target="https://fbref.com/en/players/4e204552/Jacob-Bruun-Larsen" TargetMode="External"/><Relationship Id="rId237" Type="http://schemas.openxmlformats.org/officeDocument/2006/relationships/hyperlink" Target="https://fbref.com/en/players/d0b3ceb9/Ben-Foster" TargetMode="External"/><Relationship Id="rId358" Type="http://schemas.openxmlformats.org/officeDocument/2006/relationships/hyperlink" Target="https://fbref.com/en/squads/1c781004/2019-2020/Norwich-City-Stats" TargetMode="External"/><Relationship Id="rId479" Type="http://schemas.openxmlformats.org/officeDocument/2006/relationships/hyperlink" Target="https://fbref.com/en/players/4ab53cdb/Jay-Rodriguez" TargetMode="External"/><Relationship Id="rId115" Type="http://schemas.openxmlformats.org/officeDocument/2006/relationships/hyperlink" Target="https://fbref.com/en/squads/943e8050/2023-2024/Burnley-Stats" TargetMode="External"/><Relationship Id="rId236" Type="http://schemas.openxmlformats.org/officeDocument/2006/relationships/hyperlink" Target="https://fbref.com/en/players/2c44a35d/Emmanuel-Dennis" TargetMode="External"/><Relationship Id="rId357" Type="http://schemas.openxmlformats.org/officeDocument/2006/relationships/hyperlink" Target="https://fbref.com/en/players/d0b3ceb9/Ben-Foster" TargetMode="External"/><Relationship Id="rId478" Type="http://schemas.openxmlformats.org/officeDocument/2006/relationships/hyperlink" Target="https://fbref.com/en/squads/60c6b05f/2017-2018/West-Bromwich-Albion-Stats" TargetMode="External"/><Relationship Id="rId599" Type="http://schemas.openxmlformats.org/officeDocument/2006/relationships/hyperlink" Target="https://fbref.com/en/players/da052c14/Jordan-Ayew" TargetMode="External"/><Relationship Id="rId119" Type="http://schemas.openxmlformats.org/officeDocument/2006/relationships/hyperlink" Target="https://fbref.com/en/players/78b8ac63/Oliver-McBurnie" TargetMode="External"/><Relationship Id="rId110" Type="http://schemas.openxmlformats.org/officeDocument/2006/relationships/hyperlink" Target="https://fbref.com/en/players/4e9a0555/Chris-Wood" TargetMode="External"/><Relationship Id="rId231" Type="http://schemas.openxmlformats.org/officeDocument/2006/relationships/hyperlink" Target="https://fbref.com/en/players/6b625ac2/Illan-Meslier" TargetMode="External"/><Relationship Id="rId352" Type="http://schemas.openxmlformats.org/officeDocument/2006/relationships/hyperlink" Target="https://fbref.com/en/squads/4ba7cbea/2019-2020/Bournemouth-Stats" TargetMode="External"/><Relationship Id="rId473" Type="http://schemas.openxmlformats.org/officeDocument/2006/relationships/hyperlink" Target="https://fbref.com/en/players/da052c14/Jordan-Ayew" TargetMode="External"/><Relationship Id="rId594" Type="http://schemas.openxmlformats.org/officeDocument/2006/relationships/hyperlink" Target="https://fbref.com/en/players/b1b25949/Rob-Elliot" TargetMode="External"/><Relationship Id="rId230" Type="http://schemas.openxmlformats.org/officeDocument/2006/relationships/hyperlink" Target="https://fbref.com/en/players/3423f250/Raphinha" TargetMode="External"/><Relationship Id="rId351" Type="http://schemas.openxmlformats.org/officeDocument/2006/relationships/hyperlink" Target="https://fbref.com/en/players/a6de6361/Tom-Heaton" TargetMode="External"/><Relationship Id="rId472" Type="http://schemas.openxmlformats.org/officeDocument/2006/relationships/hyperlink" Target="https://fbref.com/en/squads/fb10988f/2017-2018/Swansea-City-Stats" TargetMode="External"/><Relationship Id="rId593" Type="http://schemas.openxmlformats.org/officeDocument/2006/relationships/hyperlink" Target="https://fbref.com/en/players/eb58eef0/Georginio-Wijnaldum" TargetMode="External"/><Relationship Id="rId350" Type="http://schemas.openxmlformats.org/officeDocument/2006/relationships/hyperlink" Target="https://fbref.com/en/players/b0b4fd3e/Jack-Grealish" TargetMode="External"/><Relationship Id="rId471" Type="http://schemas.openxmlformats.org/officeDocument/2006/relationships/hyperlink" Target="https://fbref.com/en/players/c3e39f12/Fraser-Forster" TargetMode="External"/><Relationship Id="rId592" Type="http://schemas.openxmlformats.org/officeDocument/2006/relationships/hyperlink" Target="https://fbref.com/en/squads/b2b47a98/2015-2016/Newcastle-United-Stats" TargetMode="External"/><Relationship Id="rId470" Type="http://schemas.openxmlformats.org/officeDocument/2006/relationships/hyperlink" Target="https://fbref.com/en/players/8d228291/Charlie-Austin" TargetMode="External"/><Relationship Id="rId591" Type="http://schemas.openxmlformats.org/officeDocument/2006/relationships/hyperlink" Target="https://fbref.com/en/players/c4173f1a/Vito-Mannone" TargetMode="External"/><Relationship Id="rId114" Type="http://schemas.openxmlformats.org/officeDocument/2006/relationships/hyperlink" Target="https://fbref.com/en/players/1caa93a5/Thomas-Kaminski" TargetMode="External"/><Relationship Id="rId235" Type="http://schemas.openxmlformats.org/officeDocument/2006/relationships/hyperlink" Target="https://fbref.com/en/squads/2abfe087/2021-2022/Watford-Stats" TargetMode="External"/><Relationship Id="rId356" Type="http://schemas.openxmlformats.org/officeDocument/2006/relationships/hyperlink" Target="https://fbref.com/en/players/82e34b69/Troy-Deeney" TargetMode="External"/><Relationship Id="rId477" Type="http://schemas.openxmlformats.org/officeDocument/2006/relationships/hyperlink" Target="https://fbref.com/en/players/cc70a1d5/Jack-Butland" TargetMode="External"/><Relationship Id="rId598" Type="http://schemas.openxmlformats.org/officeDocument/2006/relationships/hyperlink" Target="https://fbref.com/en/squads/8602292d/2015-2016/Aston-Villa-Stats" TargetMode="External"/><Relationship Id="rId113" Type="http://schemas.openxmlformats.org/officeDocument/2006/relationships/hyperlink" Target="https://fbref.com/en/players/2da834f1/Carlton-Morris" TargetMode="External"/><Relationship Id="rId234" Type="http://schemas.openxmlformats.org/officeDocument/2006/relationships/hyperlink" Target="https://fbref.com/en/players/4b40d9ca/Nick-Pope" TargetMode="External"/><Relationship Id="rId355" Type="http://schemas.openxmlformats.org/officeDocument/2006/relationships/hyperlink" Target="https://fbref.com/en/squads/2abfe087/2019-2020/Watford-Stats" TargetMode="External"/><Relationship Id="rId476" Type="http://schemas.openxmlformats.org/officeDocument/2006/relationships/hyperlink" Target="https://fbref.com/en/players/6421ec64/Xherdan-Shaqiri" TargetMode="External"/><Relationship Id="rId597" Type="http://schemas.openxmlformats.org/officeDocument/2006/relationships/hyperlink" Target="https://fbref.com/en/players/da8b19e2/John-Ruddy" TargetMode="External"/><Relationship Id="rId112" Type="http://schemas.openxmlformats.org/officeDocument/2006/relationships/hyperlink" Target="https://fbref.com/en/squads/e297cd13/2023-2024/Luton-Town-Stats" TargetMode="External"/><Relationship Id="rId233" Type="http://schemas.openxmlformats.org/officeDocument/2006/relationships/hyperlink" Target="https://fbref.com/en/players/beb391dd/Maxwel-Cornet" TargetMode="External"/><Relationship Id="rId354" Type="http://schemas.openxmlformats.org/officeDocument/2006/relationships/hyperlink" Target="https://fbref.com/en/players/466fb2c5/Aaron-Ramsdale" TargetMode="External"/><Relationship Id="rId475" Type="http://schemas.openxmlformats.org/officeDocument/2006/relationships/hyperlink" Target="https://fbref.com/en/squads/17892952/2017-2018/Stoke-City-Stats" TargetMode="External"/><Relationship Id="rId596" Type="http://schemas.openxmlformats.org/officeDocument/2006/relationships/hyperlink" Target="https://fbref.com/en/players/d9847696/Dieumerci-Mbokani" TargetMode="External"/><Relationship Id="rId111" Type="http://schemas.openxmlformats.org/officeDocument/2006/relationships/hyperlink" Target="https://fbref.com/en/players/4a51ba65/Matt-Turner" TargetMode="External"/><Relationship Id="rId232" Type="http://schemas.openxmlformats.org/officeDocument/2006/relationships/hyperlink" Target="https://fbref.com/en/squads/943e8050/2021-2022/Burnley-Stats" TargetMode="External"/><Relationship Id="rId353" Type="http://schemas.openxmlformats.org/officeDocument/2006/relationships/hyperlink" Target="https://fbref.com/en/players/c596fcb0/Callum-Wilson" TargetMode="External"/><Relationship Id="rId474" Type="http://schemas.openxmlformats.org/officeDocument/2006/relationships/hyperlink" Target="https://fbref.com/en/players/9328b835/Lukasz-Fabianski" TargetMode="External"/><Relationship Id="rId595" Type="http://schemas.openxmlformats.org/officeDocument/2006/relationships/hyperlink" Target="https://fbref.com/en/squads/1c781004/2015-2016/Norwich-City-Stats" TargetMode="External"/><Relationship Id="rId305" Type="http://schemas.openxmlformats.org/officeDocument/2006/relationships/hyperlink" Target="https://fbref.com/en/players/b400bde0/Raheem-Sterling" TargetMode="External"/><Relationship Id="rId426" Type="http://schemas.openxmlformats.org/officeDocument/2006/relationships/hyperlink" Target="https://fbref.com/en/players/7ba6d84e/David-de-Gea" TargetMode="External"/><Relationship Id="rId547" Type="http://schemas.openxmlformats.org/officeDocument/2006/relationships/hyperlink" Target="https://fbref.com/en/squads/361ca564/2015-2016/Tottenham-Hotspur-Stats" TargetMode="External"/><Relationship Id="rId304" Type="http://schemas.openxmlformats.org/officeDocument/2006/relationships/hyperlink" Target="https://fbref.com/en/squads/b8fd03ef/2019-2020/Manchester-City-Stats" TargetMode="External"/><Relationship Id="rId425" Type="http://schemas.openxmlformats.org/officeDocument/2006/relationships/hyperlink" Target="https://fbref.com/en/players/5eae500a/Romelu-Lukaku" TargetMode="External"/><Relationship Id="rId546" Type="http://schemas.openxmlformats.org/officeDocument/2006/relationships/hyperlink" Target="https://fbref.com/en/players/71672fa0/Petr-Cech" TargetMode="External"/><Relationship Id="rId303" Type="http://schemas.openxmlformats.org/officeDocument/2006/relationships/hyperlink" Target="https://fbref.com/en/players/7a2e46a8/Alisson" TargetMode="External"/><Relationship Id="rId424" Type="http://schemas.openxmlformats.org/officeDocument/2006/relationships/hyperlink" Target="https://fbref.com/en/squads/19538871/2017-2018/Manchester-United-Stats" TargetMode="External"/><Relationship Id="rId545" Type="http://schemas.openxmlformats.org/officeDocument/2006/relationships/hyperlink" Target="https://fbref.com/en/players/16ceb862/Olivier-Giroud" TargetMode="External"/><Relationship Id="rId302" Type="http://schemas.openxmlformats.org/officeDocument/2006/relationships/hyperlink" Target="https://fbref.com/en/players/e342ad68/Mohamed-Salah" TargetMode="External"/><Relationship Id="rId423" Type="http://schemas.openxmlformats.org/officeDocument/2006/relationships/hyperlink" Target="https://fbref.com/en/players/3bb7b8b4/Ederson" TargetMode="External"/><Relationship Id="rId544" Type="http://schemas.openxmlformats.org/officeDocument/2006/relationships/hyperlink" Target="https://fbref.com/en/squads/18bb7c10/2015-2016/Arsenal-Stats" TargetMode="External"/><Relationship Id="rId309" Type="http://schemas.openxmlformats.org/officeDocument/2006/relationships/hyperlink" Target="https://fbref.com/en/players/7ba6d84e/David-de-Gea" TargetMode="External"/><Relationship Id="rId308" Type="http://schemas.openxmlformats.org/officeDocument/2006/relationships/hyperlink" Target="https://fbref.com/en/players/8b788c01/Anthony-Martial" TargetMode="External"/><Relationship Id="rId429" Type="http://schemas.openxmlformats.org/officeDocument/2006/relationships/hyperlink" Target="https://fbref.com/en/players/8f62b6ee/Hugo-Lloris" TargetMode="External"/><Relationship Id="rId307" Type="http://schemas.openxmlformats.org/officeDocument/2006/relationships/hyperlink" Target="https://fbref.com/en/squads/19538871/2019-2020/Manchester-United-Stats" TargetMode="External"/><Relationship Id="rId428" Type="http://schemas.openxmlformats.org/officeDocument/2006/relationships/hyperlink" Target="https://fbref.com/en/players/21a66f6a/Harry-Kane" TargetMode="External"/><Relationship Id="rId549" Type="http://schemas.openxmlformats.org/officeDocument/2006/relationships/hyperlink" Target="https://fbref.com/en/players/8f62b6ee/Hugo-Lloris" TargetMode="External"/><Relationship Id="rId306" Type="http://schemas.openxmlformats.org/officeDocument/2006/relationships/hyperlink" Target="https://fbref.com/en/players/3bb7b8b4/Ederson" TargetMode="External"/><Relationship Id="rId427" Type="http://schemas.openxmlformats.org/officeDocument/2006/relationships/hyperlink" Target="https://fbref.com/en/squads/361ca564/2017-2018/Tottenham-Hotspur-Stats" TargetMode="External"/><Relationship Id="rId548" Type="http://schemas.openxmlformats.org/officeDocument/2006/relationships/hyperlink" Target="https://fbref.com/en/players/21a66f6a/Harry-Kane" TargetMode="External"/><Relationship Id="rId301" Type="http://schemas.openxmlformats.org/officeDocument/2006/relationships/hyperlink" Target="https://fbref.com/en/squads/822bd0ba/2019-2020/Liverpool-Stats" TargetMode="External"/><Relationship Id="rId422" Type="http://schemas.openxmlformats.org/officeDocument/2006/relationships/hyperlink" Target="https://fbref.com/en/players/4d034881/Sergio-Aguero" TargetMode="External"/><Relationship Id="rId543" Type="http://schemas.openxmlformats.org/officeDocument/2006/relationships/hyperlink" Target="https://fbref.com/en/players/53af52f3/Kasper-Schmeichel" TargetMode="External"/><Relationship Id="rId300" Type="http://schemas.openxmlformats.org/officeDocument/2006/relationships/hyperlink" Target="https://fbref.com/en/players/466fb2c5/Aaron-Ramsdale" TargetMode="External"/><Relationship Id="rId421" Type="http://schemas.openxmlformats.org/officeDocument/2006/relationships/hyperlink" Target="https://fbref.com/en/squads/b8fd03ef/2017-2018/Manchester-City-Stats" TargetMode="External"/><Relationship Id="rId542" Type="http://schemas.openxmlformats.org/officeDocument/2006/relationships/hyperlink" Target="https://fbref.com/en/players/45963054/Jamie-Vardy" TargetMode="External"/><Relationship Id="rId420" Type="http://schemas.openxmlformats.org/officeDocument/2006/relationships/hyperlink" Target="https://fbref.com/en/players/939bc634/Jonas-Lossl" TargetMode="External"/><Relationship Id="rId541" Type="http://schemas.openxmlformats.org/officeDocument/2006/relationships/hyperlink" Target="https://fbref.com/en/squads/a2d435b3/2015-2016/Leicester-City-Stats" TargetMode="External"/><Relationship Id="rId540" Type="http://schemas.openxmlformats.org/officeDocument/2006/relationships/hyperlink" Target="https://fbref.com/en/players/4806ec67/Jordan-Pickford" TargetMode="External"/><Relationship Id="rId415" Type="http://schemas.openxmlformats.org/officeDocument/2006/relationships/hyperlink" Target="https://fbref.com/en/squads/fd962109/2018-2019/Fulham-Stats" TargetMode="External"/><Relationship Id="rId536" Type="http://schemas.openxmlformats.org/officeDocument/2006/relationships/hyperlink" Target="https://fbref.com/en/players/63b0ca6b/Alvaro-Negredo" TargetMode="External"/><Relationship Id="rId414" Type="http://schemas.openxmlformats.org/officeDocument/2006/relationships/hyperlink" Target="https://fbref.com/en/players/2642bf6c/Neil-Etheridge" TargetMode="External"/><Relationship Id="rId535" Type="http://schemas.openxmlformats.org/officeDocument/2006/relationships/hyperlink" Target="https://fbref.com/en/squads/7f59c601/2016-2017/Middlesbrough-Stats" TargetMode="External"/><Relationship Id="rId413" Type="http://schemas.openxmlformats.org/officeDocument/2006/relationships/hyperlink" Target="https://fbref.com/en/players/0f7533cd/Bobby-De-Cordova-Reid" TargetMode="External"/><Relationship Id="rId534" Type="http://schemas.openxmlformats.org/officeDocument/2006/relationships/hyperlink" Target="https://fbref.com/en/players/1148323a/Eldin-Jakupovic" TargetMode="External"/><Relationship Id="rId412" Type="http://schemas.openxmlformats.org/officeDocument/2006/relationships/hyperlink" Target="https://fbref.com/en/squads/75fae011/2018-2019/Cardiff-City-Stats" TargetMode="External"/><Relationship Id="rId533" Type="http://schemas.openxmlformats.org/officeDocument/2006/relationships/hyperlink" Target="https://fbref.com/en/players/9f4647e9/Robert-Snodgrass" TargetMode="External"/><Relationship Id="rId419" Type="http://schemas.openxmlformats.org/officeDocument/2006/relationships/hyperlink" Target="https://fbref.com/en/players/87f7500e/Karlan-Grant" TargetMode="External"/><Relationship Id="rId418" Type="http://schemas.openxmlformats.org/officeDocument/2006/relationships/hyperlink" Target="https://fbref.com/en/squads/f5922ca5/2018-2019/Huddersfield-Town-Stats" TargetMode="External"/><Relationship Id="rId539" Type="http://schemas.openxmlformats.org/officeDocument/2006/relationships/hyperlink" Target="https://fbref.com/en/players/f1e8372d/Jermain-Defoe" TargetMode="External"/><Relationship Id="rId417" Type="http://schemas.openxmlformats.org/officeDocument/2006/relationships/hyperlink" Target="https://fbref.com/en/players/5f0241b2/Sergio-Rico" TargetMode="External"/><Relationship Id="rId538" Type="http://schemas.openxmlformats.org/officeDocument/2006/relationships/hyperlink" Target="https://fbref.com/en/squads/8ef52968/2016-2017/Sunderland-Stats" TargetMode="External"/><Relationship Id="rId416" Type="http://schemas.openxmlformats.org/officeDocument/2006/relationships/hyperlink" Target="https://fbref.com/en/players/3925dbd6/Aleksandar-Mitrovic" TargetMode="External"/><Relationship Id="rId537" Type="http://schemas.openxmlformats.org/officeDocument/2006/relationships/hyperlink" Target="https://fbref.com/en/players/e029e404/Victor-Valdes" TargetMode="External"/><Relationship Id="rId411" Type="http://schemas.openxmlformats.org/officeDocument/2006/relationships/hyperlink" Target="https://fbref.com/en/players/4535e4bb/Mathew-Ryan" TargetMode="External"/><Relationship Id="rId532" Type="http://schemas.openxmlformats.org/officeDocument/2006/relationships/hyperlink" Target="https://fbref.com/en/squads/bd8769d1/2016-2017/Hull-City-Stats" TargetMode="External"/><Relationship Id="rId410" Type="http://schemas.openxmlformats.org/officeDocument/2006/relationships/hyperlink" Target="https://fbref.com/en/players/f2f29dda/Glenn-Murray" TargetMode="External"/><Relationship Id="rId531" Type="http://schemas.openxmlformats.org/officeDocument/2006/relationships/hyperlink" Target="https://fbref.com/en/players/d596e193/Heurelho-Gomes" TargetMode="External"/><Relationship Id="rId530" Type="http://schemas.openxmlformats.org/officeDocument/2006/relationships/hyperlink" Target="https://fbref.com/en/players/82e34b69/Troy-Deeney" TargetMode="External"/><Relationship Id="rId206" Type="http://schemas.openxmlformats.org/officeDocument/2006/relationships/hyperlink" Target="https://fbref.com/en/players/38ceb24a/Leandro-Trossard" TargetMode="External"/><Relationship Id="rId327" Type="http://schemas.openxmlformats.org/officeDocument/2006/relationships/hyperlink" Target="https://fbref.com/en/players/e5a76dfe/Dean-Henderson" TargetMode="External"/><Relationship Id="rId448" Type="http://schemas.openxmlformats.org/officeDocument/2006/relationships/hyperlink" Target="https://fbref.com/en/squads/b2b47a98/2017-2018/Newcastle-United-Stats" TargetMode="External"/><Relationship Id="rId569" Type="http://schemas.openxmlformats.org/officeDocument/2006/relationships/hyperlink" Target="https://fbref.com/en/players/a190d597/Diego-Costa" TargetMode="External"/><Relationship Id="rId205" Type="http://schemas.openxmlformats.org/officeDocument/2006/relationships/hyperlink" Target="https://fbref.com/en/squads/d07537b9/2021-2022/Brighton-and-Hove-Albion-Stats" TargetMode="External"/><Relationship Id="rId326" Type="http://schemas.openxmlformats.org/officeDocument/2006/relationships/hyperlink" Target="https://fbref.com/en/players/d9cfca3d/Lys-Mousset" TargetMode="External"/><Relationship Id="rId447" Type="http://schemas.openxmlformats.org/officeDocument/2006/relationships/hyperlink" Target="https://fbref.com/en/players/53af52f3/Kasper-Schmeichel" TargetMode="External"/><Relationship Id="rId568" Type="http://schemas.openxmlformats.org/officeDocument/2006/relationships/hyperlink" Target="https://fbref.com/en/squads/cff3d9bb/2015-2016/Chelsea-Stats" TargetMode="External"/><Relationship Id="rId204" Type="http://schemas.openxmlformats.org/officeDocument/2006/relationships/hyperlink" Target="https://fbref.com/en/players/53af52f3/Kasper-Schmeichel" TargetMode="External"/><Relationship Id="rId325" Type="http://schemas.openxmlformats.org/officeDocument/2006/relationships/hyperlink" Target="https://fbref.com/en/squads/1df6b87e/2019-2020/Sheffield-United-Stats" TargetMode="External"/><Relationship Id="rId446" Type="http://schemas.openxmlformats.org/officeDocument/2006/relationships/hyperlink" Target="https://fbref.com/en/players/45963054/Jamie-Vardy" TargetMode="External"/><Relationship Id="rId567" Type="http://schemas.openxmlformats.org/officeDocument/2006/relationships/hyperlink" Target="https://fbref.com/en/players/cc70a1d5/Jack-Butland" TargetMode="External"/><Relationship Id="rId203" Type="http://schemas.openxmlformats.org/officeDocument/2006/relationships/hyperlink" Target="https://fbref.com/en/players/45963054/Jamie-Vardy" TargetMode="External"/><Relationship Id="rId324" Type="http://schemas.openxmlformats.org/officeDocument/2006/relationships/hyperlink" Target="https://fbref.com/en/players/2628fd2b/Bernd-Leno" TargetMode="External"/><Relationship Id="rId445" Type="http://schemas.openxmlformats.org/officeDocument/2006/relationships/hyperlink" Target="https://fbref.com/en/squads/a2d435b3/2017-2018/Leicester-City-Stats" TargetMode="External"/><Relationship Id="rId566" Type="http://schemas.openxmlformats.org/officeDocument/2006/relationships/hyperlink" Target="https://fbref.com/en/players/00459419/Marko-Arnautovic" TargetMode="External"/><Relationship Id="rId209" Type="http://schemas.openxmlformats.org/officeDocument/2006/relationships/hyperlink" Target="https://fbref.com/en/players/b561db50/Raul-Jimenez" TargetMode="External"/><Relationship Id="rId208" Type="http://schemas.openxmlformats.org/officeDocument/2006/relationships/hyperlink" Target="https://fbref.com/en/squads/8cec06e1/2021-2022/Wolverhampton-Wanderers-Stats" TargetMode="External"/><Relationship Id="rId329" Type="http://schemas.openxmlformats.org/officeDocument/2006/relationships/hyperlink" Target="https://fbref.com/en/players/4e9a0555/Chris-Wood" TargetMode="External"/><Relationship Id="rId207" Type="http://schemas.openxmlformats.org/officeDocument/2006/relationships/hyperlink" Target="https://fbref.com/en/players/6a713852/Robert-Sanchez" TargetMode="External"/><Relationship Id="rId328" Type="http://schemas.openxmlformats.org/officeDocument/2006/relationships/hyperlink" Target="https://fbref.com/en/squads/943e8050/2019-2020/Burnley-Stats" TargetMode="External"/><Relationship Id="rId449" Type="http://schemas.openxmlformats.org/officeDocument/2006/relationships/hyperlink" Target="https://fbref.com/en/players/819aa8e7/Ayoze-Perez" TargetMode="External"/><Relationship Id="rId440" Type="http://schemas.openxmlformats.org/officeDocument/2006/relationships/hyperlink" Target="https://fbref.com/en/players/4e9a0555/Chris-Wood" TargetMode="External"/><Relationship Id="rId561" Type="http://schemas.openxmlformats.org/officeDocument/2006/relationships/hyperlink" Target="https://fbref.com/en/players/f76e6b4e/Adrian" TargetMode="External"/><Relationship Id="rId560" Type="http://schemas.openxmlformats.org/officeDocument/2006/relationships/hyperlink" Target="https://fbref.com/en/players/58ae47b2/Dimitri-Payet" TargetMode="External"/><Relationship Id="rId202" Type="http://schemas.openxmlformats.org/officeDocument/2006/relationships/hyperlink" Target="https://fbref.com/en/squads/a2d435b3/2021-2022/Leicester-City-Stats" TargetMode="External"/><Relationship Id="rId323" Type="http://schemas.openxmlformats.org/officeDocument/2006/relationships/hyperlink" Target="https://fbref.com/en/players/d5dd5f1f/Pierre-Emerick-Aubameyang" TargetMode="External"/><Relationship Id="rId444" Type="http://schemas.openxmlformats.org/officeDocument/2006/relationships/hyperlink" Target="https://fbref.com/en/players/4806ec67/Jordan-Pickford" TargetMode="External"/><Relationship Id="rId565" Type="http://schemas.openxmlformats.org/officeDocument/2006/relationships/hyperlink" Target="https://fbref.com/en/squads/17892952/2015-2016/Stoke-City-Stats" TargetMode="External"/><Relationship Id="rId201" Type="http://schemas.openxmlformats.org/officeDocument/2006/relationships/hyperlink" Target="https://fbref.com/en/players/9328b835/Lukasz-Fabianski" TargetMode="External"/><Relationship Id="rId322" Type="http://schemas.openxmlformats.org/officeDocument/2006/relationships/hyperlink" Target="https://fbref.com/en/squads/18bb7c10/2019-2020/Arsenal-Stats" TargetMode="External"/><Relationship Id="rId443" Type="http://schemas.openxmlformats.org/officeDocument/2006/relationships/hyperlink" Target="https://fbref.com/en/players/f07be45a/Wayne-Rooney" TargetMode="External"/><Relationship Id="rId564" Type="http://schemas.openxmlformats.org/officeDocument/2006/relationships/hyperlink" Target="https://fbref.com/en/players/d436eb94/Simon-Mignolet" TargetMode="External"/><Relationship Id="rId200" Type="http://schemas.openxmlformats.org/officeDocument/2006/relationships/hyperlink" Target="https://fbref.com/en/players/79c84d1c/Jarrod-Bowen" TargetMode="External"/><Relationship Id="rId321" Type="http://schemas.openxmlformats.org/officeDocument/2006/relationships/hyperlink" Target="https://fbref.com/en/players/79b0d6a0/Rui-Patricio" TargetMode="External"/><Relationship Id="rId442" Type="http://schemas.openxmlformats.org/officeDocument/2006/relationships/hyperlink" Target="https://fbref.com/en/squads/d3fd31cc/2017-2018/Everton-Stats" TargetMode="External"/><Relationship Id="rId563" Type="http://schemas.openxmlformats.org/officeDocument/2006/relationships/hyperlink" Target="https://fbref.com/en/players/4c370d81/Roberto-Firmino" TargetMode="External"/><Relationship Id="rId320" Type="http://schemas.openxmlformats.org/officeDocument/2006/relationships/hyperlink" Target="https://fbref.com/en/players/b561db50/Raul-Jimenez" TargetMode="External"/><Relationship Id="rId441" Type="http://schemas.openxmlformats.org/officeDocument/2006/relationships/hyperlink" Target="https://fbref.com/en/players/4b40d9ca/Nick-Pope" TargetMode="External"/><Relationship Id="rId562" Type="http://schemas.openxmlformats.org/officeDocument/2006/relationships/hyperlink" Target="https://fbref.com/en/squads/822bd0ba/2015-2016/Liverpool-Stats" TargetMode="External"/><Relationship Id="rId316" Type="http://schemas.openxmlformats.org/officeDocument/2006/relationships/hyperlink" Target="https://fbref.com/en/squads/361ca564/2019-2020/Tottenham-Hotspur-Stats" TargetMode="External"/><Relationship Id="rId437" Type="http://schemas.openxmlformats.org/officeDocument/2006/relationships/hyperlink" Target="https://fbref.com/en/players/9dbb75ca/Alexandre-Lacazette" TargetMode="External"/><Relationship Id="rId558" Type="http://schemas.openxmlformats.org/officeDocument/2006/relationships/hyperlink" Target="https://fbref.com/en/players/c3e39f12/Fraser-Forster" TargetMode="External"/><Relationship Id="rId315" Type="http://schemas.openxmlformats.org/officeDocument/2006/relationships/hyperlink" Target="https://fbref.com/en/players/53af52f3/Kasper-Schmeichel" TargetMode="External"/><Relationship Id="rId436" Type="http://schemas.openxmlformats.org/officeDocument/2006/relationships/hyperlink" Target="https://fbref.com/en/squads/18bb7c10/2017-2018/Arsenal-Stats" TargetMode="External"/><Relationship Id="rId557" Type="http://schemas.openxmlformats.org/officeDocument/2006/relationships/hyperlink" Target="https://fbref.com/en/players/c691bfe2/Sadio-Mane" TargetMode="External"/><Relationship Id="rId314" Type="http://schemas.openxmlformats.org/officeDocument/2006/relationships/hyperlink" Target="https://fbref.com/en/players/45963054/Jamie-Vardy" TargetMode="External"/><Relationship Id="rId435" Type="http://schemas.openxmlformats.org/officeDocument/2006/relationships/hyperlink" Target="https://fbref.com/en/players/1840e36d/Thibaut-Courtois" TargetMode="External"/><Relationship Id="rId556" Type="http://schemas.openxmlformats.org/officeDocument/2006/relationships/hyperlink" Target="https://fbref.com/en/squads/33c895d4/2015-2016/Southampton-Stats" TargetMode="External"/><Relationship Id="rId313" Type="http://schemas.openxmlformats.org/officeDocument/2006/relationships/hyperlink" Target="https://fbref.com/en/squads/a2d435b3/2019-2020/Leicester-City-Stats" TargetMode="External"/><Relationship Id="rId434" Type="http://schemas.openxmlformats.org/officeDocument/2006/relationships/hyperlink" Target="https://fbref.com/en/players/a39bb753/Eden-Hazard" TargetMode="External"/><Relationship Id="rId555" Type="http://schemas.openxmlformats.org/officeDocument/2006/relationships/hyperlink" Target="https://fbref.com/en/players/7ba6d84e/David-de-Gea" TargetMode="External"/><Relationship Id="rId319" Type="http://schemas.openxmlformats.org/officeDocument/2006/relationships/hyperlink" Target="https://fbref.com/en/squads/8cec06e1/2019-2020/Wolverhampton-Wanderers-Stats" TargetMode="External"/><Relationship Id="rId318" Type="http://schemas.openxmlformats.org/officeDocument/2006/relationships/hyperlink" Target="https://fbref.com/en/players/8f62b6ee/Hugo-Lloris" TargetMode="External"/><Relationship Id="rId439" Type="http://schemas.openxmlformats.org/officeDocument/2006/relationships/hyperlink" Target="https://fbref.com/en/squads/943e8050/2017-2018/Burnley-Stats" TargetMode="External"/><Relationship Id="rId317" Type="http://schemas.openxmlformats.org/officeDocument/2006/relationships/hyperlink" Target="https://fbref.com/en/players/21a66f6a/Harry-Kane" TargetMode="External"/><Relationship Id="rId438" Type="http://schemas.openxmlformats.org/officeDocument/2006/relationships/hyperlink" Target="https://fbref.com/en/players/71672fa0/Petr-Cech" TargetMode="External"/><Relationship Id="rId559" Type="http://schemas.openxmlformats.org/officeDocument/2006/relationships/hyperlink" Target="https://fbref.com/en/squads/7c21e445/2015-2016/West-Ham-United-Stats" TargetMode="External"/><Relationship Id="rId550" Type="http://schemas.openxmlformats.org/officeDocument/2006/relationships/hyperlink" Target="https://fbref.com/en/squads/b8fd03ef/2015-2016/Manchester-City-Stats" TargetMode="External"/><Relationship Id="rId312" Type="http://schemas.openxmlformats.org/officeDocument/2006/relationships/hyperlink" Target="https://fbref.com/en/players/28d596a0/Kepa-Arrizabalaga" TargetMode="External"/><Relationship Id="rId433" Type="http://schemas.openxmlformats.org/officeDocument/2006/relationships/hyperlink" Target="https://fbref.com/en/squads/cff3d9bb/2017-2018/Chelsea-Stats" TargetMode="External"/><Relationship Id="rId554" Type="http://schemas.openxmlformats.org/officeDocument/2006/relationships/hyperlink" Target="https://fbref.com/en/players/8b788c01/Anthony-Martial" TargetMode="External"/><Relationship Id="rId311" Type="http://schemas.openxmlformats.org/officeDocument/2006/relationships/hyperlink" Target="https://fbref.com/en/players/f586779e/Tammy-Abraham" TargetMode="External"/><Relationship Id="rId432" Type="http://schemas.openxmlformats.org/officeDocument/2006/relationships/hyperlink" Target="https://fbref.com/en/players/32e7ce92/Loris-Karius" TargetMode="External"/><Relationship Id="rId553" Type="http://schemas.openxmlformats.org/officeDocument/2006/relationships/hyperlink" Target="https://fbref.com/en/squads/19538871/2015-2016/Manchester-United-Stats" TargetMode="External"/><Relationship Id="rId310" Type="http://schemas.openxmlformats.org/officeDocument/2006/relationships/hyperlink" Target="https://fbref.com/en/squads/cff3d9bb/2019-2020/Chelsea-Stats" TargetMode="External"/><Relationship Id="rId431" Type="http://schemas.openxmlformats.org/officeDocument/2006/relationships/hyperlink" Target="https://fbref.com/en/players/e342ad68/Mohamed-Salah" TargetMode="External"/><Relationship Id="rId552" Type="http://schemas.openxmlformats.org/officeDocument/2006/relationships/hyperlink" Target="https://fbref.com/en/players/cb4f24c6/Joe-Hart" TargetMode="External"/><Relationship Id="rId430" Type="http://schemas.openxmlformats.org/officeDocument/2006/relationships/hyperlink" Target="https://fbref.com/en/squads/822bd0ba/2017-2018/Liverpool-Stats" TargetMode="External"/><Relationship Id="rId551" Type="http://schemas.openxmlformats.org/officeDocument/2006/relationships/hyperlink" Target="https://fbref.com/en/players/4d034881/Sergio-Ague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3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>
      <c r="A3" s="4">
        <v>1.0</v>
      </c>
      <c r="B3" s="5" t="s">
        <v>17</v>
      </c>
      <c r="C3" s="4">
        <v>2025.0</v>
      </c>
      <c r="D3" s="4">
        <v>23.0</v>
      </c>
      <c r="E3" s="4">
        <v>18.0</v>
      </c>
      <c r="F3" s="6"/>
      <c r="G3" s="4">
        <v>5.0</v>
      </c>
      <c r="H3" s="4" t="s">
        <v>18</v>
      </c>
      <c r="I3" s="4" t="s">
        <v>19</v>
      </c>
      <c r="J3" s="4" t="s">
        <v>20</v>
      </c>
      <c r="K3" s="4">
        <v>2278.0</v>
      </c>
      <c r="L3" s="4" t="s">
        <v>21</v>
      </c>
      <c r="M3" s="4">
        <v>1635.0</v>
      </c>
      <c r="N3" s="4">
        <v>139.3</v>
      </c>
      <c r="O3" s="4">
        <v>72.0</v>
      </c>
      <c r="P3" s="4" t="s">
        <v>22</v>
      </c>
    </row>
    <row r="4">
      <c r="A4" s="4">
        <v>2.0</v>
      </c>
      <c r="B4" s="5" t="s">
        <v>23</v>
      </c>
      <c r="C4" s="4">
        <v>2025.0</v>
      </c>
      <c r="D4" s="4">
        <v>23.0</v>
      </c>
      <c r="E4" s="4">
        <v>17.0</v>
      </c>
      <c r="F4" s="6"/>
      <c r="G4" s="4">
        <v>6.0</v>
      </c>
      <c r="H4" s="4" t="s">
        <v>24</v>
      </c>
      <c r="I4" s="4" t="s">
        <v>25</v>
      </c>
      <c r="J4" s="4" t="s">
        <v>26</v>
      </c>
      <c r="K4" s="4">
        <v>2425.0</v>
      </c>
      <c r="L4" s="4" t="s">
        <v>27</v>
      </c>
      <c r="M4" s="4">
        <v>1714.0</v>
      </c>
      <c r="N4" s="4">
        <v>141.5</v>
      </c>
      <c r="O4" s="4">
        <v>68.0</v>
      </c>
      <c r="P4" s="4" t="s">
        <v>28</v>
      </c>
    </row>
    <row r="5">
      <c r="A5" s="4">
        <v>3.0</v>
      </c>
      <c r="B5" s="5" t="s">
        <v>29</v>
      </c>
      <c r="C5" s="4">
        <v>2025.0</v>
      </c>
      <c r="D5" s="4">
        <v>23.0</v>
      </c>
      <c r="E5" s="4">
        <v>16.0</v>
      </c>
      <c r="F5" s="4">
        <v>1.0</v>
      </c>
      <c r="G5" s="4">
        <v>6.0</v>
      </c>
      <c r="H5" s="4" t="s">
        <v>19</v>
      </c>
      <c r="I5" s="7">
        <v>37500.0</v>
      </c>
      <c r="J5" s="4" t="s">
        <v>30</v>
      </c>
      <c r="K5" s="4">
        <v>2061.0</v>
      </c>
      <c r="L5" s="4" t="s">
        <v>31</v>
      </c>
      <c r="M5" s="4">
        <v>1804.0</v>
      </c>
      <c r="N5" s="4">
        <v>114.2</v>
      </c>
      <c r="O5" s="4">
        <v>66.0</v>
      </c>
      <c r="P5" s="4" t="s">
        <v>32</v>
      </c>
    </row>
    <row r="6">
      <c r="A6" s="4">
        <v>4.0</v>
      </c>
      <c r="B6" s="5" t="s">
        <v>33</v>
      </c>
      <c r="C6" s="4">
        <v>2025.0</v>
      </c>
      <c r="D6" s="4">
        <v>23.0</v>
      </c>
      <c r="E6" s="4">
        <v>16.0</v>
      </c>
      <c r="F6" s="6"/>
      <c r="G6" s="4">
        <v>7.0</v>
      </c>
      <c r="H6" s="4" t="s">
        <v>34</v>
      </c>
      <c r="I6" s="4" t="s">
        <v>19</v>
      </c>
      <c r="J6" s="4" t="s">
        <v>35</v>
      </c>
      <c r="K6" s="4">
        <v>1991.0</v>
      </c>
      <c r="L6" s="4" t="s">
        <v>36</v>
      </c>
      <c r="M6" s="4">
        <v>1627.0</v>
      </c>
      <c r="N6" s="4">
        <v>122.4</v>
      </c>
      <c r="O6" s="4">
        <v>64.0</v>
      </c>
      <c r="P6" s="4" t="s">
        <v>37</v>
      </c>
    </row>
    <row r="7">
      <c r="A7" s="4">
        <v>5.0</v>
      </c>
      <c r="B7" s="5" t="s">
        <v>38</v>
      </c>
      <c r="C7" s="4">
        <v>2025.0</v>
      </c>
      <c r="D7" s="4">
        <v>23.0</v>
      </c>
      <c r="E7" s="4">
        <v>16.0</v>
      </c>
      <c r="F7" s="6"/>
      <c r="G7" s="4">
        <v>7.0</v>
      </c>
      <c r="H7" s="4" t="s">
        <v>39</v>
      </c>
      <c r="I7" s="4" t="s">
        <v>25</v>
      </c>
      <c r="J7" s="4" t="s">
        <v>40</v>
      </c>
      <c r="K7" s="4">
        <v>2114.0</v>
      </c>
      <c r="L7" s="4" t="s">
        <v>41</v>
      </c>
      <c r="M7" s="4">
        <v>1834.0</v>
      </c>
      <c r="N7" s="4">
        <v>115.3</v>
      </c>
      <c r="O7" s="4">
        <v>64.0</v>
      </c>
      <c r="P7" s="4" t="s">
        <v>42</v>
      </c>
    </row>
    <row r="8">
      <c r="A8" s="4">
        <v>6.0</v>
      </c>
      <c r="B8" s="5" t="s">
        <v>43</v>
      </c>
      <c r="C8" s="4">
        <v>2025.0</v>
      </c>
      <c r="D8" s="4">
        <v>23.0</v>
      </c>
      <c r="E8" s="4">
        <v>16.0</v>
      </c>
      <c r="F8" s="6"/>
      <c r="G8" s="4">
        <v>7.0</v>
      </c>
      <c r="H8" s="4" t="s">
        <v>39</v>
      </c>
      <c r="I8" s="4" t="s">
        <v>25</v>
      </c>
      <c r="J8" s="4" t="s">
        <v>44</v>
      </c>
      <c r="K8" s="4">
        <v>1978.0</v>
      </c>
      <c r="L8" s="4" t="s">
        <v>45</v>
      </c>
      <c r="M8" s="4">
        <v>1815.0</v>
      </c>
      <c r="N8" s="4">
        <v>109.0</v>
      </c>
      <c r="O8" s="4">
        <v>64.0</v>
      </c>
      <c r="P8" s="4" t="s">
        <v>46</v>
      </c>
    </row>
    <row r="9">
      <c r="A9" s="4">
        <v>7.0</v>
      </c>
      <c r="B9" s="5" t="s">
        <v>47</v>
      </c>
      <c r="C9" s="4">
        <v>2025.0</v>
      </c>
      <c r="D9" s="4">
        <v>23.0</v>
      </c>
      <c r="E9" s="4">
        <v>15.0</v>
      </c>
      <c r="F9" s="6"/>
      <c r="G9" s="4">
        <v>8.0</v>
      </c>
      <c r="H9" s="4" t="s">
        <v>24</v>
      </c>
      <c r="I9" s="4" t="s">
        <v>48</v>
      </c>
      <c r="J9" s="4" t="s">
        <v>49</v>
      </c>
      <c r="K9" s="4">
        <v>2173.0</v>
      </c>
      <c r="L9" s="4" t="s">
        <v>50</v>
      </c>
      <c r="M9" s="4">
        <v>1740.0</v>
      </c>
      <c r="N9" s="4">
        <v>124.9</v>
      </c>
      <c r="O9" s="4">
        <v>60.0</v>
      </c>
      <c r="P9" s="4" t="s">
        <v>51</v>
      </c>
    </row>
    <row r="10">
      <c r="A10" s="4">
        <v>8.0</v>
      </c>
      <c r="B10" s="5" t="s">
        <v>52</v>
      </c>
      <c r="C10" s="4">
        <v>2025.0</v>
      </c>
      <c r="D10" s="4">
        <v>23.0</v>
      </c>
      <c r="E10" s="4">
        <v>15.0</v>
      </c>
      <c r="F10" s="6"/>
      <c r="G10" s="4">
        <v>8.0</v>
      </c>
      <c r="H10" s="4" t="s">
        <v>53</v>
      </c>
      <c r="I10" s="4" t="s">
        <v>54</v>
      </c>
      <c r="J10" s="4" t="s">
        <v>55</v>
      </c>
      <c r="K10" s="4">
        <v>2045.0</v>
      </c>
      <c r="L10" s="4" t="s">
        <v>56</v>
      </c>
      <c r="M10" s="4">
        <v>1691.0</v>
      </c>
      <c r="N10" s="4">
        <v>120.9</v>
      </c>
      <c r="O10" s="4">
        <v>60.0</v>
      </c>
      <c r="P10" s="4" t="s">
        <v>57</v>
      </c>
    </row>
    <row r="11">
      <c r="A11" s="8">
        <v>9.0</v>
      </c>
      <c r="B11" s="5" t="s">
        <v>58</v>
      </c>
      <c r="C11" s="4">
        <v>2025.0</v>
      </c>
      <c r="D11" s="8">
        <v>23.0</v>
      </c>
      <c r="E11" s="8">
        <v>14.0</v>
      </c>
      <c r="F11" s="9"/>
      <c r="G11" s="8">
        <v>9.0</v>
      </c>
      <c r="H11" s="8" t="s">
        <v>59</v>
      </c>
      <c r="I11" s="8" t="s">
        <v>19</v>
      </c>
      <c r="J11" s="8" t="s">
        <v>60</v>
      </c>
      <c r="K11" s="8">
        <v>2493.0</v>
      </c>
      <c r="L11" s="8" t="s">
        <v>61</v>
      </c>
      <c r="M11" s="8">
        <v>1820.0</v>
      </c>
      <c r="N11" s="8">
        <v>137.0</v>
      </c>
      <c r="O11" s="8">
        <v>56.0</v>
      </c>
      <c r="P11" s="8" t="s">
        <v>62</v>
      </c>
    </row>
    <row r="12">
      <c r="A12" s="8">
        <v>10.0</v>
      </c>
      <c r="B12" s="5" t="s">
        <v>63</v>
      </c>
      <c r="C12" s="4">
        <v>2025.0</v>
      </c>
      <c r="D12" s="8">
        <v>23.0</v>
      </c>
      <c r="E12" s="8">
        <v>12.0</v>
      </c>
      <c r="F12" s="9"/>
      <c r="G12" s="8">
        <v>11.0</v>
      </c>
      <c r="H12" s="8" t="s">
        <v>64</v>
      </c>
      <c r="I12" s="8" t="s">
        <v>59</v>
      </c>
      <c r="J12" s="8" t="s">
        <v>65</v>
      </c>
      <c r="K12" s="8">
        <v>1845.0</v>
      </c>
      <c r="L12" s="8" t="s">
        <v>66</v>
      </c>
      <c r="M12" s="8">
        <v>1902.0</v>
      </c>
      <c r="N12" s="8">
        <v>97.0</v>
      </c>
      <c r="O12" s="8">
        <v>48.0</v>
      </c>
      <c r="P12" s="8" t="s">
        <v>67</v>
      </c>
    </row>
    <row r="13">
      <c r="A13" s="8">
        <v>11.0</v>
      </c>
      <c r="B13" s="5" t="s">
        <v>68</v>
      </c>
      <c r="C13" s="4">
        <v>2025.0</v>
      </c>
      <c r="D13" s="8">
        <v>23.0</v>
      </c>
      <c r="E13" s="8">
        <v>9.0</v>
      </c>
      <c r="F13" s="9"/>
      <c r="G13" s="8">
        <v>14.0</v>
      </c>
      <c r="H13" s="8" t="s">
        <v>54</v>
      </c>
      <c r="I13" s="8" t="s">
        <v>69</v>
      </c>
      <c r="J13" s="8" t="s">
        <v>70</v>
      </c>
      <c r="K13" s="8">
        <v>1799.0</v>
      </c>
      <c r="L13" s="8" t="s">
        <v>71</v>
      </c>
      <c r="M13" s="8">
        <v>1861.0</v>
      </c>
      <c r="N13" s="8">
        <v>96.7</v>
      </c>
      <c r="O13" s="8">
        <v>36.0</v>
      </c>
      <c r="P13" s="8" t="s">
        <v>72</v>
      </c>
    </row>
    <row r="14">
      <c r="A14" s="8">
        <v>12.0</v>
      </c>
      <c r="B14" s="5" t="s">
        <v>73</v>
      </c>
      <c r="C14" s="4">
        <v>2025.0</v>
      </c>
      <c r="D14" s="8">
        <v>23.0</v>
      </c>
      <c r="E14" s="8">
        <v>9.0</v>
      </c>
      <c r="F14" s="9"/>
      <c r="G14" s="8">
        <v>14.0</v>
      </c>
      <c r="H14" s="8" t="s">
        <v>54</v>
      </c>
      <c r="I14" s="8" t="s">
        <v>69</v>
      </c>
      <c r="J14" s="8" t="s">
        <v>74</v>
      </c>
      <c r="K14" s="8">
        <v>1839.0</v>
      </c>
      <c r="L14" s="8" t="s">
        <v>75</v>
      </c>
      <c r="M14" s="8">
        <v>2077.0</v>
      </c>
      <c r="N14" s="8">
        <v>88.5</v>
      </c>
      <c r="O14" s="8">
        <v>36.0</v>
      </c>
      <c r="P14" s="8" t="s">
        <v>76</v>
      </c>
    </row>
    <row r="15">
      <c r="A15" s="8">
        <v>13.0</v>
      </c>
      <c r="B15" s="5" t="s">
        <v>77</v>
      </c>
      <c r="C15" s="4">
        <v>2025.0</v>
      </c>
      <c r="D15" s="8">
        <v>23.0</v>
      </c>
      <c r="E15" s="8">
        <v>9.0</v>
      </c>
      <c r="F15" s="9"/>
      <c r="G15" s="8">
        <v>14.0</v>
      </c>
      <c r="H15" s="8" t="s">
        <v>59</v>
      </c>
      <c r="I15" s="8" t="s">
        <v>78</v>
      </c>
      <c r="J15" s="8" t="s">
        <v>79</v>
      </c>
      <c r="K15" s="8">
        <v>1705.0</v>
      </c>
      <c r="L15" s="8" t="s">
        <v>80</v>
      </c>
      <c r="M15" s="8">
        <v>2136.0</v>
      </c>
      <c r="N15" s="8">
        <v>79.8</v>
      </c>
      <c r="O15" s="8">
        <v>36.0</v>
      </c>
      <c r="P15" s="8" t="s">
        <v>81</v>
      </c>
    </row>
    <row r="16">
      <c r="A16" s="8">
        <v>14.0</v>
      </c>
      <c r="B16" s="5" t="s">
        <v>82</v>
      </c>
      <c r="C16" s="4">
        <v>2025.0</v>
      </c>
      <c r="D16" s="8">
        <v>23.0</v>
      </c>
      <c r="E16" s="8">
        <v>7.0</v>
      </c>
      <c r="F16" s="9"/>
      <c r="G16" s="8">
        <v>16.0</v>
      </c>
      <c r="H16" s="8" t="s">
        <v>54</v>
      </c>
      <c r="I16" s="8" t="s">
        <v>78</v>
      </c>
      <c r="J16" s="8" t="s">
        <v>83</v>
      </c>
      <c r="K16" s="8">
        <v>1902.0</v>
      </c>
      <c r="L16" s="8" t="s">
        <v>84</v>
      </c>
      <c r="M16" s="8">
        <v>2038.0</v>
      </c>
      <c r="N16" s="8">
        <v>93.3</v>
      </c>
      <c r="O16" s="8">
        <v>28.0</v>
      </c>
      <c r="P16" s="8" t="s">
        <v>85</v>
      </c>
    </row>
    <row r="17">
      <c r="A17" s="8">
        <v>15.0</v>
      </c>
      <c r="B17" s="5" t="s">
        <v>86</v>
      </c>
      <c r="C17" s="4">
        <v>2025.0</v>
      </c>
      <c r="D17" s="8">
        <v>23.0</v>
      </c>
      <c r="E17" s="8">
        <v>6.0</v>
      </c>
      <c r="F17" s="9"/>
      <c r="G17" s="8">
        <v>17.0</v>
      </c>
      <c r="H17" s="8" t="s">
        <v>69</v>
      </c>
      <c r="I17" s="8" t="s">
        <v>87</v>
      </c>
      <c r="J17" s="8" t="s">
        <v>88</v>
      </c>
      <c r="K17" s="8">
        <v>1535.0</v>
      </c>
      <c r="L17" s="8" t="s">
        <v>89</v>
      </c>
      <c r="M17" s="8">
        <v>2209.0</v>
      </c>
      <c r="N17" s="8">
        <v>69.5</v>
      </c>
      <c r="O17" s="8">
        <v>24.0</v>
      </c>
      <c r="P17" s="8" t="s">
        <v>90</v>
      </c>
    </row>
    <row r="18">
      <c r="A18" s="8">
        <v>16.0</v>
      </c>
      <c r="B18" s="5" t="s">
        <v>91</v>
      </c>
      <c r="C18" s="4">
        <v>2025.0</v>
      </c>
      <c r="D18" s="8">
        <v>23.0</v>
      </c>
      <c r="E18" s="8">
        <v>5.0</v>
      </c>
      <c r="F18" s="8">
        <v>1.0</v>
      </c>
      <c r="G18" s="8">
        <v>17.0</v>
      </c>
      <c r="H18" s="10">
        <v>39508.0</v>
      </c>
      <c r="I18" s="8" t="s">
        <v>78</v>
      </c>
      <c r="J18" s="8" t="s">
        <v>92</v>
      </c>
      <c r="K18" s="8">
        <v>1805.0</v>
      </c>
      <c r="L18" s="8" t="s">
        <v>93</v>
      </c>
      <c r="M18" s="8">
        <v>2365.0</v>
      </c>
      <c r="N18" s="8">
        <v>76.3</v>
      </c>
      <c r="O18" s="8">
        <v>22.0</v>
      </c>
      <c r="P18" s="8" t="s">
        <v>94</v>
      </c>
    </row>
    <row r="19">
      <c r="A19" s="8">
        <v>17.0</v>
      </c>
      <c r="B19" s="5" t="s">
        <v>95</v>
      </c>
      <c r="C19" s="4">
        <v>2025.0</v>
      </c>
      <c r="D19" s="8">
        <v>23.0</v>
      </c>
      <c r="E19" s="8">
        <v>5.0</v>
      </c>
      <c r="F19" s="9"/>
      <c r="G19" s="8">
        <v>18.0</v>
      </c>
      <c r="H19" s="8" t="s">
        <v>96</v>
      </c>
      <c r="I19" s="8" t="s">
        <v>97</v>
      </c>
      <c r="J19" s="8" t="s">
        <v>98</v>
      </c>
      <c r="K19" s="8">
        <v>1449.0</v>
      </c>
      <c r="L19" s="8" t="s">
        <v>99</v>
      </c>
      <c r="M19" s="8">
        <v>2197.0</v>
      </c>
      <c r="N19" s="8">
        <v>66.0</v>
      </c>
      <c r="O19" s="8">
        <v>20.0</v>
      </c>
      <c r="P19" s="8" t="s">
        <v>100</v>
      </c>
    </row>
    <row r="20">
      <c r="A20" s="8">
        <v>18.0</v>
      </c>
      <c r="B20" s="5" t="s">
        <v>101</v>
      </c>
      <c r="C20" s="4">
        <v>2025.0</v>
      </c>
      <c r="D20" s="8">
        <v>23.0</v>
      </c>
      <c r="E20" s="8">
        <v>1.0</v>
      </c>
      <c r="F20" s="9"/>
      <c r="G20" s="8">
        <v>22.0</v>
      </c>
      <c r="H20" s="8" t="s">
        <v>97</v>
      </c>
      <c r="I20" s="8" t="s">
        <v>102</v>
      </c>
      <c r="J20" s="8" t="s">
        <v>103</v>
      </c>
      <c r="K20" s="8">
        <v>1466.0</v>
      </c>
      <c r="L20" s="8" t="s">
        <v>104</v>
      </c>
      <c r="M20" s="8">
        <v>2438.0</v>
      </c>
      <c r="N20" s="8">
        <v>60.1</v>
      </c>
      <c r="O20" s="8">
        <v>4.0</v>
      </c>
      <c r="P20" s="8" t="s">
        <v>105</v>
      </c>
    </row>
    <row r="21">
      <c r="A21" s="1" t="s">
        <v>106</v>
      </c>
    </row>
    <row r="22">
      <c r="A22" s="2" t="s">
        <v>107</v>
      </c>
      <c r="B22" s="2" t="s">
        <v>108</v>
      </c>
      <c r="C22" s="3" t="s">
        <v>3</v>
      </c>
      <c r="D22" s="1" t="s">
        <v>109</v>
      </c>
      <c r="E22" s="1" t="s">
        <v>110</v>
      </c>
      <c r="F22" s="1" t="s">
        <v>111</v>
      </c>
      <c r="G22" s="1" t="s">
        <v>112</v>
      </c>
      <c r="H22" s="1" t="s">
        <v>113</v>
      </c>
      <c r="I22" s="1" t="s">
        <v>114</v>
      </c>
      <c r="J22" s="1" t="s">
        <v>115</v>
      </c>
      <c r="K22" s="1" t="s">
        <v>116</v>
      </c>
      <c r="L22" s="1" t="s">
        <v>117</v>
      </c>
      <c r="M22" s="1" t="s">
        <v>118</v>
      </c>
      <c r="N22" s="1" t="s">
        <v>119</v>
      </c>
      <c r="O22" s="1" t="s">
        <v>120</v>
      </c>
      <c r="P22" s="1" t="s">
        <v>121</v>
      </c>
    </row>
    <row r="23">
      <c r="A23" s="4">
        <v>1.0</v>
      </c>
      <c r="B23" s="5" t="s">
        <v>122</v>
      </c>
      <c r="C23" s="4">
        <v>2024.0</v>
      </c>
      <c r="D23" s="4">
        <v>23.0</v>
      </c>
      <c r="E23" s="4">
        <v>17.0</v>
      </c>
      <c r="F23" s="6"/>
      <c r="G23" s="4">
        <v>6.0</v>
      </c>
      <c r="H23" s="4" t="s">
        <v>24</v>
      </c>
      <c r="I23" s="4" t="s">
        <v>25</v>
      </c>
      <c r="J23" s="4" t="s">
        <v>123</v>
      </c>
      <c r="K23" s="4">
        <v>2242.0</v>
      </c>
      <c r="L23" s="4" t="s">
        <v>124</v>
      </c>
      <c r="M23" s="4">
        <v>1769.0</v>
      </c>
      <c r="N23" s="4">
        <v>126.7</v>
      </c>
      <c r="O23" s="4">
        <v>68.0</v>
      </c>
      <c r="P23" s="4" t="s">
        <v>125</v>
      </c>
    </row>
    <row r="24">
      <c r="A24" s="4">
        <v>2.0</v>
      </c>
      <c r="B24" s="5" t="s">
        <v>126</v>
      </c>
      <c r="C24" s="4">
        <v>2024.0</v>
      </c>
      <c r="D24" s="4">
        <v>23.0</v>
      </c>
      <c r="E24" s="4">
        <v>16.0</v>
      </c>
      <c r="F24" s="6"/>
      <c r="G24" s="4">
        <v>7.0</v>
      </c>
      <c r="H24" s="4" t="s">
        <v>34</v>
      </c>
      <c r="I24" s="4" t="s">
        <v>19</v>
      </c>
      <c r="J24" s="4" t="s">
        <v>127</v>
      </c>
      <c r="K24" s="4">
        <v>2011.0</v>
      </c>
      <c r="L24" s="4" t="s">
        <v>128</v>
      </c>
      <c r="M24" s="4">
        <v>1752.0</v>
      </c>
      <c r="N24" s="4">
        <v>114.8</v>
      </c>
      <c r="O24" s="4">
        <v>64.0</v>
      </c>
      <c r="P24" s="4" t="s">
        <v>129</v>
      </c>
    </row>
    <row r="25">
      <c r="A25" s="4">
        <v>3.0</v>
      </c>
      <c r="B25" s="5" t="s">
        <v>130</v>
      </c>
      <c r="C25" s="4">
        <v>2024.0</v>
      </c>
      <c r="D25" s="4">
        <v>23.0</v>
      </c>
      <c r="E25" s="4">
        <v>15.0</v>
      </c>
      <c r="F25" s="6"/>
      <c r="G25" s="4">
        <v>8.0</v>
      </c>
      <c r="H25" s="4" t="s">
        <v>39</v>
      </c>
      <c r="I25" s="4" t="s">
        <v>59</v>
      </c>
      <c r="J25" s="4" t="s">
        <v>131</v>
      </c>
      <c r="K25" s="4">
        <v>2164.0</v>
      </c>
      <c r="L25" s="4" t="s">
        <v>132</v>
      </c>
      <c r="M25" s="4">
        <v>1928.0</v>
      </c>
      <c r="N25" s="4">
        <v>112.2</v>
      </c>
      <c r="O25" s="4">
        <v>60.0</v>
      </c>
      <c r="P25" s="4" t="s">
        <v>133</v>
      </c>
    </row>
    <row r="26">
      <c r="A26" s="4">
        <v>4.0</v>
      </c>
      <c r="B26" s="5" t="s">
        <v>134</v>
      </c>
      <c r="C26" s="4">
        <v>2024.0</v>
      </c>
      <c r="D26" s="4">
        <v>23.0</v>
      </c>
      <c r="E26" s="4">
        <v>15.0</v>
      </c>
      <c r="F26" s="6"/>
      <c r="G26" s="4">
        <v>8.0</v>
      </c>
      <c r="H26" s="4" t="s">
        <v>24</v>
      </c>
      <c r="I26" s="4" t="s">
        <v>48</v>
      </c>
      <c r="J26" s="4" t="s">
        <v>135</v>
      </c>
      <c r="K26" s="4">
        <v>2034.0</v>
      </c>
      <c r="L26" s="4" t="s">
        <v>136</v>
      </c>
      <c r="M26" s="4">
        <v>1864.0</v>
      </c>
      <c r="N26" s="4">
        <v>109.1</v>
      </c>
      <c r="O26" s="4">
        <v>60.0</v>
      </c>
      <c r="P26" s="4" t="s">
        <v>137</v>
      </c>
    </row>
    <row r="27">
      <c r="A27" s="4">
        <v>5.0</v>
      </c>
      <c r="B27" s="5" t="s">
        <v>138</v>
      </c>
      <c r="C27" s="4">
        <v>2024.0</v>
      </c>
      <c r="D27" s="4">
        <v>23.0</v>
      </c>
      <c r="E27" s="4">
        <v>14.0</v>
      </c>
      <c r="F27" s="4">
        <v>1.0</v>
      </c>
      <c r="G27" s="4">
        <v>8.0</v>
      </c>
      <c r="H27" s="4" t="s">
        <v>25</v>
      </c>
      <c r="I27" s="7">
        <v>38139.0</v>
      </c>
      <c r="J27" s="4" t="s">
        <v>139</v>
      </c>
      <c r="K27" s="4">
        <v>2130.0</v>
      </c>
      <c r="L27" s="4" t="s">
        <v>140</v>
      </c>
      <c r="M27" s="4">
        <v>1747.0</v>
      </c>
      <c r="N27" s="4">
        <v>121.9</v>
      </c>
      <c r="O27" s="4">
        <v>58.0</v>
      </c>
      <c r="P27" s="4" t="s">
        <v>141</v>
      </c>
    </row>
    <row r="28">
      <c r="A28" s="4">
        <v>6.0</v>
      </c>
      <c r="B28" s="5" t="s">
        <v>142</v>
      </c>
      <c r="C28" s="4">
        <v>2024.0</v>
      </c>
      <c r="D28" s="4">
        <v>23.0</v>
      </c>
      <c r="E28" s="4">
        <v>14.0</v>
      </c>
      <c r="F28" s="6"/>
      <c r="G28" s="4">
        <v>9.0</v>
      </c>
      <c r="H28" s="4" t="s">
        <v>59</v>
      </c>
      <c r="I28" s="4" t="s">
        <v>19</v>
      </c>
      <c r="J28" s="4" t="s">
        <v>143</v>
      </c>
      <c r="K28" s="4">
        <v>2171.0</v>
      </c>
      <c r="L28" s="4" t="s">
        <v>144</v>
      </c>
      <c r="M28" s="4">
        <v>1736.0</v>
      </c>
      <c r="N28" s="4">
        <v>125.1</v>
      </c>
      <c r="O28" s="4">
        <v>56.0</v>
      </c>
      <c r="P28" s="4" t="s">
        <v>145</v>
      </c>
    </row>
    <row r="29">
      <c r="A29" s="4">
        <v>7.0</v>
      </c>
      <c r="B29" s="5" t="s">
        <v>146</v>
      </c>
      <c r="C29" s="4">
        <v>2024.0</v>
      </c>
      <c r="D29" s="4">
        <v>23.0</v>
      </c>
      <c r="E29" s="4">
        <v>14.0</v>
      </c>
      <c r="F29" s="6"/>
      <c r="G29" s="4">
        <v>9.0</v>
      </c>
      <c r="H29" s="4" t="s">
        <v>39</v>
      </c>
      <c r="I29" s="4" t="s">
        <v>48</v>
      </c>
      <c r="J29" s="4" t="s">
        <v>147</v>
      </c>
      <c r="K29" s="4">
        <v>2090.0</v>
      </c>
      <c r="L29" s="4" t="s">
        <v>148</v>
      </c>
      <c r="M29" s="4">
        <v>1763.0</v>
      </c>
      <c r="N29" s="4">
        <v>118.5</v>
      </c>
      <c r="O29" s="4">
        <v>56.0</v>
      </c>
      <c r="P29" s="4" t="s">
        <v>149</v>
      </c>
    </row>
    <row r="30">
      <c r="A30" s="4">
        <v>8.0</v>
      </c>
      <c r="B30" s="5" t="s">
        <v>150</v>
      </c>
      <c r="C30" s="4">
        <v>2024.0</v>
      </c>
      <c r="D30" s="4">
        <v>23.0</v>
      </c>
      <c r="E30" s="4">
        <v>13.0</v>
      </c>
      <c r="F30" s="6"/>
      <c r="G30" s="4">
        <v>10.0</v>
      </c>
      <c r="H30" s="4" t="s">
        <v>151</v>
      </c>
      <c r="I30" s="4" t="s">
        <v>59</v>
      </c>
      <c r="J30" s="4" t="s">
        <v>152</v>
      </c>
      <c r="K30" s="4">
        <v>2151.0</v>
      </c>
      <c r="L30" s="4" t="s">
        <v>153</v>
      </c>
      <c r="M30" s="4">
        <v>1952.0</v>
      </c>
      <c r="N30" s="4">
        <v>110.2</v>
      </c>
      <c r="O30" s="4">
        <v>52.0</v>
      </c>
      <c r="P30" s="4" t="s">
        <v>154</v>
      </c>
    </row>
    <row r="31">
      <c r="A31" s="8">
        <v>9.0</v>
      </c>
      <c r="B31" s="5" t="s">
        <v>155</v>
      </c>
      <c r="C31" s="4">
        <v>2024.0</v>
      </c>
      <c r="D31" s="8">
        <v>23.0</v>
      </c>
      <c r="E31" s="8">
        <v>12.0</v>
      </c>
      <c r="F31" s="8">
        <v>2.0</v>
      </c>
      <c r="G31" s="8">
        <v>9.0</v>
      </c>
      <c r="H31" s="8" t="s">
        <v>25</v>
      </c>
      <c r="I31" s="10">
        <v>38444.0</v>
      </c>
      <c r="J31" s="8" t="s">
        <v>156</v>
      </c>
      <c r="K31" s="8">
        <v>1991.0</v>
      </c>
      <c r="L31" s="8" t="s">
        <v>157</v>
      </c>
      <c r="M31" s="8">
        <v>1943.0</v>
      </c>
      <c r="N31" s="8">
        <v>102.5</v>
      </c>
      <c r="O31" s="8">
        <v>52.0</v>
      </c>
      <c r="P31" s="8" t="s">
        <v>158</v>
      </c>
    </row>
    <row r="32">
      <c r="A32" s="8">
        <v>10.0</v>
      </c>
      <c r="B32" s="5" t="s">
        <v>159</v>
      </c>
      <c r="C32" s="4">
        <v>2024.0</v>
      </c>
      <c r="D32" s="8">
        <v>23.0</v>
      </c>
      <c r="E32" s="8">
        <v>12.0</v>
      </c>
      <c r="F32" s="8">
        <v>1.0</v>
      </c>
      <c r="G32" s="8">
        <v>10.0</v>
      </c>
      <c r="H32" s="10">
        <v>38169.0</v>
      </c>
      <c r="I32" s="8" t="s">
        <v>64</v>
      </c>
      <c r="J32" s="8" t="s">
        <v>160</v>
      </c>
      <c r="K32" s="8">
        <v>1964.0</v>
      </c>
      <c r="L32" s="8" t="s">
        <v>161</v>
      </c>
      <c r="M32" s="8">
        <v>1755.0</v>
      </c>
      <c r="N32" s="8">
        <v>111.9</v>
      </c>
      <c r="O32" s="8">
        <v>50.0</v>
      </c>
      <c r="P32" s="8" t="s">
        <v>162</v>
      </c>
    </row>
    <row r="33">
      <c r="A33" s="8">
        <v>11.0</v>
      </c>
      <c r="B33" s="5" t="s">
        <v>163</v>
      </c>
      <c r="C33" s="4">
        <v>2024.0</v>
      </c>
      <c r="D33" s="8">
        <v>23.0</v>
      </c>
      <c r="E33" s="8">
        <v>11.0</v>
      </c>
      <c r="F33" s="8">
        <v>1.0</v>
      </c>
      <c r="G33" s="8">
        <v>11.0</v>
      </c>
      <c r="H33" s="10">
        <v>38139.0</v>
      </c>
      <c r="I33" s="8" t="s">
        <v>54</v>
      </c>
      <c r="J33" s="8" t="s">
        <v>164</v>
      </c>
      <c r="K33" s="8">
        <v>1892.0</v>
      </c>
      <c r="L33" s="8" t="s">
        <v>165</v>
      </c>
      <c r="M33" s="8">
        <v>2024.0</v>
      </c>
      <c r="N33" s="8">
        <v>93.5</v>
      </c>
      <c r="O33" s="8">
        <v>46.0</v>
      </c>
      <c r="P33" s="8" t="s">
        <v>166</v>
      </c>
    </row>
    <row r="34">
      <c r="A34" s="8">
        <v>12.0</v>
      </c>
      <c r="B34" s="5" t="s">
        <v>167</v>
      </c>
      <c r="C34" s="4">
        <v>2024.0</v>
      </c>
      <c r="D34" s="8">
        <v>23.0</v>
      </c>
      <c r="E34" s="8">
        <v>11.0</v>
      </c>
      <c r="F34" s="9"/>
      <c r="G34" s="8">
        <v>12.0</v>
      </c>
      <c r="H34" s="8" t="s">
        <v>19</v>
      </c>
      <c r="I34" s="8" t="s">
        <v>96</v>
      </c>
      <c r="J34" s="8" t="s">
        <v>168</v>
      </c>
      <c r="K34" s="8">
        <v>1748.0</v>
      </c>
      <c r="L34" s="8" t="s">
        <v>169</v>
      </c>
      <c r="M34" s="8">
        <v>1758.0</v>
      </c>
      <c r="N34" s="8">
        <v>99.4</v>
      </c>
      <c r="O34" s="8">
        <v>44.0</v>
      </c>
      <c r="P34" s="8" t="s">
        <v>170</v>
      </c>
    </row>
    <row r="35">
      <c r="A35" s="8">
        <v>13.0</v>
      </c>
      <c r="B35" s="5" t="s">
        <v>171</v>
      </c>
      <c r="C35" s="4">
        <v>2024.0</v>
      </c>
      <c r="D35" s="8">
        <v>23.0</v>
      </c>
      <c r="E35" s="8">
        <v>11.0</v>
      </c>
      <c r="F35" s="9"/>
      <c r="G35" s="8">
        <v>12.0</v>
      </c>
      <c r="H35" s="8" t="s">
        <v>34</v>
      </c>
      <c r="I35" s="8" t="s">
        <v>78</v>
      </c>
      <c r="J35" s="8" t="s">
        <v>172</v>
      </c>
      <c r="K35" s="8">
        <v>1925.0</v>
      </c>
      <c r="L35" s="8" t="s">
        <v>173</v>
      </c>
      <c r="M35" s="8">
        <v>1943.0</v>
      </c>
      <c r="N35" s="8">
        <v>99.1</v>
      </c>
      <c r="O35" s="8">
        <v>44.0</v>
      </c>
      <c r="P35" s="8" t="s">
        <v>174</v>
      </c>
    </row>
    <row r="36">
      <c r="A36" s="8">
        <v>14.0</v>
      </c>
      <c r="B36" s="5" t="s">
        <v>175</v>
      </c>
      <c r="C36" s="4">
        <v>2024.0</v>
      </c>
      <c r="D36" s="8">
        <v>23.0</v>
      </c>
      <c r="E36" s="8">
        <v>11.0</v>
      </c>
      <c r="F36" s="9"/>
      <c r="G36" s="8">
        <v>12.0</v>
      </c>
      <c r="H36" s="8" t="s">
        <v>151</v>
      </c>
      <c r="I36" s="8" t="s">
        <v>54</v>
      </c>
      <c r="J36" s="8" t="s">
        <v>176</v>
      </c>
      <c r="K36" s="8">
        <v>1785.0</v>
      </c>
      <c r="L36" s="8" t="s">
        <v>177</v>
      </c>
      <c r="M36" s="8">
        <v>1812.0</v>
      </c>
      <c r="N36" s="8">
        <v>98.5</v>
      </c>
      <c r="O36" s="8">
        <v>44.0</v>
      </c>
      <c r="P36" s="8" t="s">
        <v>178</v>
      </c>
    </row>
    <row r="37">
      <c r="A37" s="8">
        <v>15.0</v>
      </c>
      <c r="B37" s="5" t="s">
        <v>179</v>
      </c>
      <c r="C37" s="4">
        <v>2024.0</v>
      </c>
      <c r="D37" s="8">
        <v>23.0</v>
      </c>
      <c r="E37" s="8">
        <v>8.0</v>
      </c>
      <c r="F37" s="8">
        <v>1.0</v>
      </c>
      <c r="G37" s="8">
        <v>14.0</v>
      </c>
      <c r="H37" s="10">
        <v>38838.0</v>
      </c>
      <c r="I37" s="8" t="s">
        <v>180</v>
      </c>
      <c r="J37" s="8" t="s">
        <v>181</v>
      </c>
      <c r="K37" s="8">
        <v>1906.0</v>
      </c>
      <c r="L37" s="8" t="s">
        <v>182</v>
      </c>
      <c r="M37" s="8">
        <v>1923.0</v>
      </c>
      <c r="N37" s="8">
        <v>99.1</v>
      </c>
      <c r="O37" s="8">
        <v>34.0</v>
      </c>
      <c r="P37" s="8" t="s">
        <v>183</v>
      </c>
    </row>
    <row r="38">
      <c r="A38" s="8">
        <v>16.0</v>
      </c>
      <c r="B38" s="5" t="s">
        <v>184</v>
      </c>
      <c r="C38" s="4">
        <v>2024.0</v>
      </c>
      <c r="D38" s="8">
        <v>23.0</v>
      </c>
      <c r="E38" s="8">
        <v>5.0</v>
      </c>
      <c r="F38" s="9"/>
      <c r="G38" s="8">
        <v>18.0</v>
      </c>
      <c r="H38" s="8" t="s">
        <v>96</v>
      </c>
      <c r="I38" s="8" t="s">
        <v>97</v>
      </c>
      <c r="J38" s="8" t="s">
        <v>185</v>
      </c>
      <c r="K38" s="8">
        <v>1594.0</v>
      </c>
      <c r="L38" s="8" t="s">
        <v>186</v>
      </c>
      <c r="M38" s="8">
        <v>2339.0</v>
      </c>
      <c r="N38" s="8">
        <v>68.1</v>
      </c>
      <c r="O38" s="8">
        <v>20.0</v>
      </c>
      <c r="P38" s="8" t="s">
        <v>187</v>
      </c>
    </row>
    <row r="39">
      <c r="A39" s="8">
        <v>17.0</v>
      </c>
      <c r="B39" s="5" t="s">
        <v>188</v>
      </c>
      <c r="C39" s="4">
        <v>2024.0</v>
      </c>
      <c r="D39" s="8">
        <v>23.0</v>
      </c>
      <c r="E39" s="8">
        <v>3.0</v>
      </c>
      <c r="F39" s="9"/>
      <c r="G39" s="8">
        <v>20.0</v>
      </c>
      <c r="H39" s="8" t="s">
        <v>78</v>
      </c>
      <c r="I39" s="8" t="s">
        <v>189</v>
      </c>
      <c r="J39" s="8" t="s">
        <v>190</v>
      </c>
      <c r="K39" s="8">
        <v>1619.0</v>
      </c>
      <c r="L39" s="8" t="s">
        <v>191</v>
      </c>
      <c r="M39" s="8">
        <v>2550.0</v>
      </c>
      <c r="N39" s="8">
        <v>63.5</v>
      </c>
      <c r="O39" s="8">
        <v>12.0</v>
      </c>
      <c r="P39" s="8" t="s">
        <v>192</v>
      </c>
    </row>
    <row r="40">
      <c r="A40" s="8">
        <v>18.0</v>
      </c>
      <c r="B40" s="5" t="s">
        <v>193</v>
      </c>
      <c r="C40" s="4">
        <v>2024.0</v>
      </c>
      <c r="D40" s="8">
        <v>23.0</v>
      </c>
      <c r="E40" s="8">
        <v>2.0</v>
      </c>
      <c r="F40" s="9"/>
      <c r="G40" s="8">
        <v>21.0</v>
      </c>
      <c r="H40" s="8" t="s">
        <v>189</v>
      </c>
      <c r="I40" s="8" t="s">
        <v>97</v>
      </c>
      <c r="J40" s="8" t="s">
        <v>194</v>
      </c>
      <c r="K40" s="8">
        <v>1505.0</v>
      </c>
      <c r="L40" s="8" t="s">
        <v>195</v>
      </c>
      <c r="M40" s="8">
        <v>2364.0</v>
      </c>
      <c r="N40" s="8">
        <v>63.7</v>
      </c>
      <c r="O40" s="8">
        <v>8.0</v>
      </c>
      <c r="P40" s="8" t="s">
        <v>196</v>
      </c>
    </row>
    <row r="42">
      <c r="A42" s="1" t="s">
        <v>197</v>
      </c>
    </row>
    <row r="43">
      <c r="A43" s="2" t="s">
        <v>198</v>
      </c>
      <c r="B43" s="2" t="s">
        <v>199</v>
      </c>
      <c r="C43" s="3" t="s">
        <v>3</v>
      </c>
      <c r="D43" s="1" t="s">
        <v>200</v>
      </c>
      <c r="E43" s="1" t="s">
        <v>201</v>
      </c>
      <c r="F43" s="1" t="s">
        <v>202</v>
      </c>
      <c r="G43" s="1" t="s">
        <v>203</v>
      </c>
      <c r="H43" s="1" t="s">
        <v>204</v>
      </c>
      <c r="I43" s="1" t="s">
        <v>205</v>
      </c>
      <c r="J43" s="1" t="s">
        <v>206</v>
      </c>
      <c r="K43" s="1" t="s">
        <v>207</v>
      </c>
      <c r="L43" s="1" t="s">
        <v>208</v>
      </c>
      <c r="M43" s="1" t="s">
        <v>209</v>
      </c>
      <c r="N43" s="1" t="s">
        <v>210</v>
      </c>
      <c r="O43" s="1" t="s">
        <v>211</v>
      </c>
    </row>
    <row r="44">
      <c r="A44" s="4">
        <v>1.0</v>
      </c>
      <c r="B44" s="5" t="s">
        <v>212</v>
      </c>
      <c r="C44" s="4">
        <v>2023.0</v>
      </c>
      <c r="D44" s="4">
        <v>23.0</v>
      </c>
      <c r="E44" s="4">
        <v>18.0</v>
      </c>
      <c r="F44" s="6"/>
      <c r="G44" s="4">
        <v>5.0</v>
      </c>
      <c r="H44" s="4" t="s">
        <v>213</v>
      </c>
      <c r="I44" s="4" t="s">
        <v>39</v>
      </c>
      <c r="J44" s="4" t="s">
        <v>214</v>
      </c>
      <c r="K44" s="4">
        <v>2142.0</v>
      </c>
      <c r="L44" s="4" t="s">
        <v>215</v>
      </c>
      <c r="M44" s="4">
        <v>1687.0</v>
      </c>
      <c r="N44" s="4">
        <v>127.0</v>
      </c>
      <c r="O44" s="4">
        <v>72.0</v>
      </c>
    </row>
    <row r="45">
      <c r="A45" s="4">
        <v>2.0</v>
      </c>
      <c r="B45" s="5" t="s">
        <v>216</v>
      </c>
      <c r="C45" s="4">
        <v>2023.0</v>
      </c>
      <c r="D45" s="4">
        <v>23.0</v>
      </c>
      <c r="E45" s="4">
        <v>17.0</v>
      </c>
      <c r="F45" s="6"/>
      <c r="G45" s="4">
        <v>6.0</v>
      </c>
      <c r="H45" s="4" t="s">
        <v>217</v>
      </c>
      <c r="I45" s="4" t="s">
        <v>64</v>
      </c>
      <c r="J45" s="4" t="s">
        <v>218</v>
      </c>
      <c r="K45" s="4">
        <v>2180.0</v>
      </c>
      <c r="L45" s="4" t="s">
        <v>219</v>
      </c>
      <c r="M45" s="4">
        <v>1771.0</v>
      </c>
      <c r="N45" s="4">
        <v>123.1</v>
      </c>
      <c r="O45" s="4">
        <v>68.0</v>
      </c>
    </row>
    <row r="46">
      <c r="A46" s="4">
        <v>3.0</v>
      </c>
      <c r="B46" s="5" t="s">
        <v>220</v>
      </c>
      <c r="C46" s="4">
        <v>2023.0</v>
      </c>
      <c r="D46" s="4">
        <v>23.0</v>
      </c>
      <c r="E46" s="4">
        <v>17.0</v>
      </c>
      <c r="F46" s="6"/>
      <c r="G46" s="4">
        <v>6.0</v>
      </c>
      <c r="H46" s="4" t="s">
        <v>213</v>
      </c>
      <c r="I46" s="4" t="s">
        <v>19</v>
      </c>
      <c r="J46" s="4" t="s">
        <v>221</v>
      </c>
      <c r="K46" s="4">
        <v>2149.0</v>
      </c>
      <c r="L46" s="4" t="s">
        <v>222</v>
      </c>
      <c r="M46" s="4">
        <v>1906.0</v>
      </c>
      <c r="N46" s="4">
        <v>112.7</v>
      </c>
      <c r="O46" s="4">
        <v>68.0</v>
      </c>
    </row>
    <row r="47">
      <c r="A47" s="4">
        <v>4.0</v>
      </c>
      <c r="B47" s="5" t="s">
        <v>223</v>
      </c>
      <c r="C47" s="4">
        <v>2023.0</v>
      </c>
      <c r="D47" s="4">
        <v>23.0</v>
      </c>
      <c r="E47" s="4">
        <v>16.0</v>
      </c>
      <c r="F47" s="6"/>
      <c r="G47" s="4">
        <v>7.0</v>
      </c>
      <c r="H47" s="4" t="s">
        <v>24</v>
      </c>
      <c r="I47" s="4" t="s">
        <v>59</v>
      </c>
      <c r="J47" s="4" t="s">
        <v>224</v>
      </c>
      <c r="K47" s="4">
        <v>2079.0</v>
      </c>
      <c r="L47" s="4" t="s">
        <v>225</v>
      </c>
      <c r="M47" s="4">
        <v>1660.0</v>
      </c>
      <c r="N47" s="4">
        <v>125.2</v>
      </c>
      <c r="O47" s="4">
        <v>64.0</v>
      </c>
    </row>
    <row r="48">
      <c r="A48" s="4">
        <v>5.0</v>
      </c>
      <c r="B48" s="5" t="s">
        <v>226</v>
      </c>
      <c r="C48" s="4">
        <v>2023.0</v>
      </c>
      <c r="D48" s="4">
        <v>23.0</v>
      </c>
      <c r="E48" s="4">
        <v>13.0</v>
      </c>
      <c r="F48" s="4">
        <v>1.0</v>
      </c>
      <c r="G48" s="4">
        <v>9.0</v>
      </c>
      <c r="H48" s="4" t="s">
        <v>64</v>
      </c>
      <c r="I48" s="7">
        <v>37834.0</v>
      </c>
      <c r="J48" s="4" t="s">
        <v>227</v>
      </c>
      <c r="K48" s="4">
        <v>1922.0</v>
      </c>
      <c r="L48" s="4" t="s">
        <v>228</v>
      </c>
      <c r="M48" s="4">
        <v>1697.0</v>
      </c>
      <c r="N48" s="4">
        <v>113.3</v>
      </c>
      <c r="O48" s="4">
        <v>54.0</v>
      </c>
    </row>
    <row r="49">
      <c r="A49" s="4">
        <v>6.0</v>
      </c>
      <c r="B49" s="5" t="s">
        <v>229</v>
      </c>
      <c r="C49" s="4">
        <v>2023.0</v>
      </c>
      <c r="D49" s="4">
        <v>23.0</v>
      </c>
      <c r="E49" s="4">
        <v>13.0</v>
      </c>
      <c r="F49" s="6"/>
      <c r="G49" s="4">
        <v>10.0</v>
      </c>
      <c r="H49" s="4" t="s">
        <v>151</v>
      </c>
      <c r="I49" s="4" t="s">
        <v>59</v>
      </c>
      <c r="J49" s="4" t="s">
        <v>230</v>
      </c>
      <c r="K49" s="4">
        <v>1775.0</v>
      </c>
      <c r="L49" s="4" t="s">
        <v>231</v>
      </c>
      <c r="M49" s="4">
        <v>1647.0</v>
      </c>
      <c r="N49" s="4">
        <v>107.8</v>
      </c>
      <c r="O49" s="4">
        <v>52.0</v>
      </c>
    </row>
    <row r="50">
      <c r="A50" s="4">
        <v>7.0</v>
      </c>
      <c r="B50" s="5" t="s">
        <v>232</v>
      </c>
      <c r="C50" s="4">
        <v>2023.0</v>
      </c>
      <c r="D50" s="4">
        <v>23.0</v>
      </c>
      <c r="E50" s="4">
        <v>13.0</v>
      </c>
      <c r="F50" s="6"/>
      <c r="G50" s="4">
        <v>10.0</v>
      </c>
      <c r="H50" s="4" t="s">
        <v>48</v>
      </c>
      <c r="I50" s="4" t="s">
        <v>19</v>
      </c>
      <c r="J50" s="4" t="s">
        <v>233</v>
      </c>
      <c r="K50" s="4">
        <v>2018.0</v>
      </c>
      <c r="L50" s="4" t="s">
        <v>234</v>
      </c>
      <c r="M50" s="4">
        <v>1885.0</v>
      </c>
      <c r="N50" s="4">
        <v>107.1</v>
      </c>
      <c r="O50" s="4">
        <v>52.0</v>
      </c>
    </row>
    <row r="51">
      <c r="A51" s="4">
        <v>8.0</v>
      </c>
      <c r="B51" s="5" t="s">
        <v>235</v>
      </c>
      <c r="C51" s="4">
        <v>2023.0</v>
      </c>
      <c r="D51" s="4">
        <v>23.0</v>
      </c>
      <c r="E51" s="4">
        <v>12.0</v>
      </c>
      <c r="F51" s="4">
        <v>1.0</v>
      </c>
      <c r="G51" s="4">
        <v>10.0</v>
      </c>
      <c r="H51" s="7">
        <v>38473.0</v>
      </c>
      <c r="I51" s="4" t="s">
        <v>59</v>
      </c>
      <c r="J51" s="4" t="s">
        <v>236</v>
      </c>
      <c r="K51" s="4">
        <v>2050.0</v>
      </c>
      <c r="L51" s="4" t="s">
        <v>237</v>
      </c>
      <c r="M51" s="4">
        <v>1863.0</v>
      </c>
      <c r="N51" s="4">
        <v>110.0</v>
      </c>
      <c r="O51" s="4">
        <v>50.0</v>
      </c>
    </row>
    <row r="52">
      <c r="A52" s="8">
        <v>9.0</v>
      </c>
      <c r="B52" s="5" t="s">
        <v>238</v>
      </c>
      <c r="C52" s="4">
        <v>2023.0</v>
      </c>
      <c r="D52" s="8">
        <v>23.0</v>
      </c>
      <c r="E52" s="8">
        <v>12.0</v>
      </c>
      <c r="F52" s="9"/>
      <c r="G52" s="8">
        <v>11.0</v>
      </c>
      <c r="H52" s="8" t="s">
        <v>64</v>
      </c>
      <c r="I52" s="8" t="s">
        <v>59</v>
      </c>
      <c r="J52" s="8" t="s">
        <v>239</v>
      </c>
      <c r="K52" s="8">
        <v>1919.0</v>
      </c>
      <c r="L52" s="8" t="s">
        <v>240</v>
      </c>
      <c r="M52" s="8">
        <v>1766.0</v>
      </c>
      <c r="N52" s="8">
        <v>108.7</v>
      </c>
      <c r="O52" s="8">
        <v>48.0</v>
      </c>
    </row>
    <row r="53">
      <c r="A53" s="8">
        <v>10.0</v>
      </c>
      <c r="B53" s="5" t="s">
        <v>241</v>
      </c>
      <c r="C53" s="4">
        <v>2023.0</v>
      </c>
      <c r="D53" s="8">
        <v>23.0</v>
      </c>
      <c r="E53" s="8">
        <v>11.0</v>
      </c>
      <c r="F53" s="9"/>
      <c r="G53" s="8">
        <v>12.0</v>
      </c>
      <c r="H53" s="8" t="s">
        <v>25</v>
      </c>
      <c r="I53" s="8" t="s">
        <v>180</v>
      </c>
      <c r="J53" s="8" t="s">
        <v>242</v>
      </c>
      <c r="K53" s="8">
        <v>2193.0</v>
      </c>
      <c r="L53" s="8" t="s">
        <v>243</v>
      </c>
      <c r="M53" s="8">
        <v>1877.0</v>
      </c>
      <c r="N53" s="8">
        <v>116.8</v>
      </c>
      <c r="O53" s="8">
        <v>44.0</v>
      </c>
    </row>
    <row r="54">
      <c r="A54" s="8">
        <v>11.0</v>
      </c>
      <c r="B54" s="5" t="s">
        <v>244</v>
      </c>
      <c r="C54" s="4">
        <v>2023.0</v>
      </c>
      <c r="D54" s="8">
        <v>23.0</v>
      </c>
      <c r="E54" s="8">
        <v>11.0</v>
      </c>
      <c r="F54" s="9"/>
      <c r="G54" s="8">
        <v>12.0</v>
      </c>
      <c r="H54" s="8" t="s">
        <v>59</v>
      </c>
      <c r="I54" s="8" t="s">
        <v>69</v>
      </c>
      <c r="J54" s="8" t="s">
        <v>245</v>
      </c>
      <c r="K54" s="8">
        <v>1838.0</v>
      </c>
      <c r="L54" s="8" t="s">
        <v>246</v>
      </c>
      <c r="M54" s="8">
        <v>2050.0</v>
      </c>
      <c r="N54" s="8">
        <v>89.7</v>
      </c>
      <c r="O54" s="8">
        <v>44.0</v>
      </c>
    </row>
    <row r="55">
      <c r="A55" s="8">
        <v>12.0</v>
      </c>
      <c r="B55" s="5" t="s">
        <v>247</v>
      </c>
      <c r="C55" s="4">
        <v>2023.0</v>
      </c>
      <c r="D55" s="8">
        <v>23.0</v>
      </c>
      <c r="E55" s="8">
        <v>10.0</v>
      </c>
      <c r="F55" s="8">
        <v>1.0</v>
      </c>
      <c r="G55" s="8">
        <v>12.0</v>
      </c>
      <c r="H55" s="8" t="s">
        <v>25</v>
      </c>
      <c r="I55" s="10">
        <v>39479.0</v>
      </c>
      <c r="J55" s="8" t="s">
        <v>248</v>
      </c>
      <c r="K55" s="8">
        <v>2088.0</v>
      </c>
      <c r="L55" s="8" t="s">
        <v>249</v>
      </c>
      <c r="M55" s="8">
        <v>1855.0</v>
      </c>
      <c r="N55" s="8">
        <v>112.6</v>
      </c>
      <c r="O55" s="8">
        <v>42.0</v>
      </c>
    </row>
    <row r="56">
      <c r="A56" s="8">
        <v>13.0</v>
      </c>
      <c r="B56" s="5" t="s">
        <v>250</v>
      </c>
      <c r="C56" s="4">
        <v>2023.0</v>
      </c>
      <c r="D56" s="8">
        <v>23.0</v>
      </c>
      <c r="E56" s="8">
        <v>10.0</v>
      </c>
      <c r="F56" s="8">
        <v>1.0</v>
      </c>
      <c r="G56" s="8">
        <v>12.0</v>
      </c>
      <c r="H56" s="10">
        <v>38504.0</v>
      </c>
      <c r="I56" s="8" t="s">
        <v>69</v>
      </c>
      <c r="J56" s="8" t="s">
        <v>251</v>
      </c>
      <c r="K56" s="8">
        <v>1856.0</v>
      </c>
      <c r="L56" s="8" t="s">
        <v>252</v>
      </c>
      <c r="M56" s="8">
        <v>1983.0</v>
      </c>
      <c r="N56" s="8">
        <v>93.6</v>
      </c>
      <c r="O56" s="8">
        <v>42.0</v>
      </c>
    </row>
    <row r="57">
      <c r="A57" s="8">
        <v>14.0</v>
      </c>
      <c r="B57" s="5" t="s">
        <v>253</v>
      </c>
      <c r="C57" s="4">
        <v>2023.0</v>
      </c>
      <c r="D57" s="8">
        <v>23.0</v>
      </c>
      <c r="E57" s="8">
        <v>10.0</v>
      </c>
      <c r="F57" s="9"/>
      <c r="G57" s="8">
        <v>13.0</v>
      </c>
      <c r="H57" s="8" t="s">
        <v>54</v>
      </c>
      <c r="I57" s="8" t="s">
        <v>64</v>
      </c>
      <c r="J57" s="8" t="s">
        <v>254</v>
      </c>
      <c r="K57" s="8">
        <v>1835.0</v>
      </c>
      <c r="L57" s="8" t="s">
        <v>255</v>
      </c>
      <c r="M57" s="8">
        <v>1898.0</v>
      </c>
      <c r="N57" s="8">
        <v>96.7</v>
      </c>
      <c r="O57" s="8">
        <v>40.0</v>
      </c>
    </row>
    <row r="58">
      <c r="A58" s="8">
        <v>15.0</v>
      </c>
      <c r="B58" s="5" t="s">
        <v>256</v>
      </c>
      <c r="C58" s="4">
        <v>2023.0</v>
      </c>
      <c r="D58" s="8">
        <v>23.0</v>
      </c>
      <c r="E58" s="8">
        <v>9.0</v>
      </c>
      <c r="F58" s="9"/>
      <c r="G58" s="8">
        <v>14.0</v>
      </c>
      <c r="H58" s="8" t="s">
        <v>19</v>
      </c>
      <c r="I58" s="8" t="s">
        <v>87</v>
      </c>
      <c r="J58" s="8" t="s">
        <v>257</v>
      </c>
      <c r="K58" s="8">
        <v>1839.0</v>
      </c>
      <c r="L58" s="8" t="s">
        <v>258</v>
      </c>
      <c r="M58" s="8">
        <v>2006.0</v>
      </c>
      <c r="N58" s="8">
        <v>91.7</v>
      </c>
      <c r="O58" s="8">
        <v>36.0</v>
      </c>
    </row>
    <row r="59">
      <c r="A59" s="8">
        <v>16.0</v>
      </c>
      <c r="B59" s="5" t="s">
        <v>259</v>
      </c>
      <c r="C59" s="4">
        <v>2023.0</v>
      </c>
      <c r="D59" s="8">
        <v>23.0</v>
      </c>
      <c r="E59" s="8">
        <v>7.0</v>
      </c>
      <c r="F59" s="9"/>
      <c r="G59" s="8">
        <v>16.0</v>
      </c>
      <c r="H59" s="8" t="s">
        <v>64</v>
      </c>
      <c r="I59" s="8" t="s">
        <v>87</v>
      </c>
      <c r="J59" s="8" t="s">
        <v>260</v>
      </c>
      <c r="K59" s="8">
        <v>1686.0</v>
      </c>
      <c r="L59" s="8" t="s">
        <v>261</v>
      </c>
      <c r="M59" s="8">
        <v>2101.0</v>
      </c>
      <c r="N59" s="8">
        <v>80.2</v>
      </c>
      <c r="O59" s="8">
        <v>28.0</v>
      </c>
    </row>
    <row r="60">
      <c r="A60" s="8">
        <v>17.0</v>
      </c>
      <c r="B60" s="5" t="s">
        <v>262</v>
      </c>
      <c r="C60" s="4">
        <v>2023.0</v>
      </c>
      <c r="D60" s="8">
        <v>23.0</v>
      </c>
      <c r="E60" s="8">
        <v>3.0</v>
      </c>
      <c r="F60" s="9"/>
      <c r="G60" s="8">
        <v>20.0</v>
      </c>
      <c r="H60" s="8" t="s">
        <v>78</v>
      </c>
      <c r="I60" s="8" t="s">
        <v>189</v>
      </c>
      <c r="J60" s="8" t="s">
        <v>263</v>
      </c>
      <c r="K60" s="8">
        <v>1657.0</v>
      </c>
      <c r="L60" s="8" t="s">
        <v>264</v>
      </c>
      <c r="M60" s="8">
        <v>2318.0</v>
      </c>
      <c r="N60" s="8">
        <v>71.5</v>
      </c>
      <c r="O60" s="8">
        <v>12.0</v>
      </c>
    </row>
    <row r="61">
      <c r="A61" s="8">
        <v>18.0</v>
      </c>
      <c r="B61" s="5" t="s">
        <v>265</v>
      </c>
      <c r="C61" s="4">
        <v>2023.0</v>
      </c>
      <c r="D61" s="8">
        <v>23.0</v>
      </c>
      <c r="E61" s="8">
        <v>3.0</v>
      </c>
      <c r="F61" s="9"/>
      <c r="G61" s="8">
        <v>20.0</v>
      </c>
      <c r="H61" s="8" t="s">
        <v>78</v>
      </c>
      <c r="I61" s="8" t="s">
        <v>189</v>
      </c>
      <c r="J61" s="8" t="s">
        <v>266</v>
      </c>
      <c r="K61" s="8">
        <v>1418.0</v>
      </c>
      <c r="L61" s="8" t="s">
        <v>267</v>
      </c>
      <c r="M61" s="8">
        <v>2674.0</v>
      </c>
      <c r="N61" s="8">
        <v>53.0</v>
      </c>
      <c r="O61" s="8">
        <v>12.0</v>
      </c>
    </row>
    <row r="63">
      <c r="A63" s="1" t="s">
        <v>268</v>
      </c>
    </row>
    <row r="64">
      <c r="A64" s="2" t="s">
        <v>269</v>
      </c>
      <c r="B64" s="2" t="s">
        <v>270</v>
      </c>
      <c r="C64" s="3" t="s">
        <v>3</v>
      </c>
      <c r="D64" s="1" t="s">
        <v>271</v>
      </c>
      <c r="E64" s="1" t="s">
        <v>272</v>
      </c>
      <c r="F64" s="1" t="s">
        <v>273</v>
      </c>
      <c r="G64" s="1" t="s">
        <v>274</v>
      </c>
      <c r="H64" s="1" t="s">
        <v>275</v>
      </c>
      <c r="I64" s="1" t="s">
        <v>276</v>
      </c>
      <c r="J64" s="1" t="s">
        <v>277</v>
      </c>
      <c r="K64" s="1" t="s">
        <v>278</v>
      </c>
      <c r="L64" s="1" t="s">
        <v>279</v>
      </c>
      <c r="M64" s="1" t="s">
        <v>280</v>
      </c>
      <c r="N64" s="1" t="s">
        <v>281</v>
      </c>
      <c r="O64" s="1" t="s">
        <v>282</v>
      </c>
    </row>
    <row r="65">
      <c r="A65" s="4">
        <v>1.0</v>
      </c>
      <c r="B65" s="5" t="s">
        <v>283</v>
      </c>
      <c r="C65" s="4">
        <v>2022.0</v>
      </c>
      <c r="D65" s="4">
        <v>22.0</v>
      </c>
      <c r="E65" s="4">
        <v>18.0</v>
      </c>
      <c r="F65" s="6"/>
      <c r="G65" s="4">
        <v>4.0</v>
      </c>
      <c r="H65" s="4" t="s">
        <v>53</v>
      </c>
      <c r="I65" s="4" t="s">
        <v>39</v>
      </c>
      <c r="J65" s="4" t="s">
        <v>284</v>
      </c>
      <c r="K65" s="4">
        <v>2146.0</v>
      </c>
      <c r="L65" s="4" t="s">
        <v>285</v>
      </c>
      <c r="M65" s="4">
        <v>1488.0</v>
      </c>
      <c r="N65" s="4">
        <v>144.2</v>
      </c>
      <c r="O65" s="4">
        <v>72.0</v>
      </c>
    </row>
    <row r="66">
      <c r="A66" s="4">
        <v>2.0</v>
      </c>
      <c r="B66" s="5" t="s">
        <v>286</v>
      </c>
      <c r="C66" s="4">
        <v>2022.0</v>
      </c>
      <c r="D66" s="4">
        <v>22.0</v>
      </c>
      <c r="E66" s="4">
        <v>16.0</v>
      </c>
      <c r="F66" s="6"/>
      <c r="G66" s="4">
        <v>6.0</v>
      </c>
      <c r="H66" s="4" t="s">
        <v>39</v>
      </c>
      <c r="I66" s="4" t="s">
        <v>39</v>
      </c>
      <c r="J66" s="4" t="s">
        <v>287</v>
      </c>
      <c r="K66" s="4">
        <v>1936.0</v>
      </c>
      <c r="L66" s="4" t="s">
        <v>288</v>
      </c>
      <c r="M66" s="4">
        <v>1483.0</v>
      </c>
      <c r="N66" s="4">
        <v>130.5</v>
      </c>
      <c r="O66" s="4">
        <v>64.0</v>
      </c>
    </row>
    <row r="67">
      <c r="A67" s="4">
        <v>3.0</v>
      </c>
      <c r="B67" s="5" t="s">
        <v>289</v>
      </c>
      <c r="C67" s="4">
        <v>2022.0</v>
      </c>
      <c r="D67" s="4">
        <v>22.0</v>
      </c>
      <c r="E67" s="4">
        <v>16.0</v>
      </c>
      <c r="F67" s="6"/>
      <c r="G67" s="4">
        <v>6.0</v>
      </c>
      <c r="H67" s="4" t="s">
        <v>24</v>
      </c>
      <c r="I67" s="4" t="s">
        <v>19</v>
      </c>
      <c r="J67" s="4" t="s">
        <v>290</v>
      </c>
      <c r="K67" s="4">
        <v>2067.0</v>
      </c>
      <c r="L67" s="4" t="s">
        <v>291</v>
      </c>
      <c r="M67" s="4">
        <v>1616.0</v>
      </c>
      <c r="N67" s="4">
        <v>127.9</v>
      </c>
      <c r="O67" s="4">
        <v>64.0</v>
      </c>
    </row>
    <row r="68">
      <c r="A68" s="4">
        <v>4.0</v>
      </c>
      <c r="B68" s="5" t="s">
        <v>292</v>
      </c>
      <c r="C68" s="4">
        <v>2022.0</v>
      </c>
      <c r="D68" s="4">
        <v>22.0</v>
      </c>
      <c r="E68" s="4">
        <v>16.0</v>
      </c>
      <c r="F68" s="6"/>
      <c r="G68" s="4">
        <v>6.0</v>
      </c>
      <c r="H68" s="4" t="s">
        <v>39</v>
      </c>
      <c r="I68" s="4" t="s">
        <v>39</v>
      </c>
      <c r="J68" s="4" t="s">
        <v>74</v>
      </c>
      <c r="K68" s="4">
        <v>1839.0</v>
      </c>
      <c r="L68" s="4" t="s">
        <v>293</v>
      </c>
      <c r="M68" s="4">
        <v>1763.0</v>
      </c>
      <c r="N68" s="4">
        <v>104.3</v>
      </c>
      <c r="O68" s="4">
        <v>64.0</v>
      </c>
    </row>
    <row r="69">
      <c r="A69" s="4">
        <v>5.0</v>
      </c>
      <c r="B69" s="5" t="s">
        <v>294</v>
      </c>
      <c r="C69" s="4">
        <v>2022.0</v>
      </c>
      <c r="D69" s="4">
        <v>22.0</v>
      </c>
      <c r="E69" s="4">
        <v>15.0</v>
      </c>
      <c r="F69" s="4">
        <v>1.0</v>
      </c>
      <c r="G69" s="4">
        <v>6.0</v>
      </c>
      <c r="H69" s="4" t="s">
        <v>19</v>
      </c>
      <c r="I69" s="7">
        <v>37469.0</v>
      </c>
      <c r="J69" s="4" t="s">
        <v>295</v>
      </c>
      <c r="K69" s="4">
        <v>1739.0</v>
      </c>
      <c r="L69" s="4" t="s">
        <v>296</v>
      </c>
      <c r="M69" s="4">
        <v>1486.0</v>
      </c>
      <c r="N69" s="4">
        <v>117.0</v>
      </c>
      <c r="O69" s="4">
        <v>62.0</v>
      </c>
    </row>
    <row r="70">
      <c r="A70" s="4">
        <v>6.0</v>
      </c>
      <c r="B70" s="5" t="s">
        <v>297</v>
      </c>
      <c r="C70" s="4">
        <v>2022.0</v>
      </c>
      <c r="D70" s="4">
        <v>22.0</v>
      </c>
      <c r="E70" s="4">
        <v>15.0</v>
      </c>
      <c r="F70" s="6"/>
      <c r="G70" s="4">
        <v>7.0</v>
      </c>
      <c r="H70" s="4" t="s">
        <v>24</v>
      </c>
      <c r="I70" s="4" t="s">
        <v>151</v>
      </c>
      <c r="J70" s="4" t="s">
        <v>298</v>
      </c>
      <c r="K70" s="4">
        <v>2147.0</v>
      </c>
      <c r="L70" s="4" t="s">
        <v>299</v>
      </c>
      <c r="M70" s="4">
        <v>1799.0</v>
      </c>
      <c r="N70" s="4">
        <v>119.3</v>
      </c>
      <c r="O70" s="4">
        <v>60.0</v>
      </c>
    </row>
    <row r="71">
      <c r="A71" s="4">
        <v>7.0</v>
      </c>
      <c r="B71" s="5" t="s">
        <v>300</v>
      </c>
      <c r="C71" s="4">
        <v>2022.0</v>
      </c>
      <c r="D71" s="4">
        <v>22.0</v>
      </c>
      <c r="E71" s="4">
        <v>13.0</v>
      </c>
      <c r="F71" s="4">
        <v>1.0</v>
      </c>
      <c r="G71" s="4">
        <v>8.0</v>
      </c>
      <c r="H71" s="7">
        <v>37135.0</v>
      </c>
      <c r="I71" s="4" t="s">
        <v>69</v>
      </c>
      <c r="J71" s="4" t="s">
        <v>301</v>
      </c>
      <c r="K71" s="4">
        <v>2165.0</v>
      </c>
      <c r="L71" s="4" t="s">
        <v>302</v>
      </c>
      <c r="M71" s="4">
        <v>1780.0</v>
      </c>
      <c r="N71" s="4">
        <v>121.6</v>
      </c>
      <c r="O71" s="4">
        <v>54.0</v>
      </c>
    </row>
    <row r="72">
      <c r="A72" s="4">
        <v>8.0</v>
      </c>
      <c r="B72" s="5" t="s">
        <v>303</v>
      </c>
      <c r="C72" s="4">
        <v>2022.0</v>
      </c>
      <c r="D72" s="4">
        <v>22.0</v>
      </c>
      <c r="E72" s="4">
        <v>12.0</v>
      </c>
      <c r="F72" s="6"/>
      <c r="G72" s="4">
        <v>10.0</v>
      </c>
      <c r="H72" s="4" t="s">
        <v>19</v>
      </c>
      <c r="I72" s="4" t="s">
        <v>64</v>
      </c>
      <c r="J72" s="4" t="s">
        <v>304</v>
      </c>
      <c r="K72" s="4">
        <v>1973.0</v>
      </c>
      <c r="L72" s="4" t="s">
        <v>305</v>
      </c>
      <c r="M72" s="4">
        <v>1812.0</v>
      </c>
      <c r="N72" s="4">
        <v>108.9</v>
      </c>
      <c r="O72" s="4">
        <v>48.0</v>
      </c>
    </row>
    <row r="73">
      <c r="A73" s="8">
        <v>9.0</v>
      </c>
      <c r="B73" s="5" t="s">
        <v>306</v>
      </c>
      <c r="C73" s="4">
        <v>2022.0</v>
      </c>
      <c r="D73" s="8">
        <v>22.0</v>
      </c>
      <c r="E73" s="8">
        <v>12.0</v>
      </c>
      <c r="F73" s="9"/>
      <c r="G73" s="8">
        <v>10.0</v>
      </c>
      <c r="H73" s="8" t="s">
        <v>39</v>
      </c>
      <c r="I73" s="8" t="s">
        <v>69</v>
      </c>
      <c r="J73" s="8" t="s">
        <v>307</v>
      </c>
      <c r="K73" s="8">
        <v>1857.0</v>
      </c>
      <c r="L73" s="8" t="s">
        <v>308</v>
      </c>
      <c r="M73" s="8">
        <v>1714.0</v>
      </c>
      <c r="N73" s="8">
        <v>108.3</v>
      </c>
      <c r="O73" s="8">
        <v>48.0</v>
      </c>
    </row>
    <row r="74">
      <c r="A74" s="8">
        <v>10.0</v>
      </c>
      <c r="B74" s="5" t="s">
        <v>309</v>
      </c>
      <c r="C74" s="4">
        <v>2022.0</v>
      </c>
      <c r="D74" s="8">
        <v>22.0</v>
      </c>
      <c r="E74" s="8">
        <v>11.0</v>
      </c>
      <c r="F74" s="9"/>
      <c r="G74" s="8">
        <v>11.0</v>
      </c>
      <c r="H74" s="8" t="s">
        <v>64</v>
      </c>
      <c r="I74" s="8" t="s">
        <v>151</v>
      </c>
      <c r="J74" s="8" t="s">
        <v>310</v>
      </c>
      <c r="K74" s="8">
        <v>1703.0</v>
      </c>
      <c r="L74" s="8" t="s">
        <v>311</v>
      </c>
      <c r="M74" s="8">
        <v>1715.0</v>
      </c>
      <c r="N74" s="8">
        <v>99.3</v>
      </c>
      <c r="O74" s="8">
        <v>44.0</v>
      </c>
    </row>
    <row r="75">
      <c r="A75" s="8">
        <v>11.0</v>
      </c>
      <c r="B75" s="5" t="s">
        <v>312</v>
      </c>
      <c r="C75" s="4">
        <v>2022.0</v>
      </c>
      <c r="D75" s="8">
        <v>22.0</v>
      </c>
      <c r="E75" s="8">
        <v>10.0</v>
      </c>
      <c r="F75" s="9"/>
      <c r="G75" s="8">
        <v>12.0</v>
      </c>
      <c r="H75" s="8" t="s">
        <v>19</v>
      </c>
      <c r="I75" s="8" t="s">
        <v>180</v>
      </c>
      <c r="J75" s="8" t="s">
        <v>313</v>
      </c>
      <c r="K75" s="8">
        <v>1806.0</v>
      </c>
      <c r="L75" s="8" t="s">
        <v>314</v>
      </c>
      <c r="M75" s="8">
        <v>1638.0</v>
      </c>
      <c r="N75" s="8">
        <v>110.3</v>
      </c>
      <c r="O75" s="8">
        <v>40.0</v>
      </c>
    </row>
    <row r="76">
      <c r="A76" s="8">
        <v>12.0</v>
      </c>
      <c r="B76" s="5" t="s">
        <v>315</v>
      </c>
      <c r="C76" s="4">
        <v>2022.0</v>
      </c>
      <c r="D76" s="8">
        <v>22.0</v>
      </c>
      <c r="E76" s="8">
        <v>10.0</v>
      </c>
      <c r="F76" s="9"/>
      <c r="G76" s="8">
        <v>12.0</v>
      </c>
      <c r="H76" s="8" t="s">
        <v>19</v>
      </c>
      <c r="I76" s="8" t="s">
        <v>180</v>
      </c>
      <c r="J76" s="8" t="s">
        <v>316</v>
      </c>
      <c r="K76" s="8">
        <v>1871.0</v>
      </c>
      <c r="L76" s="8" t="s">
        <v>317</v>
      </c>
      <c r="M76" s="8">
        <v>1820.0</v>
      </c>
      <c r="N76" s="8">
        <v>102.8</v>
      </c>
      <c r="O76" s="8">
        <v>40.0</v>
      </c>
    </row>
    <row r="77">
      <c r="A77" s="8">
        <v>13.0</v>
      </c>
      <c r="B77" s="5" t="s">
        <v>318</v>
      </c>
      <c r="C77" s="4">
        <v>2022.0</v>
      </c>
      <c r="D77" s="8">
        <v>22.0</v>
      </c>
      <c r="E77" s="8">
        <v>8.0</v>
      </c>
      <c r="F77" s="9"/>
      <c r="G77" s="8">
        <v>14.0</v>
      </c>
      <c r="H77" s="8" t="s">
        <v>151</v>
      </c>
      <c r="I77" s="8" t="s">
        <v>78</v>
      </c>
      <c r="J77" s="8" t="s">
        <v>319</v>
      </c>
      <c r="K77" s="8">
        <v>1787.0</v>
      </c>
      <c r="L77" s="8" t="s">
        <v>320</v>
      </c>
      <c r="M77" s="8">
        <v>1991.0</v>
      </c>
      <c r="N77" s="8">
        <v>89.8</v>
      </c>
      <c r="O77" s="8">
        <v>32.0</v>
      </c>
    </row>
    <row r="78">
      <c r="A78" s="8">
        <v>14.0</v>
      </c>
      <c r="B78" s="5" t="s">
        <v>321</v>
      </c>
      <c r="C78" s="4">
        <v>2022.0</v>
      </c>
      <c r="D78" s="8">
        <v>22.0</v>
      </c>
      <c r="E78" s="8">
        <v>8.0</v>
      </c>
      <c r="F78" s="9"/>
      <c r="G78" s="8">
        <v>14.0</v>
      </c>
      <c r="H78" s="8" t="s">
        <v>64</v>
      </c>
      <c r="I78" s="8" t="s">
        <v>180</v>
      </c>
      <c r="J78" s="8" t="s">
        <v>322</v>
      </c>
      <c r="K78" s="8">
        <v>1721.0</v>
      </c>
      <c r="L78" s="8" t="s">
        <v>323</v>
      </c>
      <c r="M78" s="8">
        <v>1986.0</v>
      </c>
      <c r="N78" s="8">
        <v>86.7</v>
      </c>
      <c r="O78" s="8">
        <v>32.0</v>
      </c>
    </row>
    <row r="79">
      <c r="A79" s="8">
        <v>15.0</v>
      </c>
      <c r="B79" s="5" t="s">
        <v>324</v>
      </c>
      <c r="C79" s="4">
        <v>2022.0</v>
      </c>
      <c r="D79" s="8">
        <v>22.0</v>
      </c>
      <c r="E79" s="8">
        <v>7.0</v>
      </c>
      <c r="F79" s="9"/>
      <c r="G79" s="8">
        <v>15.0</v>
      </c>
      <c r="H79" s="8" t="s">
        <v>64</v>
      </c>
      <c r="I79" s="8" t="s">
        <v>78</v>
      </c>
      <c r="J79" s="8" t="s">
        <v>325</v>
      </c>
      <c r="K79" s="8">
        <v>1737.0</v>
      </c>
      <c r="L79" s="8" t="s">
        <v>326</v>
      </c>
      <c r="M79" s="8">
        <v>2087.0</v>
      </c>
      <c r="N79" s="8">
        <v>83.2</v>
      </c>
      <c r="O79" s="8">
        <v>28.0</v>
      </c>
    </row>
    <row r="80">
      <c r="A80" s="8">
        <v>16.0</v>
      </c>
      <c r="B80" s="5" t="s">
        <v>327</v>
      </c>
      <c r="C80" s="4">
        <v>2022.0</v>
      </c>
      <c r="D80" s="8">
        <v>22.0</v>
      </c>
      <c r="E80" s="8">
        <v>6.0</v>
      </c>
      <c r="F80" s="9"/>
      <c r="G80" s="8">
        <v>16.0</v>
      </c>
      <c r="H80" s="8" t="s">
        <v>69</v>
      </c>
      <c r="I80" s="8" t="s">
        <v>78</v>
      </c>
      <c r="J80" s="8" t="s">
        <v>328</v>
      </c>
      <c r="K80" s="8">
        <v>1631.0</v>
      </c>
      <c r="L80" s="8" t="s">
        <v>329</v>
      </c>
      <c r="M80" s="8">
        <v>1927.0</v>
      </c>
      <c r="N80" s="8">
        <v>84.6</v>
      </c>
      <c r="O80" s="8">
        <v>24.0</v>
      </c>
    </row>
    <row r="81">
      <c r="A81" s="8">
        <v>17.0</v>
      </c>
      <c r="B81" s="5" t="s">
        <v>330</v>
      </c>
      <c r="C81" s="4">
        <v>2022.0</v>
      </c>
      <c r="D81" s="8">
        <v>22.0</v>
      </c>
      <c r="E81" s="8">
        <v>2.0</v>
      </c>
      <c r="F81" s="9"/>
      <c r="G81" s="8">
        <v>20.0</v>
      </c>
      <c r="H81" s="8" t="s">
        <v>97</v>
      </c>
      <c r="I81" s="8" t="s">
        <v>97</v>
      </c>
      <c r="J81" s="8" t="s">
        <v>331</v>
      </c>
      <c r="K81" s="8">
        <v>1429.0</v>
      </c>
      <c r="L81" s="8" t="s">
        <v>332</v>
      </c>
      <c r="M81" s="8">
        <v>2389.0</v>
      </c>
      <c r="N81" s="8">
        <v>59.8</v>
      </c>
      <c r="O81" s="8">
        <v>8.0</v>
      </c>
    </row>
    <row r="82">
      <c r="A82" s="8">
        <v>18.0</v>
      </c>
      <c r="B82" s="5" t="s">
        <v>333</v>
      </c>
      <c r="C82" s="4">
        <v>2022.0</v>
      </c>
      <c r="D82" s="8">
        <v>22.0</v>
      </c>
      <c r="E82" s="8">
        <v>2.0</v>
      </c>
      <c r="F82" s="9"/>
      <c r="G82" s="8">
        <v>20.0</v>
      </c>
      <c r="H82" s="8" t="s">
        <v>78</v>
      </c>
      <c r="I82" s="8" t="s">
        <v>334</v>
      </c>
      <c r="J82" s="8" t="s">
        <v>335</v>
      </c>
      <c r="K82" s="8">
        <v>1337.0</v>
      </c>
      <c r="L82" s="8" t="s">
        <v>336</v>
      </c>
      <c r="M82" s="8">
        <v>2397.0</v>
      </c>
      <c r="N82" s="8">
        <v>55.8</v>
      </c>
      <c r="O82" s="8">
        <v>8.0</v>
      </c>
    </row>
    <row r="84">
      <c r="A84" s="1" t="s">
        <v>337</v>
      </c>
    </row>
    <row r="85">
      <c r="A85" s="2" t="s">
        <v>338</v>
      </c>
      <c r="B85" s="2" t="s">
        <v>339</v>
      </c>
      <c r="C85" s="3" t="s">
        <v>3</v>
      </c>
      <c r="D85" s="1" t="s">
        <v>340</v>
      </c>
      <c r="E85" s="1" t="s">
        <v>341</v>
      </c>
      <c r="F85" s="1" t="s">
        <v>342</v>
      </c>
      <c r="G85" s="1" t="s">
        <v>343</v>
      </c>
      <c r="H85" s="1" t="s">
        <v>344</v>
      </c>
      <c r="I85" s="1" t="s">
        <v>345</v>
      </c>
      <c r="J85" s="1" t="s">
        <v>346</v>
      </c>
      <c r="K85" s="1" t="s">
        <v>347</v>
      </c>
      <c r="L85" s="1" t="s">
        <v>348</v>
      </c>
      <c r="M85" s="1" t="s">
        <v>349</v>
      </c>
      <c r="N85" s="1" t="s">
        <v>350</v>
      </c>
      <c r="O85" s="1" t="s">
        <v>351</v>
      </c>
    </row>
    <row r="86">
      <c r="A86" s="4">
        <v>1.0</v>
      </c>
      <c r="B86" s="5" t="s">
        <v>352</v>
      </c>
      <c r="C86" s="4">
        <v>2021.0</v>
      </c>
      <c r="D86" s="4">
        <v>22.0</v>
      </c>
      <c r="E86" s="4">
        <v>17.0</v>
      </c>
      <c r="F86" s="4">
        <v>1.0</v>
      </c>
      <c r="G86" s="4">
        <v>4.0</v>
      </c>
      <c r="H86" s="7">
        <v>37803.0</v>
      </c>
      <c r="I86" s="4" t="s">
        <v>53</v>
      </c>
      <c r="J86" s="4" t="s">
        <v>353</v>
      </c>
      <c r="K86" s="4">
        <v>1888.0</v>
      </c>
      <c r="L86" s="4" t="s">
        <v>354</v>
      </c>
      <c r="M86" s="4">
        <v>1443.0</v>
      </c>
      <c r="N86" s="4">
        <v>130.8</v>
      </c>
      <c r="O86" s="4">
        <v>70.0</v>
      </c>
    </row>
    <row r="87">
      <c r="A87" s="4">
        <v>2.0</v>
      </c>
      <c r="B87" s="5" t="s">
        <v>355</v>
      </c>
      <c r="C87" s="4">
        <v>2021.0</v>
      </c>
      <c r="D87" s="4">
        <v>22.0</v>
      </c>
      <c r="E87" s="4">
        <v>17.0</v>
      </c>
      <c r="F87" s="6"/>
      <c r="G87" s="4">
        <v>5.0</v>
      </c>
      <c r="H87" s="4" t="s">
        <v>39</v>
      </c>
      <c r="I87" s="4" t="s">
        <v>24</v>
      </c>
      <c r="J87" s="4" t="s">
        <v>356</v>
      </c>
      <c r="K87" s="4">
        <v>1884.0</v>
      </c>
      <c r="L87" s="4" t="s">
        <v>357</v>
      </c>
      <c r="M87" s="4">
        <v>1492.0</v>
      </c>
      <c r="N87" s="4">
        <v>126.3</v>
      </c>
      <c r="O87" s="4">
        <v>68.0</v>
      </c>
    </row>
    <row r="88">
      <c r="A88" s="4">
        <v>3.0</v>
      </c>
      <c r="B88" s="5" t="s">
        <v>358</v>
      </c>
      <c r="C88" s="4">
        <v>2021.0</v>
      </c>
      <c r="D88" s="4">
        <v>22.0</v>
      </c>
      <c r="E88" s="4">
        <v>16.0</v>
      </c>
      <c r="F88" s="6"/>
      <c r="G88" s="4">
        <v>6.0</v>
      </c>
      <c r="H88" s="4" t="s">
        <v>24</v>
      </c>
      <c r="I88" s="4" t="s">
        <v>19</v>
      </c>
      <c r="J88" s="4" t="s">
        <v>359</v>
      </c>
      <c r="K88" s="4">
        <v>1845.0</v>
      </c>
      <c r="L88" s="4" t="s">
        <v>360</v>
      </c>
      <c r="M88" s="4">
        <v>1456.0</v>
      </c>
      <c r="N88" s="4">
        <v>126.7</v>
      </c>
      <c r="O88" s="4">
        <v>64.0</v>
      </c>
    </row>
    <row r="89">
      <c r="A89" s="4">
        <v>4.0</v>
      </c>
      <c r="B89" s="5" t="s">
        <v>361</v>
      </c>
      <c r="C89" s="4">
        <v>2021.0</v>
      </c>
      <c r="D89" s="4">
        <v>22.0</v>
      </c>
      <c r="E89" s="4">
        <v>15.0</v>
      </c>
      <c r="F89" s="6"/>
      <c r="G89" s="4">
        <v>7.0</v>
      </c>
      <c r="H89" s="4" t="s">
        <v>24</v>
      </c>
      <c r="I89" s="4" t="s">
        <v>151</v>
      </c>
      <c r="J89" s="4" t="s">
        <v>362</v>
      </c>
      <c r="K89" s="4">
        <v>2131.0</v>
      </c>
      <c r="L89" s="4" t="s">
        <v>363</v>
      </c>
      <c r="M89" s="4">
        <v>1599.0</v>
      </c>
      <c r="N89" s="4">
        <v>133.3</v>
      </c>
      <c r="O89" s="4">
        <v>60.0</v>
      </c>
    </row>
    <row r="90">
      <c r="A90" s="4">
        <v>5.0</v>
      </c>
      <c r="B90" s="5" t="s">
        <v>364</v>
      </c>
      <c r="C90" s="4">
        <v>2021.0</v>
      </c>
      <c r="D90" s="4">
        <v>22.0</v>
      </c>
      <c r="E90" s="4">
        <v>15.0</v>
      </c>
      <c r="F90" s="6"/>
      <c r="G90" s="4">
        <v>7.0</v>
      </c>
      <c r="H90" s="4" t="s">
        <v>19</v>
      </c>
      <c r="I90" s="4" t="s">
        <v>39</v>
      </c>
      <c r="J90" s="4" t="s">
        <v>365</v>
      </c>
      <c r="K90" s="4">
        <v>1994.0</v>
      </c>
      <c r="L90" s="4" t="s">
        <v>366</v>
      </c>
      <c r="M90" s="4">
        <v>1501.0</v>
      </c>
      <c r="N90" s="4">
        <v>132.8</v>
      </c>
      <c r="O90" s="4">
        <v>60.0</v>
      </c>
    </row>
    <row r="91">
      <c r="A91" s="4">
        <v>6.0</v>
      </c>
      <c r="B91" s="5" t="s">
        <v>367</v>
      </c>
      <c r="C91" s="4">
        <v>2021.0</v>
      </c>
      <c r="D91" s="4">
        <v>22.0</v>
      </c>
      <c r="E91" s="4">
        <v>15.0</v>
      </c>
      <c r="F91" s="6"/>
      <c r="G91" s="4">
        <v>7.0</v>
      </c>
      <c r="H91" s="4" t="s">
        <v>24</v>
      </c>
      <c r="I91" s="4" t="s">
        <v>151</v>
      </c>
      <c r="J91" s="4" t="s">
        <v>323</v>
      </c>
      <c r="K91" s="4">
        <v>1986.0</v>
      </c>
      <c r="L91" s="4" t="s">
        <v>368</v>
      </c>
      <c r="M91" s="4">
        <v>1656.0</v>
      </c>
      <c r="N91" s="4">
        <v>119.9</v>
      </c>
      <c r="O91" s="4">
        <v>60.0</v>
      </c>
    </row>
    <row r="92">
      <c r="A92" s="4">
        <v>7.0</v>
      </c>
      <c r="B92" s="5" t="s">
        <v>369</v>
      </c>
      <c r="C92" s="4">
        <v>2021.0</v>
      </c>
      <c r="D92" s="4">
        <v>22.0</v>
      </c>
      <c r="E92" s="4">
        <v>11.0</v>
      </c>
      <c r="F92" s="4">
        <v>1.0</v>
      </c>
      <c r="G92" s="4">
        <v>10.0</v>
      </c>
      <c r="H92" s="4" t="s">
        <v>69</v>
      </c>
      <c r="I92" s="7">
        <v>37803.0</v>
      </c>
      <c r="J92" s="4" t="s">
        <v>370</v>
      </c>
      <c r="K92" s="4">
        <v>1768.0</v>
      </c>
      <c r="L92" s="4" t="s">
        <v>371</v>
      </c>
      <c r="M92" s="4">
        <v>1773.0</v>
      </c>
      <c r="N92" s="4">
        <v>99.7</v>
      </c>
      <c r="O92" s="4">
        <v>46.0</v>
      </c>
    </row>
    <row r="93">
      <c r="A93" s="4">
        <v>8.0</v>
      </c>
      <c r="B93" s="5" t="s">
        <v>372</v>
      </c>
      <c r="C93" s="4">
        <v>2021.0</v>
      </c>
      <c r="D93" s="4">
        <v>22.0</v>
      </c>
      <c r="E93" s="4">
        <v>11.0</v>
      </c>
      <c r="F93" s="6"/>
      <c r="G93" s="4">
        <v>11.0</v>
      </c>
      <c r="H93" s="4" t="s">
        <v>64</v>
      </c>
      <c r="I93" s="4" t="s">
        <v>151</v>
      </c>
      <c r="J93" s="4" t="s">
        <v>373</v>
      </c>
      <c r="K93" s="4">
        <v>1953.0</v>
      </c>
      <c r="L93" s="4" t="s">
        <v>374</v>
      </c>
      <c r="M93" s="4">
        <v>1790.0</v>
      </c>
      <c r="N93" s="4">
        <v>109.1</v>
      </c>
      <c r="O93" s="4">
        <v>44.0</v>
      </c>
    </row>
    <row r="94">
      <c r="A94" s="8">
        <v>9.0</v>
      </c>
      <c r="B94" s="5" t="s">
        <v>375</v>
      </c>
      <c r="C94" s="4">
        <v>2021.0</v>
      </c>
      <c r="D94" s="8">
        <v>22.0</v>
      </c>
      <c r="E94" s="8">
        <v>10.0</v>
      </c>
      <c r="F94" s="9"/>
      <c r="G94" s="8">
        <v>12.0</v>
      </c>
      <c r="H94" s="8" t="s">
        <v>19</v>
      </c>
      <c r="I94" s="8" t="s">
        <v>180</v>
      </c>
      <c r="J94" s="8" t="s">
        <v>376</v>
      </c>
      <c r="K94" s="8">
        <v>1752.0</v>
      </c>
      <c r="L94" s="8" t="s">
        <v>377</v>
      </c>
      <c r="M94" s="8">
        <v>1880.0</v>
      </c>
      <c r="N94" s="8">
        <v>93.2</v>
      </c>
      <c r="O94" s="8">
        <v>40.0</v>
      </c>
    </row>
    <row r="95">
      <c r="A95" s="8">
        <v>10.0</v>
      </c>
      <c r="B95" s="5" t="s">
        <v>378</v>
      </c>
      <c r="C95" s="4">
        <v>2021.0</v>
      </c>
      <c r="D95" s="8">
        <v>22.0</v>
      </c>
      <c r="E95" s="8">
        <v>10.0</v>
      </c>
      <c r="F95" s="9"/>
      <c r="G95" s="8">
        <v>12.0</v>
      </c>
      <c r="H95" s="8" t="s">
        <v>64</v>
      </c>
      <c r="I95" s="8" t="s">
        <v>64</v>
      </c>
      <c r="J95" s="8" t="s">
        <v>379</v>
      </c>
      <c r="K95" s="8">
        <v>1644.0</v>
      </c>
      <c r="L95" s="8" t="s">
        <v>380</v>
      </c>
      <c r="M95" s="8">
        <v>1796.0</v>
      </c>
      <c r="N95" s="8">
        <v>91.5</v>
      </c>
      <c r="O95" s="8">
        <v>40.0</v>
      </c>
    </row>
    <row r="96">
      <c r="A96" s="8">
        <v>11.0</v>
      </c>
      <c r="B96" s="5" t="s">
        <v>381</v>
      </c>
      <c r="C96" s="4">
        <v>2021.0</v>
      </c>
      <c r="D96" s="8">
        <v>22.0</v>
      </c>
      <c r="E96" s="8">
        <v>10.0</v>
      </c>
      <c r="F96" s="9"/>
      <c r="G96" s="8">
        <v>12.0</v>
      </c>
      <c r="H96" s="8" t="s">
        <v>19</v>
      </c>
      <c r="I96" s="8" t="s">
        <v>180</v>
      </c>
      <c r="J96" s="8" t="s">
        <v>382</v>
      </c>
      <c r="K96" s="8">
        <v>1578.0</v>
      </c>
      <c r="L96" s="8" t="s">
        <v>383</v>
      </c>
      <c r="M96" s="8">
        <v>1825.0</v>
      </c>
      <c r="N96" s="8">
        <v>86.5</v>
      </c>
      <c r="O96" s="8">
        <v>40.0</v>
      </c>
    </row>
    <row r="97">
      <c r="A97" s="8">
        <v>12.0</v>
      </c>
      <c r="B97" s="5" t="s">
        <v>384</v>
      </c>
      <c r="C97" s="4">
        <v>2021.0</v>
      </c>
      <c r="D97" s="8">
        <v>22.0</v>
      </c>
      <c r="E97" s="8">
        <v>9.0</v>
      </c>
      <c r="F97" s="8">
        <v>1.0</v>
      </c>
      <c r="G97" s="8">
        <v>12.0</v>
      </c>
      <c r="H97" s="10">
        <v>38139.0</v>
      </c>
      <c r="I97" s="8" t="s">
        <v>180</v>
      </c>
      <c r="J97" s="8" t="s">
        <v>385</v>
      </c>
      <c r="K97" s="8">
        <v>1743.0</v>
      </c>
      <c r="L97" s="8" t="s">
        <v>386</v>
      </c>
      <c r="M97" s="8">
        <v>1780.0</v>
      </c>
      <c r="N97" s="8">
        <v>97.9</v>
      </c>
      <c r="O97" s="8">
        <v>38.0</v>
      </c>
    </row>
    <row r="98">
      <c r="A98" s="8">
        <v>13.0</v>
      </c>
      <c r="B98" s="5" t="s">
        <v>387</v>
      </c>
      <c r="C98" s="4">
        <v>2021.0</v>
      </c>
      <c r="D98" s="8">
        <v>22.0</v>
      </c>
      <c r="E98" s="8">
        <v>8.0</v>
      </c>
      <c r="F98" s="9"/>
      <c r="G98" s="8">
        <v>14.0</v>
      </c>
      <c r="H98" s="8" t="s">
        <v>180</v>
      </c>
      <c r="I98" s="8" t="s">
        <v>64</v>
      </c>
      <c r="J98" s="8" t="s">
        <v>388</v>
      </c>
      <c r="K98" s="8">
        <v>1746.0</v>
      </c>
      <c r="L98" s="8" t="s">
        <v>389</v>
      </c>
      <c r="M98" s="8">
        <v>1972.0</v>
      </c>
      <c r="N98" s="8">
        <v>88.5</v>
      </c>
      <c r="O98" s="8">
        <v>32.0</v>
      </c>
    </row>
    <row r="99">
      <c r="A99" s="8">
        <v>14.0</v>
      </c>
      <c r="B99" s="5" t="s">
        <v>390</v>
      </c>
      <c r="C99" s="4">
        <v>2021.0</v>
      </c>
      <c r="D99" s="8">
        <v>22.0</v>
      </c>
      <c r="E99" s="8">
        <v>7.0</v>
      </c>
      <c r="F99" s="8">
        <v>2.0</v>
      </c>
      <c r="G99" s="8">
        <v>13.0</v>
      </c>
      <c r="H99" s="8" t="s">
        <v>69</v>
      </c>
      <c r="I99" s="10">
        <v>38778.0</v>
      </c>
      <c r="J99" s="8" t="s">
        <v>391</v>
      </c>
      <c r="K99" s="8">
        <v>1629.0</v>
      </c>
      <c r="L99" s="8" t="s">
        <v>392</v>
      </c>
      <c r="M99" s="8">
        <v>1912.0</v>
      </c>
      <c r="N99" s="8">
        <v>85.2</v>
      </c>
      <c r="O99" s="8">
        <v>32.0</v>
      </c>
    </row>
    <row r="100">
      <c r="A100" s="8">
        <v>15.0</v>
      </c>
      <c r="B100" s="5" t="s">
        <v>393</v>
      </c>
      <c r="C100" s="4">
        <v>2021.0</v>
      </c>
      <c r="D100" s="8">
        <v>22.0</v>
      </c>
      <c r="E100" s="8">
        <v>7.0</v>
      </c>
      <c r="F100" s="9"/>
      <c r="G100" s="8">
        <v>15.0</v>
      </c>
      <c r="H100" s="8" t="s">
        <v>64</v>
      </c>
      <c r="I100" s="8" t="s">
        <v>78</v>
      </c>
      <c r="J100" s="8" t="s">
        <v>394</v>
      </c>
      <c r="K100" s="8">
        <v>1616.0</v>
      </c>
      <c r="L100" s="8" t="s">
        <v>395</v>
      </c>
      <c r="M100" s="8">
        <v>1971.0</v>
      </c>
      <c r="N100" s="8">
        <v>82.0</v>
      </c>
      <c r="O100" s="8">
        <v>28.0</v>
      </c>
    </row>
    <row r="101">
      <c r="A101" s="8">
        <v>16.0</v>
      </c>
      <c r="B101" s="5" t="s">
        <v>396</v>
      </c>
      <c r="C101" s="4">
        <v>2021.0</v>
      </c>
      <c r="D101" s="8">
        <v>22.0</v>
      </c>
      <c r="E101" s="8">
        <v>7.0</v>
      </c>
      <c r="F101" s="9"/>
      <c r="G101" s="8">
        <v>15.0</v>
      </c>
      <c r="H101" s="8" t="s">
        <v>69</v>
      </c>
      <c r="I101" s="8" t="s">
        <v>180</v>
      </c>
      <c r="J101" s="8" t="s">
        <v>397</v>
      </c>
      <c r="K101" s="8">
        <v>1430.0</v>
      </c>
      <c r="L101" s="8" t="s">
        <v>398</v>
      </c>
      <c r="M101" s="8">
        <v>1863.0</v>
      </c>
      <c r="N101" s="8">
        <v>76.8</v>
      </c>
      <c r="O101" s="8">
        <v>28.0</v>
      </c>
    </row>
    <row r="102">
      <c r="A102" s="8">
        <v>17.0</v>
      </c>
      <c r="B102" s="5" t="s">
        <v>399</v>
      </c>
      <c r="C102" s="4">
        <v>2021.0</v>
      </c>
      <c r="D102" s="8">
        <v>22.0</v>
      </c>
      <c r="E102" s="8">
        <v>6.0</v>
      </c>
      <c r="F102" s="9"/>
      <c r="G102" s="8">
        <v>16.0</v>
      </c>
      <c r="H102" s="8" t="s">
        <v>97</v>
      </c>
      <c r="I102" s="8" t="s">
        <v>64</v>
      </c>
      <c r="J102" s="8" t="s">
        <v>400</v>
      </c>
      <c r="K102" s="8">
        <v>1557.0</v>
      </c>
      <c r="L102" s="8" t="s">
        <v>401</v>
      </c>
      <c r="M102" s="8">
        <v>1818.0</v>
      </c>
      <c r="N102" s="8">
        <v>85.6</v>
      </c>
      <c r="O102" s="8">
        <v>24.0</v>
      </c>
    </row>
    <row r="103">
      <c r="A103" s="8">
        <v>18.0</v>
      </c>
      <c r="B103" s="5" t="s">
        <v>402</v>
      </c>
      <c r="C103" s="4">
        <v>2021.0</v>
      </c>
      <c r="D103" s="8">
        <v>22.0</v>
      </c>
      <c r="E103" s="8">
        <v>4.0</v>
      </c>
      <c r="F103" s="8">
        <v>1.0</v>
      </c>
      <c r="G103" s="8">
        <v>17.0</v>
      </c>
      <c r="H103" s="10">
        <v>39814.0</v>
      </c>
      <c r="I103" s="8" t="s">
        <v>180</v>
      </c>
      <c r="J103" s="8" t="s">
        <v>403</v>
      </c>
      <c r="K103" s="8">
        <v>1458.0</v>
      </c>
      <c r="L103" s="8" t="s">
        <v>404</v>
      </c>
      <c r="M103" s="8">
        <v>2075.0</v>
      </c>
      <c r="N103" s="8">
        <v>70.3</v>
      </c>
      <c r="O103" s="8">
        <v>18.0</v>
      </c>
    </row>
    <row r="105">
      <c r="A105" s="1" t="s">
        <v>405</v>
      </c>
    </row>
    <row r="106">
      <c r="A106" s="2" t="s">
        <v>406</v>
      </c>
      <c r="B106" s="2" t="s">
        <v>407</v>
      </c>
      <c r="C106" s="3" t="s">
        <v>3</v>
      </c>
      <c r="D106" s="1" t="s">
        <v>408</v>
      </c>
      <c r="E106" s="1" t="s">
        <v>409</v>
      </c>
      <c r="F106" s="1" t="s">
        <v>410</v>
      </c>
      <c r="G106" s="1" t="s">
        <v>411</v>
      </c>
      <c r="H106" s="1" t="s">
        <v>412</v>
      </c>
      <c r="I106" s="1" t="s">
        <v>413</v>
      </c>
      <c r="J106" s="1" t="s">
        <v>414</v>
      </c>
      <c r="K106" s="1" t="s">
        <v>415</v>
      </c>
      <c r="L106" s="1" t="s">
        <v>416</v>
      </c>
      <c r="M106" s="1" t="s">
        <v>417</v>
      </c>
      <c r="N106" s="1" t="s">
        <v>418</v>
      </c>
      <c r="O106" s="1" t="s">
        <v>419</v>
      </c>
    </row>
    <row r="107">
      <c r="A107" s="4">
        <v>1.0</v>
      </c>
      <c r="B107" s="5" t="s">
        <v>420</v>
      </c>
      <c r="C107" s="4">
        <v>2020.0</v>
      </c>
      <c r="D107" s="4">
        <v>17.0</v>
      </c>
      <c r="E107" s="4">
        <v>14.0</v>
      </c>
      <c r="F107" s="6"/>
      <c r="G107" s="4">
        <v>3.0</v>
      </c>
      <c r="H107" s="4" t="s">
        <v>421</v>
      </c>
      <c r="I107" s="4" t="s">
        <v>422</v>
      </c>
      <c r="J107" s="4" t="s">
        <v>423</v>
      </c>
      <c r="K107" s="4">
        <v>1185.0</v>
      </c>
      <c r="L107" s="4" t="s">
        <v>424</v>
      </c>
      <c r="M107" s="4">
        <v>869.0</v>
      </c>
      <c r="N107" s="4">
        <v>136.4</v>
      </c>
      <c r="O107" s="4">
        <v>56.0</v>
      </c>
    </row>
    <row r="108">
      <c r="A108" s="4">
        <v>2.0</v>
      </c>
      <c r="B108" s="5" t="s">
        <v>425</v>
      </c>
      <c r="C108" s="4">
        <v>2020.0</v>
      </c>
      <c r="D108" s="4">
        <v>17.0</v>
      </c>
      <c r="E108" s="4">
        <v>14.0</v>
      </c>
      <c r="F108" s="6"/>
      <c r="G108" s="4">
        <v>3.0</v>
      </c>
      <c r="H108" s="4" t="s">
        <v>426</v>
      </c>
      <c r="I108" s="4" t="s">
        <v>427</v>
      </c>
      <c r="J108" s="4" t="s">
        <v>428</v>
      </c>
      <c r="K108" s="4">
        <v>1184.0</v>
      </c>
      <c r="L108" s="4" t="s">
        <v>429</v>
      </c>
      <c r="M108" s="4">
        <v>948.0</v>
      </c>
      <c r="N108" s="4">
        <v>124.9</v>
      </c>
      <c r="O108" s="4">
        <v>56.0</v>
      </c>
    </row>
    <row r="109">
      <c r="A109" s="4">
        <v>3.0</v>
      </c>
      <c r="B109" s="5" t="s">
        <v>430</v>
      </c>
      <c r="C109" s="4">
        <v>2020.0</v>
      </c>
      <c r="D109" s="4">
        <v>17.0</v>
      </c>
      <c r="E109" s="4">
        <v>12.0</v>
      </c>
      <c r="F109" s="4">
        <v>1.0</v>
      </c>
      <c r="G109" s="4">
        <v>4.0</v>
      </c>
      <c r="H109" s="4" t="s">
        <v>431</v>
      </c>
      <c r="I109" s="7">
        <v>37742.0</v>
      </c>
      <c r="J109" s="4" t="s">
        <v>432</v>
      </c>
      <c r="K109" s="4">
        <v>1135.0</v>
      </c>
      <c r="L109" s="4" t="s">
        <v>433</v>
      </c>
      <c r="M109" s="4">
        <v>874.0</v>
      </c>
      <c r="N109" s="4">
        <v>129.9</v>
      </c>
      <c r="O109" s="4">
        <v>50.0</v>
      </c>
    </row>
    <row r="110">
      <c r="A110" s="4">
        <v>4.0</v>
      </c>
      <c r="B110" s="5" t="s">
        <v>434</v>
      </c>
      <c r="C110" s="4">
        <v>2020.0</v>
      </c>
      <c r="D110" s="4">
        <v>17.0</v>
      </c>
      <c r="E110" s="4">
        <v>12.0</v>
      </c>
      <c r="F110" s="6"/>
      <c r="G110" s="4">
        <v>5.0</v>
      </c>
      <c r="H110" s="4" t="s">
        <v>435</v>
      </c>
      <c r="I110" s="4" t="s">
        <v>422</v>
      </c>
      <c r="J110" s="4" t="s">
        <v>436</v>
      </c>
      <c r="K110" s="4">
        <v>1233.0</v>
      </c>
      <c r="L110" s="4" t="s">
        <v>437</v>
      </c>
      <c r="M110" s="4">
        <v>901.0</v>
      </c>
      <c r="N110" s="4">
        <v>136.8</v>
      </c>
      <c r="O110" s="4">
        <v>48.0</v>
      </c>
    </row>
    <row r="111">
      <c r="A111" s="4">
        <v>5.0</v>
      </c>
      <c r="B111" s="5" t="s">
        <v>438</v>
      </c>
      <c r="C111" s="4">
        <v>2020.0</v>
      </c>
      <c r="D111" s="4">
        <v>17.0</v>
      </c>
      <c r="E111" s="4">
        <v>12.0</v>
      </c>
      <c r="F111" s="6"/>
      <c r="G111" s="4">
        <v>5.0</v>
      </c>
      <c r="H111" s="4" t="s">
        <v>426</v>
      </c>
      <c r="I111" s="4" t="s">
        <v>439</v>
      </c>
      <c r="J111" s="4" t="s">
        <v>440</v>
      </c>
      <c r="K111" s="4">
        <v>1095.0</v>
      </c>
      <c r="L111" s="4" t="s">
        <v>441</v>
      </c>
      <c r="M111" s="4">
        <v>936.0</v>
      </c>
      <c r="N111" s="4">
        <v>117.0</v>
      </c>
      <c r="O111" s="4">
        <v>48.0</v>
      </c>
    </row>
    <row r="112">
      <c r="A112" s="4">
        <v>6.0</v>
      </c>
      <c r="B112" s="5" t="s">
        <v>442</v>
      </c>
      <c r="C112" s="4">
        <v>2020.0</v>
      </c>
      <c r="D112" s="4">
        <v>17.0</v>
      </c>
      <c r="E112" s="4">
        <v>10.0</v>
      </c>
      <c r="F112" s="6"/>
      <c r="G112" s="4">
        <v>7.0</v>
      </c>
      <c r="H112" s="4" t="s">
        <v>422</v>
      </c>
      <c r="I112" s="4" t="s">
        <v>443</v>
      </c>
      <c r="J112" s="4" t="s">
        <v>444</v>
      </c>
      <c r="K112" s="4">
        <v>1159.0</v>
      </c>
      <c r="L112" s="4" t="s">
        <v>445</v>
      </c>
      <c r="M112" s="4">
        <v>997.0</v>
      </c>
      <c r="N112" s="4">
        <v>116.2</v>
      </c>
      <c r="O112" s="4">
        <v>40.0</v>
      </c>
    </row>
    <row r="113">
      <c r="A113" s="4">
        <v>7.0</v>
      </c>
      <c r="B113" s="5" t="s">
        <v>446</v>
      </c>
      <c r="C113" s="4">
        <v>2020.0</v>
      </c>
      <c r="D113" s="4">
        <v>17.0</v>
      </c>
      <c r="E113" s="4">
        <v>10.0</v>
      </c>
      <c r="F113" s="6"/>
      <c r="G113" s="4">
        <v>7.0</v>
      </c>
      <c r="H113" s="4" t="s">
        <v>427</v>
      </c>
      <c r="I113" s="4" t="s">
        <v>447</v>
      </c>
      <c r="J113" s="4" t="s">
        <v>448</v>
      </c>
      <c r="K113" s="4">
        <v>1103.0</v>
      </c>
      <c r="L113" s="4" t="s">
        <v>449</v>
      </c>
      <c r="M113" s="4">
        <v>1034.0</v>
      </c>
      <c r="N113" s="4">
        <v>106.7</v>
      </c>
      <c r="O113" s="4">
        <v>40.0</v>
      </c>
    </row>
    <row r="114">
      <c r="A114" s="4">
        <v>8.0</v>
      </c>
      <c r="B114" s="5" t="s">
        <v>450</v>
      </c>
      <c r="C114" s="4">
        <v>2020.0</v>
      </c>
      <c r="D114" s="4">
        <v>17.0</v>
      </c>
      <c r="E114" s="4">
        <v>9.0</v>
      </c>
      <c r="F114" s="4">
        <v>1.0</v>
      </c>
      <c r="G114" s="4">
        <v>7.0</v>
      </c>
      <c r="H114" s="7">
        <v>37377.0</v>
      </c>
      <c r="I114" s="4" t="s">
        <v>443</v>
      </c>
      <c r="J114" s="4" t="s">
        <v>451</v>
      </c>
      <c r="K114" s="4">
        <v>965.0</v>
      </c>
      <c r="L114" s="4" t="s">
        <v>452</v>
      </c>
      <c r="M114" s="4">
        <v>881.0</v>
      </c>
      <c r="N114" s="4">
        <v>109.5</v>
      </c>
      <c r="O114" s="4">
        <v>38.0</v>
      </c>
    </row>
    <row r="115">
      <c r="A115" s="8">
        <v>9.0</v>
      </c>
      <c r="B115" s="5" t="s">
        <v>453</v>
      </c>
      <c r="C115" s="4">
        <v>2020.0</v>
      </c>
      <c r="D115" s="8">
        <v>17.0</v>
      </c>
      <c r="E115" s="8">
        <v>9.0</v>
      </c>
      <c r="F115" s="9"/>
      <c r="G115" s="8">
        <v>8.0</v>
      </c>
      <c r="H115" s="8" t="s">
        <v>443</v>
      </c>
      <c r="I115" s="8" t="s">
        <v>427</v>
      </c>
      <c r="J115" s="8" t="s">
        <v>454</v>
      </c>
      <c r="K115" s="8">
        <v>1063.0</v>
      </c>
      <c r="L115" s="8" t="s">
        <v>455</v>
      </c>
      <c r="M115" s="8">
        <v>986.0</v>
      </c>
      <c r="N115" s="8">
        <v>107.8</v>
      </c>
      <c r="O115" s="8">
        <v>36.0</v>
      </c>
    </row>
    <row r="116">
      <c r="A116" s="8">
        <v>10.0</v>
      </c>
      <c r="B116" s="5" t="s">
        <v>456</v>
      </c>
      <c r="C116" s="4">
        <v>2020.0</v>
      </c>
      <c r="D116" s="8">
        <v>17.0</v>
      </c>
      <c r="E116" s="8">
        <v>8.0</v>
      </c>
      <c r="F116" s="9"/>
      <c r="G116" s="8">
        <v>9.0</v>
      </c>
      <c r="H116" s="8" t="s">
        <v>427</v>
      </c>
      <c r="I116" s="8" t="s">
        <v>457</v>
      </c>
      <c r="J116" s="8" t="s">
        <v>458</v>
      </c>
      <c r="K116" s="8">
        <v>1007.0</v>
      </c>
      <c r="L116" s="8" t="s">
        <v>459</v>
      </c>
      <c r="M116" s="8">
        <v>1053.0</v>
      </c>
      <c r="N116" s="8">
        <v>95.6</v>
      </c>
      <c r="O116" s="8">
        <v>32.0</v>
      </c>
    </row>
    <row r="117">
      <c r="A117" s="8">
        <v>11.0</v>
      </c>
      <c r="B117" s="5" t="s">
        <v>460</v>
      </c>
      <c r="C117" s="4">
        <v>2020.0</v>
      </c>
      <c r="D117" s="8">
        <v>17.0</v>
      </c>
      <c r="E117" s="8">
        <v>7.0</v>
      </c>
      <c r="F117" s="9"/>
      <c r="G117" s="8">
        <v>10.0</v>
      </c>
      <c r="H117" s="8" t="s">
        <v>461</v>
      </c>
      <c r="I117" s="8" t="s">
        <v>447</v>
      </c>
      <c r="J117" s="8" t="s">
        <v>462</v>
      </c>
      <c r="K117" s="8">
        <v>1017.0</v>
      </c>
      <c r="L117" s="8" t="s">
        <v>463</v>
      </c>
      <c r="M117" s="8">
        <v>1078.0</v>
      </c>
      <c r="N117" s="8">
        <v>94.3</v>
      </c>
      <c r="O117" s="8">
        <v>28.0</v>
      </c>
    </row>
    <row r="118">
      <c r="A118" s="8">
        <v>12.0</v>
      </c>
      <c r="B118" s="5" t="s">
        <v>464</v>
      </c>
      <c r="C118" s="4">
        <v>2020.0</v>
      </c>
      <c r="D118" s="8">
        <v>17.0</v>
      </c>
      <c r="E118" s="8">
        <v>7.0</v>
      </c>
      <c r="F118" s="9"/>
      <c r="G118" s="8">
        <v>10.0</v>
      </c>
      <c r="H118" s="8" t="s">
        <v>465</v>
      </c>
      <c r="I118" s="8" t="s">
        <v>466</v>
      </c>
      <c r="J118" s="8" t="s">
        <v>467</v>
      </c>
      <c r="K118" s="8">
        <v>866.0</v>
      </c>
      <c r="L118" s="8" t="s">
        <v>468</v>
      </c>
      <c r="M118" s="8">
        <v>924.0</v>
      </c>
      <c r="N118" s="8">
        <v>93.7</v>
      </c>
      <c r="O118" s="8">
        <v>28.0</v>
      </c>
    </row>
    <row r="119">
      <c r="A119" s="8">
        <v>13.0</v>
      </c>
      <c r="B119" s="5" t="s">
        <v>469</v>
      </c>
      <c r="C119" s="4">
        <v>2020.0</v>
      </c>
      <c r="D119" s="8">
        <v>17.0</v>
      </c>
      <c r="E119" s="8">
        <v>6.0</v>
      </c>
      <c r="F119" s="8">
        <v>1.0</v>
      </c>
      <c r="G119" s="8">
        <v>10.0</v>
      </c>
      <c r="H119" s="8" t="s">
        <v>461</v>
      </c>
      <c r="I119" s="10">
        <v>38078.0</v>
      </c>
      <c r="J119" s="8" t="s">
        <v>470</v>
      </c>
      <c r="K119" s="8">
        <v>938.0</v>
      </c>
      <c r="L119" s="8" t="s">
        <v>471</v>
      </c>
      <c r="M119" s="8">
        <v>1185.0</v>
      </c>
      <c r="N119" s="8">
        <v>79.2</v>
      </c>
      <c r="O119" s="8">
        <v>26.0</v>
      </c>
    </row>
    <row r="120">
      <c r="A120" s="8">
        <v>14.0</v>
      </c>
      <c r="B120" s="5" t="s">
        <v>472</v>
      </c>
      <c r="C120" s="4">
        <v>2020.0</v>
      </c>
      <c r="D120" s="8">
        <v>17.0</v>
      </c>
      <c r="E120" s="8">
        <v>5.0</v>
      </c>
      <c r="F120" s="8">
        <v>1.0</v>
      </c>
      <c r="G120" s="8">
        <v>11.0</v>
      </c>
      <c r="H120" s="10">
        <v>38443.0</v>
      </c>
      <c r="I120" s="8" t="s">
        <v>473</v>
      </c>
      <c r="J120" s="8" t="s">
        <v>474</v>
      </c>
      <c r="K120" s="8">
        <v>996.0</v>
      </c>
      <c r="L120" s="8" t="s">
        <v>475</v>
      </c>
      <c r="M120" s="8">
        <v>1099.0</v>
      </c>
      <c r="N120" s="8">
        <v>90.6</v>
      </c>
      <c r="O120" s="8">
        <v>22.0</v>
      </c>
    </row>
    <row r="121">
      <c r="A121" s="8">
        <v>15.0</v>
      </c>
      <c r="B121" s="5" t="s">
        <v>476</v>
      </c>
      <c r="C121" s="4">
        <v>2020.0</v>
      </c>
      <c r="D121" s="8">
        <v>17.0</v>
      </c>
      <c r="E121" s="8">
        <v>5.0</v>
      </c>
      <c r="F121" s="9"/>
      <c r="G121" s="8">
        <v>12.0</v>
      </c>
      <c r="H121" s="8" t="s">
        <v>466</v>
      </c>
      <c r="I121" s="8" t="s">
        <v>477</v>
      </c>
      <c r="J121" s="8" t="s">
        <v>478</v>
      </c>
      <c r="K121" s="8">
        <v>1004.0</v>
      </c>
      <c r="L121" s="8" t="s">
        <v>479</v>
      </c>
      <c r="M121" s="8">
        <v>1194.0</v>
      </c>
      <c r="N121" s="8">
        <v>84.1</v>
      </c>
      <c r="O121" s="8">
        <v>20.0</v>
      </c>
    </row>
    <row r="122">
      <c r="A122" s="8">
        <v>16.0</v>
      </c>
      <c r="B122" s="5" t="s">
        <v>480</v>
      </c>
      <c r="C122" s="4">
        <v>2020.0</v>
      </c>
      <c r="D122" s="8">
        <v>17.0</v>
      </c>
      <c r="E122" s="8">
        <v>5.0</v>
      </c>
      <c r="F122" s="9"/>
      <c r="G122" s="8">
        <v>12.0</v>
      </c>
      <c r="H122" s="8" t="s">
        <v>439</v>
      </c>
      <c r="I122" s="8" t="s">
        <v>481</v>
      </c>
      <c r="J122" s="8" t="s">
        <v>482</v>
      </c>
      <c r="K122" s="8">
        <v>890.0</v>
      </c>
      <c r="L122" s="8" t="s">
        <v>483</v>
      </c>
      <c r="M122" s="8">
        <v>1077.0</v>
      </c>
      <c r="N122" s="8">
        <v>82.6</v>
      </c>
      <c r="O122" s="8">
        <v>20.0</v>
      </c>
    </row>
    <row r="123">
      <c r="A123" s="8">
        <v>17.0</v>
      </c>
      <c r="B123" s="5" t="s">
        <v>484</v>
      </c>
      <c r="C123" s="4">
        <v>2020.0</v>
      </c>
      <c r="D123" s="8">
        <v>17.0</v>
      </c>
      <c r="E123" s="8">
        <v>3.0</v>
      </c>
      <c r="F123" s="9"/>
      <c r="G123" s="8">
        <v>14.0</v>
      </c>
      <c r="H123" s="8" t="s">
        <v>461</v>
      </c>
      <c r="I123" s="8" t="s">
        <v>485</v>
      </c>
      <c r="J123" s="8" t="s">
        <v>486</v>
      </c>
      <c r="K123" s="8">
        <v>858.0</v>
      </c>
      <c r="L123" s="8" t="s">
        <v>487</v>
      </c>
      <c r="M123" s="8">
        <v>1205.0</v>
      </c>
      <c r="N123" s="8">
        <v>71.2</v>
      </c>
      <c r="O123" s="8">
        <v>12.0</v>
      </c>
    </row>
    <row r="124">
      <c r="A124" s="8">
        <v>18.0</v>
      </c>
      <c r="B124" s="5" t="s">
        <v>488</v>
      </c>
      <c r="C124" s="4">
        <v>2020.0</v>
      </c>
      <c r="D124" s="8">
        <v>17.0</v>
      </c>
      <c r="E124" s="8">
        <v>3.0</v>
      </c>
      <c r="F124" s="9"/>
      <c r="G124" s="8">
        <v>14.0</v>
      </c>
      <c r="H124" s="8" t="s">
        <v>485</v>
      </c>
      <c r="I124" s="8" t="s">
        <v>461</v>
      </c>
      <c r="J124" s="8" t="s">
        <v>489</v>
      </c>
      <c r="K124" s="8">
        <v>826.0</v>
      </c>
      <c r="L124" s="8" t="s">
        <v>490</v>
      </c>
      <c r="M124" s="8">
        <v>1283.0</v>
      </c>
      <c r="N124" s="8">
        <v>64.4</v>
      </c>
      <c r="O124" s="8">
        <v>12.0</v>
      </c>
    </row>
    <row r="125">
      <c r="A125" s="1" t="s">
        <v>491</v>
      </c>
    </row>
    <row r="126">
      <c r="A126" s="2" t="s">
        <v>492</v>
      </c>
      <c r="B126" s="2" t="s">
        <v>493</v>
      </c>
      <c r="C126" s="3" t="s">
        <v>3</v>
      </c>
      <c r="D126" s="1" t="s">
        <v>494</v>
      </c>
      <c r="E126" s="1" t="s">
        <v>495</v>
      </c>
      <c r="F126" s="1" t="s">
        <v>496</v>
      </c>
      <c r="G126" s="1" t="s">
        <v>497</v>
      </c>
      <c r="H126" s="1" t="s">
        <v>498</v>
      </c>
      <c r="I126" s="1" t="s">
        <v>499</v>
      </c>
      <c r="J126" s="1" t="s">
        <v>500</v>
      </c>
      <c r="K126" s="1" t="s">
        <v>501</v>
      </c>
      <c r="L126" s="1" t="s">
        <v>502</v>
      </c>
      <c r="M126" s="1" t="s">
        <v>503</v>
      </c>
      <c r="N126" s="1" t="s">
        <v>504</v>
      </c>
      <c r="O126" s="1" t="s">
        <v>505</v>
      </c>
    </row>
    <row r="127">
      <c r="A127" s="4">
        <v>1.0</v>
      </c>
      <c r="B127" s="5" t="s">
        <v>506</v>
      </c>
      <c r="C127" s="4">
        <v>2019.0</v>
      </c>
      <c r="D127" s="4">
        <v>22.0</v>
      </c>
      <c r="E127" s="4">
        <v>16.0</v>
      </c>
      <c r="F127" s="6"/>
      <c r="G127" s="4">
        <v>6.0</v>
      </c>
      <c r="H127" s="4" t="s">
        <v>24</v>
      </c>
      <c r="I127" s="4" t="s">
        <v>19</v>
      </c>
      <c r="J127" s="4" t="s">
        <v>507</v>
      </c>
      <c r="K127" s="4">
        <v>1984.0</v>
      </c>
      <c r="L127" s="4" t="s">
        <v>508</v>
      </c>
      <c r="M127" s="4">
        <v>1462.0</v>
      </c>
      <c r="N127" s="4">
        <v>135.7</v>
      </c>
      <c r="O127" s="4">
        <v>64.0</v>
      </c>
    </row>
    <row r="128">
      <c r="A128" s="4">
        <v>2.0</v>
      </c>
      <c r="B128" s="5" t="s">
        <v>509</v>
      </c>
      <c r="C128" s="4">
        <v>2019.0</v>
      </c>
      <c r="D128" s="4">
        <v>22.0</v>
      </c>
      <c r="E128" s="4">
        <v>16.0</v>
      </c>
      <c r="F128" s="6"/>
      <c r="G128" s="4">
        <v>6.0</v>
      </c>
      <c r="H128" s="4" t="s">
        <v>53</v>
      </c>
      <c r="I128" s="4" t="s">
        <v>151</v>
      </c>
      <c r="J128" s="4" t="s">
        <v>510</v>
      </c>
      <c r="K128" s="4">
        <v>2004.0</v>
      </c>
      <c r="L128" s="4" t="s">
        <v>511</v>
      </c>
      <c r="M128" s="4">
        <v>1694.0</v>
      </c>
      <c r="N128" s="4">
        <v>118.3</v>
      </c>
      <c r="O128" s="4">
        <v>64.0</v>
      </c>
    </row>
    <row r="129">
      <c r="A129" s="4">
        <v>3.0</v>
      </c>
      <c r="B129" s="5" t="s">
        <v>512</v>
      </c>
      <c r="C129" s="4">
        <v>2019.0</v>
      </c>
      <c r="D129" s="4">
        <v>22.0</v>
      </c>
      <c r="E129" s="4">
        <v>16.0</v>
      </c>
      <c r="F129" s="6"/>
      <c r="G129" s="4">
        <v>6.0</v>
      </c>
      <c r="H129" s="4" t="s">
        <v>24</v>
      </c>
      <c r="I129" s="4" t="s">
        <v>19</v>
      </c>
      <c r="J129" s="4" t="s">
        <v>164</v>
      </c>
      <c r="K129" s="4">
        <v>1892.0</v>
      </c>
      <c r="L129" s="4" t="s">
        <v>513</v>
      </c>
      <c r="M129" s="4">
        <v>1664.0</v>
      </c>
      <c r="N129" s="4">
        <v>113.7</v>
      </c>
      <c r="O129" s="4">
        <v>64.0</v>
      </c>
    </row>
    <row r="130">
      <c r="A130" s="4">
        <v>4.0</v>
      </c>
      <c r="B130" s="5" t="s">
        <v>514</v>
      </c>
      <c r="C130" s="4">
        <v>2019.0</v>
      </c>
      <c r="D130" s="4">
        <v>22.0</v>
      </c>
      <c r="E130" s="4">
        <v>15.0</v>
      </c>
      <c r="F130" s="6"/>
      <c r="G130" s="4">
        <v>7.0</v>
      </c>
      <c r="H130" s="4" t="s">
        <v>151</v>
      </c>
      <c r="I130" s="4" t="s">
        <v>24</v>
      </c>
      <c r="J130" s="4" t="s">
        <v>515</v>
      </c>
      <c r="K130" s="4">
        <v>1885.0</v>
      </c>
      <c r="L130" s="4" t="s">
        <v>516</v>
      </c>
      <c r="M130" s="4">
        <v>1601.0</v>
      </c>
      <c r="N130" s="4">
        <v>117.7</v>
      </c>
      <c r="O130" s="4">
        <v>60.0</v>
      </c>
    </row>
    <row r="131">
      <c r="A131" s="4">
        <v>5.0</v>
      </c>
      <c r="B131" s="5" t="s">
        <v>517</v>
      </c>
      <c r="C131" s="4">
        <v>2019.0</v>
      </c>
      <c r="D131" s="4">
        <v>22.0</v>
      </c>
      <c r="E131" s="4">
        <v>15.0</v>
      </c>
      <c r="F131" s="6"/>
      <c r="G131" s="4">
        <v>7.0</v>
      </c>
      <c r="H131" s="4" t="s">
        <v>39</v>
      </c>
      <c r="I131" s="4" t="s">
        <v>19</v>
      </c>
      <c r="J131" s="4" t="s">
        <v>518</v>
      </c>
      <c r="K131" s="4">
        <v>1902.0</v>
      </c>
      <c r="L131" s="4" t="s">
        <v>519</v>
      </c>
      <c r="M131" s="4">
        <v>1691.0</v>
      </c>
      <c r="N131" s="4">
        <v>112.5</v>
      </c>
      <c r="O131" s="4">
        <v>60.0</v>
      </c>
    </row>
    <row r="132">
      <c r="A132" s="4">
        <v>6.0</v>
      </c>
      <c r="B132" s="5" t="s">
        <v>520</v>
      </c>
      <c r="C132" s="4">
        <v>2019.0</v>
      </c>
      <c r="D132" s="4">
        <v>22.0</v>
      </c>
      <c r="E132" s="4">
        <v>13.0</v>
      </c>
      <c r="F132" s="6"/>
      <c r="G132" s="4">
        <v>9.0</v>
      </c>
      <c r="H132" s="4" t="s">
        <v>19</v>
      </c>
      <c r="I132" s="4" t="s">
        <v>151</v>
      </c>
      <c r="J132" s="4" t="s">
        <v>521</v>
      </c>
      <c r="K132" s="4">
        <v>1926.0</v>
      </c>
      <c r="L132" s="4" t="s">
        <v>522</v>
      </c>
      <c r="M132" s="4">
        <v>1669.0</v>
      </c>
      <c r="N132" s="4">
        <v>115.4</v>
      </c>
      <c r="O132" s="4">
        <v>52.0</v>
      </c>
    </row>
    <row r="133">
      <c r="A133" s="4">
        <v>7.0</v>
      </c>
      <c r="B133" s="5" t="s">
        <v>523</v>
      </c>
      <c r="C133" s="4">
        <v>2019.0</v>
      </c>
      <c r="D133" s="4">
        <v>22.0</v>
      </c>
      <c r="E133" s="4">
        <v>12.0</v>
      </c>
      <c r="F133" s="6"/>
      <c r="G133" s="4">
        <v>10.0</v>
      </c>
      <c r="H133" s="4" t="s">
        <v>19</v>
      </c>
      <c r="I133" s="4" t="s">
        <v>64</v>
      </c>
      <c r="J133" s="4" t="s">
        <v>524</v>
      </c>
      <c r="K133" s="4">
        <v>1941.0</v>
      </c>
      <c r="L133" s="4" t="s">
        <v>525</v>
      </c>
      <c r="M133" s="4">
        <v>1810.0</v>
      </c>
      <c r="N133" s="4">
        <v>107.2</v>
      </c>
      <c r="O133" s="4">
        <v>48.0</v>
      </c>
    </row>
    <row r="134">
      <c r="A134" s="4">
        <v>8.0</v>
      </c>
      <c r="B134" s="5" t="s">
        <v>526</v>
      </c>
      <c r="C134" s="4">
        <v>2019.0</v>
      </c>
      <c r="D134" s="4">
        <v>22.0</v>
      </c>
      <c r="E134" s="4">
        <v>12.0</v>
      </c>
      <c r="F134" s="6"/>
      <c r="G134" s="4">
        <v>10.0</v>
      </c>
      <c r="H134" s="4" t="s">
        <v>19</v>
      </c>
      <c r="I134" s="4" t="s">
        <v>64</v>
      </c>
      <c r="J134" s="4" t="s">
        <v>527</v>
      </c>
      <c r="K134" s="4">
        <v>1702.0</v>
      </c>
      <c r="L134" s="4" t="s">
        <v>528</v>
      </c>
      <c r="M134" s="4">
        <v>1784.0</v>
      </c>
      <c r="N134" s="4">
        <v>95.4</v>
      </c>
      <c r="O134" s="4">
        <v>48.0</v>
      </c>
    </row>
    <row r="135">
      <c r="A135" s="8">
        <v>9.0</v>
      </c>
      <c r="B135" s="5" t="s">
        <v>529</v>
      </c>
      <c r="C135" s="4">
        <v>2019.0</v>
      </c>
      <c r="D135" s="8">
        <v>22.0</v>
      </c>
      <c r="E135" s="8">
        <v>11.0</v>
      </c>
      <c r="F135" s="9"/>
      <c r="G135" s="8">
        <v>11.0</v>
      </c>
      <c r="H135" s="8" t="s">
        <v>19</v>
      </c>
      <c r="I135" s="8" t="s">
        <v>69</v>
      </c>
      <c r="J135" s="8" t="s">
        <v>530</v>
      </c>
      <c r="K135" s="8">
        <v>1742.0</v>
      </c>
      <c r="L135" s="8" t="s">
        <v>531</v>
      </c>
      <c r="M135" s="8">
        <v>1602.0</v>
      </c>
      <c r="N135" s="8">
        <v>108.7</v>
      </c>
      <c r="O135" s="8">
        <v>44.0</v>
      </c>
    </row>
    <row r="136">
      <c r="A136" s="8">
        <v>10.0</v>
      </c>
      <c r="B136" s="5" t="s">
        <v>532</v>
      </c>
      <c r="C136" s="4">
        <v>2019.0</v>
      </c>
      <c r="D136" s="8">
        <v>22.0</v>
      </c>
      <c r="E136" s="8">
        <v>11.0</v>
      </c>
      <c r="F136" s="9"/>
      <c r="G136" s="8">
        <v>11.0</v>
      </c>
      <c r="H136" s="8" t="s">
        <v>151</v>
      </c>
      <c r="I136" s="8" t="s">
        <v>64</v>
      </c>
      <c r="J136" s="8" t="s">
        <v>533</v>
      </c>
      <c r="K136" s="8">
        <v>1806.0</v>
      </c>
      <c r="L136" s="8" t="s">
        <v>27</v>
      </c>
      <c r="M136" s="8">
        <v>1714.0</v>
      </c>
      <c r="N136" s="8">
        <v>105.4</v>
      </c>
      <c r="O136" s="8">
        <v>44.0</v>
      </c>
    </row>
    <row r="137">
      <c r="A137" s="8">
        <v>11.0</v>
      </c>
      <c r="B137" s="5" t="s">
        <v>534</v>
      </c>
      <c r="C137" s="4">
        <v>2019.0</v>
      </c>
      <c r="D137" s="8">
        <v>22.0</v>
      </c>
      <c r="E137" s="8">
        <v>10.0</v>
      </c>
      <c r="F137" s="9"/>
      <c r="G137" s="8">
        <v>12.0</v>
      </c>
      <c r="H137" s="8" t="s">
        <v>64</v>
      </c>
      <c r="I137" s="8" t="s">
        <v>64</v>
      </c>
      <c r="J137" s="8" t="s">
        <v>535</v>
      </c>
      <c r="K137" s="8">
        <v>1776.0</v>
      </c>
      <c r="L137" s="8" t="s">
        <v>536</v>
      </c>
      <c r="M137" s="8">
        <v>1761.0</v>
      </c>
      <c r="N137" s="8">
        <v>100.9</v>
      </c>
      <c r="O137" s="8">
        <v>40.0</v>
      </c>
    </row>
    <row r="138">
      <c r="A138" s="8">
        <v>12.0</v>
      </c>
      <c r="B138" s="5" t="s">
        <v>537</v>
      </c>
      <c r="C138" s="4">
        <v>2019.0</v>
      </c>
      <c r="D138" s="8">
        <v>22.0</v>
      </c>
      <c r="E138" s="8">
        <v>10.0</v>
      </c>
      <c r="F138" s="9"/>
      <c r="G138" s="8">
        <v>12.0</v>
      </c>
      <c r="H138" s="8" t="s">
        <v>151</v>
      </c>
      <c r="I138" s="8" t="s">
        <v>69</v>
      </c>
      <c r="J138" s="8" t="s">
        <v>538</v>
      </c>
      <c r="K138" s="8">
        <v>1824.0</v>
      </c>
      <c r="L138" s="8" t="s">
        <v>539</v>
      </c>
      <c r="M138" s="8">
        <v>1834.0</v>
      </c>
      <c r="N138" s="8">
        <v>99.5</v>
      </c>
      <c r="O138" s="8">
        <v>40.0</v>
      </c>
    </row>
    <row r="139">
      <c r="A139" s="8">
        <v>13.0</v>
      </c>
      <c r="B139" s="5" t="s">
        <v>540</v>
      </c>
      <c r="C139" s="4">
        <v>2019.0</v>
      </c>
      <c r="D139" s="8">
        <v>22.0</v>
      </c>
      <c r="E139" s="8">
        <v>9.0</v>
      </c>
      <c r="F139" s="9"/>
      <c r="G139" s="8">
        <v>13.0</v>
      </c>
      <c r="H139" s="8" t="s">
        <v>19</v>
      </c>
      <c r="I139" s="8" t="s">
        <v>78</v>
      </c>
      <c r="J139" s="8" t="s">
        <v>541</v>
      </c>
      <c r="K139" s="8">
        <v>1579.0</v>
      </c>
      <c r="L139" s="8" t="s">
        <v>542</v>
      </c>
      <c r="M139" s="8">
        <v>1718.0</v>
      </c>
      <c r="N139" s="8">
        <v>91.9</v>
      </c>
      <c r="O139" s="8">
        <v>36.0</v>
      </c>
    </row>
    <row r="140">
      <c r="A140" s="8">
        <v>14.0</v>
      </c>
      <c r="B140" s="5" t="s">
        <v>543</v>
      </c>
      <c r="C140" s="4">
        <v>2019.0</v>
      </c>
      <c r="D140" s="8">
        <v>22.0</v>
      </c>
      <c r="E140" s="8">
        <v>9.0</v>
      </c>
      <c r="F140" s="9"/>
      <c r="G140" s="8">
        <v>13.0</v>
      </c>
      <c r="H140" s="8" t="s">
        <v>151</v>
      </c>
      <c r="I140" s="8" t="s">
        <v>180</v>
      </c>
      <c r="J140" s="8" t="s">
        <v>544</v>
      </c>
      <c r="K140" s="8">
        <v>1645.0</v>
      </c>
      <c r="L140" s="8" t="s">
        <v>545</v>
      </c>
      <c r="M140" s="8">
        <v>1961.0</v>
      </c>
      <c r="N140" s="8">
        <v>83.9</v>
      </c>
      <c r="O140" s="8">
        <v>36.0</v>
      </c>
    </row>
    <row r="141">
      <c r="A141" s="8">
        <v>15.0</v>
      </c>
      <c r="B141" s="5" t="s">
        <v>546</v>
      </c>
      <c r="C141" s="4">
        <v>2019.0</v>
      </c>
      <c r="D141" s="8">
        <v>22.0</v>
      </c>
      <c r="E141" s="8">
        <v>8.0</v>
      </c>
      <c r="F141" s="9"/>
      <c r="G141" s="8">
        <v>14.0</v>
      </c>
      <c r="H141" s="8" t="s">
        <v>64</v>
      </c>
      <c r="I141" s="8" t="s">
        <v>180</v>
      </c>
      <c r="J141" s="8" t="s">
        <v>547</v>
      </c>
      <c r="K141" s="8">
        <v>1706.0</v>
      </c>
      <c r="L141" s="8" t="s">
        <v>548</v>
      </c>
      <c r="M141" s="8">
        <v>1746.0</v>
      </c>
      <c r="N141" s="8">
        <v>97.7</v>
      </c>
      <c r="O141" s="8">
        <v>32.0</v>
      </c>
    </row>
    <row r="142">
      <c r="A142" s="8">
        <v>16.0</v>
      </c>
      <c r="B142" s="5" t="s">
        <v>549</v>
      </c>
      <c r="C142" s="4">
        <v>2019.0</v>
      </c>
      <c r="D142" s="8">
        <v>22.0</v>
      </c>
      <c r="E142" s="8">
        <v>7.0</v>
      </c>
      <c r="F142" s="9"/>
      <c r="G142" s="8">
        <v>15.0</v>
      </c>
      <c r="H142" s="8" t="s">
        <v>69</v>
      </c>
      <c r="I142" s="8" t="s">
        <v>180</v>
      </c>
      <c r="J142" s="8" t="s">
        <v>550</v>
      </c>
      <c r="K142" s="8">
        <v>1609.0</v>
      </c>
      <c r="L142" s="8" t="s">
        <v>551</v>
      </c>
      <c r="M142" s="8">
        <v>1905.0</v>
      </c>
      <c r="N142" s="8">
        <v>84.5</v>
      </c>
      <c r="O142" s="8">
        <v>28.0</v>
      </c>
    </row>
    <row r="143">
      <c r="A143" s="8">
        <v>17.0</v>
      </c>
      <c r="B143" s="5" t="s">
        <v>552</v>
      </c>
      <c r="C143" s="4">
        <v>2019.0</v>
      </c>
      <c r="D143" s="8">
        <v>22.0</v>
      </c>
      <c r="E143" s="8">
        <v>5.0</v>
      </c>
      <c r="F143" s="9"/>
      <c r="G143" s="8">
        <v>17.0</v>
      </c>
      <c r="H143" s="8" t="s">
        <v>78</v>
      </c>
      <c r="I143" s="8" t="s">
        <v>180</v>
      </c>
      <c r="J143" s="8" t="s">
        <v>553</v>
      </c>
      <c r="K143" s="8">
        <v>1569.0</v>
      </c>
      <c r="L143" s="8" t="s">
        <v>554</v>
      </c>
      <c r="M143" s="8">
        <v>1995.0</v>
      </c>
      <c r="N143" s="8">
        <v>78.6</v>
      </c>
      <c r="O143" s="8">
        <v>20.0</v>
      </c>
    </row>
    <row r="144">
      <c r="A144" s="8">
        <v>18.0</v>
      </c>
      <c r="B144" s="5" t="s">
        <v>555</v>
      </c>
      <c r="C144" s="4">
        <v>2019.0</v>
      </c>
      <c r="D144" s="8">
        <v>22.0</v>
      </c>
      <c r="E144" s="8">
        <v>3.0</v>
      </c>
      <c r="F144" s="9"/>
      <c r="G144" s="8">
        <v>19.0</v>
      </c>
      <c r="H144" s="8" t="s">
        <v>78</v>
      </c>
      <c r="I144" s="8" t="s">
        <v>97</v>
      </c>
      <c r="J144" s="8" t="s">
        <v>556</v>
      </c>
      <c r="K144" s="8">
        <v>1351.0</v>
      </c>
      <c r="L144" s="8" t="s">
        <v>557</v>
      </c>
      <c r="M144" s="8">
        <v>2232.0</v>
      </c>
      <c r="N144" s="8">
        <v>60.5</v>
      </c>
      <c r="O144" s="8">
        <v>12.0</v>
      </c>
    </row>
    <row r="145">
      <c r="A145" s="1" t="s">
        <v>558</v>
      </c>
    </row>
    <row r="146">
      <c r="A146" s="2" t="s">
        <v>559</v>
      </c>
      <c r="B146" s="2" t="s">
        <v>560</v>
      </c>
      <c r="C146" s="3" t="s">
        <v>3</v>
      </c>
      <c r="D146" s="1" t="s">
        <v>561</v>
      </c>
      <c r="E146" s="1" t="s">
        <v>562</v>
      </c>
      <c r="F146" s="1" t="s">
        <v>563</v>
      </c>
      <c r="G146" s="1" t="s">
        <v>564</v>
      </c>
      <c r="H146" s="1" t="s">
        <v>565</v>
      </c>
      <c r="I146" s="1" t="s">
        <v>566</v>
      </c>
      <c r="J146" s="1" t="s">
        <v>567</v>
      </c>
      <c r="K146" s="1" t="s">
        <v>568</v>
      </c>
      <c r="L146" s="1" t="s">
        <v>569</v>
      </c>
      <c r="M146" s="1" t="s">
        <v>570</v>
      </c>
      <c r="N146" s="1" t="s">
        <v>571</v>
      </c>
      <c r="O146" s="1" t="s">
        <v>572</v>
      </c>
    </row>
    <row r="147">
      <c r="A147" s="4">
        <v>1.0</v>
      </c>
      <c r="B147" s="5" t="s">
        <v>573</v>
      </c>
      <c r="C147" s="4">
        <v>2018.0</v>
      </c>
      <c r="D147" s="4">
        <v>22.0</v>
      </c>
      <c r="E147" s="4">
        <v>18.0</v>
      </c>
      <c r="F147" s="6"/>
      <c r="G147" s="4">
        <v>4.0</v>
      </c>
      <c r="H147" s="4" t="s">
        <v>574</v>
      </c>
      <c r="I147" s="4" t="s">
        <v>19</v>
      </c>
      <c r="J147" s="4" t="s">
        <v>575</v>
      </c>
      <c r="K147" s="4">
        <v>2143.0</v>
      </c>
      <c r="L147" s="4" t="s">
        <v>576</v>
      </c>
      <c r="M147" s="4">
        <v>1574.0</v>
      </c>
      <c r="N147" s="4">
        <v>136.1</v>
      </c>
      <c r="O147" s="4">
        <v>72.0</v>
      </c>
    </row>
    <row r="148">
      <c r="A148" s="4">
        <v>2.0</v>
      </c>
      <c r="B148" s="5" t="s">
        <v>577</v>
      </c>
      <c r="C148" s="4">
        <v>2018.0</v>
      </c>
      <c r="D148" s="4">
        <v>22.0</v>
      </c>
      <c r="E148" s="4">
        <v>16.0</v>
      </c>
      <c r="F148" s="6"/>
      <c r="G148" s="4">
        <v>6.0</v>
      </c>
      <c r="H148" s="4" t="s">
        <v>39</v>
      </c>
      <c r="I148" s="4" t="s">
        <v>39</v>
      </c>
      <c r="J148" s="4" t="s">
        <v>578</v>
      </c>
      <c r="K148" s="4">
        <v>2012.0</v>
      </c>
      <c r="L148" s="4" t="s">
        <v>579</v>
      </c>
      <c r="M148" s="4">
        <v>1657.0</v>
      </c>
      <c r="N148" s="4">
        <v>121.4</v>
      </c>
      <c r="O148" s="4">
        <v>64.0</v>
      </c>
    </row>
    <row r="149">
      <c r="A149" s="4">
        <v>3.0</v>
      </c>
      <c r="B149" s="5" t="s">
        <v>580</v>
      </c>
      <c r="C149" s="4">
        <v>2018.0</v>
      </c>
      <c r="D149" s="4">
        <v>22.0</v>
      </c>
      <c r="E149" s="4">
        <v>15.0</v>
      </c>
      <c r="F149" s="6"/>
      <c r="G149" s="4">
        <v>7.0</v>
      </c>
      <c r="H149" s="4" t="s">
        <v>19</v>
      </c>
      <c r="I149" s="4" t="s">
        <v>39</v>
      </c>
      <c r="J149" s="4" t="s">
        <v>581</v>
      </c>
      <c r="K149" s="4">
        <v>2046.0</v>
      </c>
      <c r="L149" s="4" t="s">
        <v>582</v>
      </c>
      <c r="M149" s="4">
        <v>1699.0</v>
      </c>
      <c r="N149" s="4">
        <v>120.4</v>
      </c>
      <c r="O149" s="4">
        <v>60.0</v>
      </c>
    </row>
    <row r="150">
      <c r="A150" s="4">
        <v>4.0</v>
      </c>
      <c r="B150" s="5" t="s">
        <v>583</v>
      </c>
      <c r="C150" s="4">
        <v>2018.0</v>
      </c>
      <c r="D150" s="4">
        <v>22.0</v>
      </c>
      <c r="E150" s="4">
        <v>15.0</v>
      </c>
      <c r="F150" s="6"/>
      <c r="G150" s="4">
        <v>7.0</v>
      </c>
      <c r="H150" s="4" t="s">
        <v>39</v>
      </c>
      <c r="I150" s="4" t="s">
        <v>19</v>
      </c>
      <c r="J150" s="4" t="s">
        <v>584</v>
      </c>
      <c r="K150" s="4">
        <v>1972.0</v>
      </c>
      <c r="L150" s="4" t="s">
        <v>585</v>
      </c>
      <c r="M150" s="4">
        <v>1642.0</v>
      </c>
      <c r="N150" s="4">
        <v>120.1</v>
      </c>
      <c r="O150" s="4">
        <v>60.0</v>
      </c>
    </row>
    <row r="151">
      <c r="A151" s="4">
        <v>5.0</v>
      </c>
      <c r="B151" s="5" t="s">
        <v>586</v>
      </c>
      <c r="C151" s="4">
        <v>2018.0</v>
      </c>
      <c r="D151" s="4">
        <v>22.0</v>
      </c>
      <c r="E151" s="4">
        <v>14.0</v>
      </c>
      <c r="F151" s="6"/>
      <c r="G151" s="4">
        <v>8.0</v>
      </c>
      <c r="H151" s="4" t="s">
        <v>151</v>
      </c>
      <c r="I151" s="4" t="s">
        <v>39</v>
      </c>
      <c r="J151" s="4" t="s">
        <v>587</v>
      </c>
      <c r="K151" s="4">
        <v>2299.0</v>
      </c>
      <c r="L151" s="4" t="s">
        <v>588</v>
      </c>
      <c r="M151" s="4">
        <v>1749.0</v>
      </c>
      <c r="N151" s="4">
        <v>131.4</v>
      </c>
      <c r="O151" s="4">
        <v>56.0</v>
      </c>
    </row>
    <row r="152">
      <c r="A152" s="4">
        <v>6.0</v>
      </c>
      <c r="B152" s="5" t="s">
        <v>589</v>
      </c>
      <c r="C152" s="4">
        <v>2018.0</v>
      </c>
      <c r="D152" s="4">
        <v>22.0</v>
      </c>
      <c r="E152" s="4">
        <v>14.0</v>
      </c>
      <c r="F152" s="6"/>
      <c r="G152" s="4">
        <v>8.0</v>
      </c>
      <c r="H152" s="4" t="s">
        <v>64</v>
      </c>
      <c r="I152" s="4" t="s">
        <v>24</v>
      </c>
      <c r="J152" s="4" t="s">
        <v>590</v>
      </c>
      <c r="K152" s="4">
        <v>1822.0</v>
      </c>
      <c r="L152" s="4" t="s">
        <v>591</v>
      </c>
      <c r="M152" s="4">
        <v>1664.0</v>
      </c>
      <c r="N152" s="4">
        <v>109.5</v>
      </c>
      <c r="O152" s="4">
        <v>56.0</v>
      </c>
    </row>
    <row r="153">
      <c r="A153" s="4">
        <v>7.0</v>
      </c>
      <c r="B153" s="5" t="s">
        <v>592</v>
      </c>
      <c r="C153" s="4">
        <v>2018.0</v>
      </c>
      <c r="D153" s="4">
        <v>22.0</v>
      </c>
      <c r="E153" s="4">
        <v>13.0</v>
      </c>
      <c r="F153" s="4">
        <v>1.0</v>
      </c>
      <c r="G153" s="4">
        <v>8.0</v>
      </c>
      <c r="H153" s="4" t="s">
        <v>39</v>
      </c>
      <c r="I153" s="7">
        <v>38473.0</v>
      </c>
      <c r="J153" s="4" t="s">
        <v>593</v>
      </c>
      <c r="K153" s="4">
        <v>1898.0</v>
      </c>
      <c r="L153" s="4" t="s">
        <v>594</v>
      </c>
      <c r="M153" s="4">
        <v>1661.0</v>
      </c>
      <c r="N153" s="4">
        <v>114.3</v>
      </c>
      <c r="O153" s="4">
        <v>54.0</v>
      </c>
    </row>
    <row r="154">
      <c r="A154" s="4">
        <v>8.0</v>
      </c>
      <c r="B154" s="5" t="s">
        <v>595</v>
      </c>
      <c r="C154" s="4">
        <v>2018.0</v>
      </c>
      <c r="D154" s="4">
        <v>22.0</v>
      </c>
      <c r="E154" s="4">
        <v>13.0</v>
      </c>
      <c r="F154" s="6"/>
      <c r="G154" s="4">
        <v>9.0</v>
      </c>
      <c r="H154" s="4" t="s">
        <v>39</v>
      </c>
      <c r="I154" s="4" t="s">
        <v>64</v>
      </c>
      <c r="J154" s="4" t="s">
        <v>596</v>
      </c>
      <c r="K154" s="4">
        <v>2045.0</v>
      </c>
      <c r="L154" s="4" t="s">
        <v>597</v>
      </c>
      <c r="M154" s="4">
        <v>1554.0</v>
      </c>
      <c r="N154" s="4">
        <v>131.6</v>
      </c>
      <c r="O154" s="4">
        <v>52.0</v>
      </c>
    </row>
    <row r="155">
      <c r="A155" s="8">
        <v>9.0</v>
      </c>
      <c r="B155" s="5" t="s">
        <v>598</v>
      </c>
      <c r="C155" s="4">
        <v>2018.0</v>
      </c>
      <c r="D155" s="8">
        <v>22.0</v>
      </c>
      <c r="E155" s="8">
        <v>12.0</v>
      </c>
      <c r="F155" s="9"/>
      <c r="G155" s="8">
        <v>10.0</v>
      </c>
      <c r="H155" s="8" t="s">
        <v>19</v>
      </c>
      <c r="I155" s="8" t="s">
        <v>64</v>
      </c>
      <c r="J155" s="8" t="s">
        <v>599</v>
      </c>
      <c r="K155" s="8">
        <v>1950.0</v>
      </c>
      <c r="L155" s="8" t="s">
        <v>600</v>
      </c>
      <c r="M155" s="8">
        <v>1790.0</v>
      </c>
      <c r="N155" s="8">
        <v>108.9</v>
      </c>
      <c r="O155" s="8">
        <v>48.0</v>
      </c>
    </row>
    <row r="156">
      <c r="A156" s="8">
        <v>10.0</v>
      </c>
      <c r="B156" s="5" t="s">
        <v>601</v>
      </c>
      <c r="C156" s="4">
        <v>2018.0</v>
      </c>
      <c r="D156" s="8">
        <v>22.0</v>
      </c>
      <c r="E156" s="8">
        <v>12.0</v>
      </c>
      <c r="F156" s="9"/>
      <c r="G156" s="8">
        <v>10.0</v>
      </c>
      <c r="H156" s="8" t="s">
        <v>19</v>
      </c>
      <c r="I156" s="8" t="s">
        <v>64</v>
      </c>
      <c r="J156" s="8" t="s">
        <v>602</v>
      </c>
      <c r="K156" s="8">
        <v>1780.0</v>
      </c>
      <c r="L156" s="8" t="s">
        <v>603</v>
      </c>
      <c r="M156" s="8">
        <v>1654.0</v>
      </c>
      <c r="N156" s="8">
        <v>107.6</v>
      </c>
      <c r="O156" s="8">
        <v>48.0</v>
      </c>
    </row>
    <row r="157">
      <c r="A157" s="8">
        <v>11.0</v>
      </c>
      <c r="B157" s="5" t="s">
        <v>604</v>
      </c>
      <c r="C157" s="4">
        <v>2018.0</v>
      </c>
      <c r="D157" s="8">
        <v>22.0</v>
      </c>
      <c r="E157" s="8">
        <v>12.0</v>
      </c>
      <c r="F157" s="9"/>
      <c r="G157" s="8">
        <v>10.0</v>
      </c>
      <c r="H157" s="8" t="s">
        <v>19</v>
      </c>
      <c r="I157" s="8" t="s">
        <v>64</v>
      </c>
      <c r="J157" s="8" t="s">
        <v>605</v>
      </c>
      <c r="K157" s="8">
        <v>1932.0</v>
      </c>
      <c r="L157" s="8" t="s">
        <v>606</v>
      </c>
      <c r="M157" s="8">
        <v>1838.0</v>
      </c>
      <c r="N157" s="8">
        <v>105.1</v>
      </c>
      <c r="O157" s="8">
        <v>48.0</v>
      </c>
    </row>
    <row r="158">
      <c r="A158" s="8">
        <v>12.0</v>
      </c>
      <c r="B158" s="5" t="s">
        <v>607</v>
      </c>
      <c r="C158" s="4">
        <v>2018.0</v>
      </c>
      <c r="D158" s="8">
        <v>22.0</v>
      </c>
      <c r="E158" s="8">
        <v>12.0</v>
      </c>
      <c r="F158" s="9"/>
      <c r="G158" s="8">
        <v>10.0</v>
      </c>
      <c r="H158" s="8" t="s">
        <v>39</v>
      </c>
      <c r="I158" s="8" t="s">
        <v>69</v>
      </c>
      <c r="J158" s="8" t="s">
        <v>524</v>
      </c>
      <c r="K158" s="8">
        <v>1941.0</v>
      </c>
      <c r="L158" s="8" t="s">
        <v>608</v>
      </c>
      <c r="M158" s="8">
        <v>1865.0</v>
      </c>
      <c r="N158" s="8">
        <v>104.1</v>
      </c>
      <c r="O158" s="8">
        <v>48.0</v>
      </c>
    </row>
    <row r="159">
      <c r="A159" s="8">
        <v>13.0</v>
      </c>
      <c r="B159" s="5" t="s">
        <v>609</v>
      </c>
      <c r="C159" s="4">
        <v>2018.0</v>
      </c>
      <c r="D159" s="8">
        <v>22.0</v>
      </c>
      <c r="E159" s="8">
        <v>8.0</v>
      </c>
      <c r="F159" s="9"/>
      <c r="G159" s="8">
        <v>14.0</v>
      </c>
      <c r="H159" s="8" t="s">
        <v>64</v>
      </c>
      <c r="I159" s="8" t="s">
        <v>180</v>
      </c>
      <c r="J159" s="8" t="s">
        <v>610</v>
      </c>
      <c r="K159" s="8">
        <v>1575.0</v>
      </c>
      <c r="L159" s="8" t="s">
        <v>611</v>
      </c>
      <c r="M159" s="8">
        <v>2037.0</v>
      </c>
      <c r="N159" s="8">
        <v>77.3</v>
      </c>
      <c r="O159" s="8">
        <v>32.0</v>
      </c>
    </row>
    <row r="160">
      <c r="A160" s="8">
        <v>14.0</v>
      </c>
      <c r="B160" s="5" t="s">
        <v>612</v>
      </c>
      <c r="C160" s="4">
        <v>2018.0</v>
      </c>
      <c r="D160" s="8">
        <v>22.0</v>
      </c>
      <c r="E160" s="8">
        <v>8.0</v>
      </c>
      <c r="F160" s="9"/>
      <c r="G160" s="8">
        <v>14.0</v>
      </c>
      <c r="H160" s="8" t="s">
        <v>151</v>
      </c>
      <c r="I160" s="8" t="s">
        <v>78</v>
      </c>
      <c r="J160" s="8" t="s">
        <v>613</v>
      </c>
      <c r="K160" s="8">
        <v>1556.0</v>
      </c>
      <c r="L160" s="8" t="s">
        <v>614</v>
      </c>
      <c r="M160" s="8">
        <v>2041.0</v>
      </c>
      <c r="N160" s="8">
        <v>76.2</v>
      </c>
      <c r="O160" s="8">
        <v>32.0</v>
      </c>
    </row>
    <row r="161">
      <c r="A161" s="8">
        <v>15.0</v>
      </c>
      <c r="B161" s="5" t="s">
        <v>615</v>
      </c>
      <c r="C161" s="4">
        <v>2018.0</v>
      </c>
      <c r="D161" s="8">
        <v>22.0</v>
      </c>
      <c r="E161" s="8">
        <v>5.0</v>
      </c>
      <c r="F161" s="9"/>
      <c r="G161" s="8">
        <v>17.0</v>
      </c>
      <c r="H161" s="8" t="s">
        <v>78</v>
      </c>
      <c r="I161" s="8" t="s">
        <v>180</v>
      </c>
      <c r="J161" s="8" t="s">
        <v>616</v>
      </c>
      <c r="K161" s="8">
        <v>1825.0</v>
      </c>
      <c r="L161" s="8" t="s">
        <v>617</v>
      </c>
      <c r="M161" s="8">
        <v>2049.0</v>
      </c>
      <c r="N161" s="8">
        <v>89.1</v>
      </c>
      <c r="O161" s="8">
        <v>20.0</v>
      </c>
    </row>
    <row r="162">
      <c r="A162" s="8">
        <v>16.0</v>
      </c>
      <c r="B162" s="5" t="s">
        <v>618</v>
      </c>
      <c r="C162" s="4">
        <v>2018.0</v>
      </c>
      <c r="D162" s="8">
        <v>22.0</v>
      </c>
      <c r="E162" s="8">
        <v>4.0</v>
      </c>
      <c r="F162" s="8">
        <v>1.0</v>
      </c>
      <c r="G162" s="8">
        <v>17.0</v>
      </c>
      <c r="H162" s="10">
        <v>39479.0</v>
      </c>
      <c r="I162" s="8" t="s">
        <v>78</v>
      </c>
      <c r="J162" s="8" t="s">
        <v>619</v>
      </c>
      <c r="K162" s="8">
        <v>1606.0</v>
      </c>
      <c r="L162" s="8" t="s">
        <v>620</v>
      </c>
      <c r="M162" s="8">
        <v>2125.0</v>
      </c>
      <c r="N162" s="8">
        <v>75.6</v>
      </c>
      <c r="O162" s="8">
        <v>18.0</v>
      </c>
    </row>
    <row r="163">
      <c r="A163" s="8">
        <v>17.0</v>
      </c>
      <c r="B163" s="5" t="s">
        <v>621</v>
      </c>
      <c r="C163" s="4">
        <v>2018.0</v>
      </c>
      <c r="D163" s="8">
        <v>22.0</v>
      </c>
      <c r="E163" s="8">
        <v>4.0</v>
      </c>
      <c r="F163" s="9"/>
      <c r="G163" s="8">
        <v>18.0</v>
      </c>
      <c r="H163" s="8" t="s">
        <v>97</v>
      </c>
      <c r="I163" s="8" t="s">
        <v>180</v>
      </c>
      <c r="J163" s="8" t="s">
        <v>622</v>
      </c>
      <c r="K163" s="8">
        <v>1308.0</v>
      </c>
      <c r="L163" s="8" t="s">
        <v>623</v>
      </c>
      <c r="M163" s="8">
        <v>2182.0</v>
      </c>
      <c r="N163" s="8">
        <v>59.9</v>
      </c>
      <c r="O163" s="8">
        <v>16.0</v>
      </c>
    </row>
    <row r="164">
      <c r="A164" s="8">
        <v>18.0</v>
      </c>
      <c r="B164" s="5" t="s">
        <v>624</v>
      </c>
      <c r="C164" s="4">
        <v>2018.0</v>
      </c>
      <c r="D164" s="8">
        <v>22.0</v>
      </c>
      <c r="E164" s="8">
        <v>2.0</v>
      </c>
      <c r="F164" s="9"/>
      <c r="G164" s="8">
        <v>20.0</v>
      </c>
      <c r="H164" s="8" t="s">
        <v>97</v>
      </c>
      <c r="I164" s="8" t="s">
        <v>97</v>
      </c>
      <c r="J164" s="8" t="s">
        <v>625</v>
      </c>
      <c r="K164" s="8">
        <v>1353.0</v>
      </c>
      <c r="L164" s="8" t="s">
        <v>626</v>
      </c>
      <c r="M164" s="8">
        <v>2282.0</v>
      </c>
      <c r="N164" s="8">
        <v>59.3</v>
      </c>
      <c r="O164" s="8">
        <v>8.0</v>
      </c>
    </row>
    <row r="165">
      <c r="A165" s="1" t="s">
        <v>627</v>
      </c>
    </row>
    <row r="166">
      <c r="A166" s="2" t="s">
        <v>628</v>
      </c>
      <c r="B166" s="2" t="s">
        <v>629</v>
      </c>
      <c r="C166" s="3" t="s">
        <v>3</v>
      </c>
      <c r="D166" s="1" t="s">
        <v>630</v>
      </c>
      <c r="E166" s="1" t="s">
        <v>631</v>
      </c>
      <c r="F166" s="1" t="s">
        <v>632</v>
      </c>
      <c r="G166" s="1" t="s">
        <v>633</v>
      </c>
      <c r="H166" s="1" t="s">
        <v>634</v>
      </c>
      <c r="I166" s="1" t="s">
        <v>635</v>
      </c>
      <c r="J166" s="1" t="s">
        <v>636</v>
      </c>
      <c r="K166" s="1" t="s">
        <v>637</v>
      </c>
      <c r="L166" s="1" t="s">
        <v>638</v>
      </c>
      <c r="M166" s="1" t="s">
        <v>639</v>
      </c>
      <c r="N166" s="1" t="s">
        <v>640</v>
      </c>
      <c r="O166" s="1" t="s">
        <v>641</v>
      </c>
    </row>
    <row r="167">
      <c r="A167" s="4">
        <v>1.0</v>
      </c>
      <c r="B167" s="5" t="s">
        <v>642</v>
      </c>
      <c r="C167" s="4">
        <v>2017.0</v>
      </c>
      <c r="D167" s="4">
        <v>22.0</v>
      </c>
      <c r="E167" s="4">
        <v>15.0</v>
      </c>
      <c r="F167" s="4">
        <v>1.0</v>
      </c>
      <c r="G167" s="4">
        <v>6.0</v>
      </c>
      <c r="H167" s="4" t="s">
        <v>39</v>
      </c>
      <c r="I167" s="7">
        <v>37803.0</v>
      </c>
      <c r="J167" s="4" t="s">
        <v>643</v>
      </c>
      <c r="K167" s="4">
        <v>2415.0</v>
      </c>
      <c r="L167" s="4" t="s">
        <v>644</v>
      </c>
      <c r="M167" s="4">
        <v>1776.0</v>
      </c>
      <c r="N167" s="4">
        <v>136.0</v>
      </c>
      <c r="O167" s="4">
        <v>62.0</v>
      </c>
    </row>
    <row r="168">
      <c r="A168" s="4">
        <v>2.0</v>
      </c>
      <c r="B168" s="5" t="s">
        <v>645</v>
      </c>
      <c r="C168" s="4">
        <v>2017.0</v>
      </c>
      <c r="D168" s="4">
        <v>22.0</v>
      </c>
      <c r="E168" s="4">
        <v>15.0</v>
      </c>
      <c r="F168" s="4">
        <v>1.0</v>
      </c>
      <c r="G168" s="4">
        <v>6.0</v>
      </c>
      <c r="H168" s="4" t="s">
        <v>24</v>
      </c>
      <c r="I168" s="7">
        <v>38139.0</v>
      </c>
      <c r="J168" s="4" t="s">
        <v>646</v>
      </c>
      <c r="K168" s="4">
        <v>2134.0</v>
      </c>
      <c r="L168" s="4" t="s">
        <v>647</v>
      </c>
      <c r="M168" s="4">
        <v>1818.0</v>
      </c>
      <c r="N168" s="4">
        <v>117.4</v>
      </c>
      <c r="O168" s="4">
        <v>62.0</v>
      </c>
    </row>
    <row r="169">
      <c r="A169" s="4">
        <v>3.0</v>
      </c>
      <c r="B169" s="5" t="s">
        <v>648</v>
      </c>
      <c r="C169" s="4">
        <v>2017.0</v>
      </c>
      <c r="D169" s="4">
        <v>22.0</v>
      </c>
      <c r="E169" s="4">
        <v>15.0</v>
      </c>
      <c r="F169" s="6"/>
      <c r="G169" s="4">
        <v>7.0</v>
      </c>
      <c r="H169" s="4" t="s">
        <v>24</v>
      </c>
      <c r="I169" s="4" t="s">
        <v>151</v>
      </c>
      <c r="J169" s="4" t="s">
        <v>649</v>
      </c>
      <c r="K169" s="4">
        <v>1992.0</v>
      </c>
      <c r="L169" s="4" t="s">
        <v>650</v>
      </c>
      <c r="M169" s="4">
        <v>1684.0</v>
      </c>
      <c r="N169" s="4">
        <v>118.3</v>
      </c>
      <c r="O169" s="4">
        <v>60.0</v>
      </c>
    </row>
    <row r="170">
      <c r="A170" s="4">
        <v>4.0</v>
      </c>
      <c r="B170" s="5" t="s">
        <v>651</v>
      </c>
      <c r="C170" s="4">
        <v>2017.0</v>
      </c>
      <c r="D170" s="4">
        <v>22.0</v>
      </c>
      <c r="E170" s="4">
        <v>14.0</v>
      </c>
      <c r="F170" s="4">
        <v>2.0</v>
      </c>
      <c r="G170" s="4">
        <v>6.0</v>
      </c>
      <c r="H170" s="7">
        <v>37135.0</v>
      </c>
      <c r="I170" s="7">
        <v>38473.0</v>
      </c>
      <c r="J170" s="4" t="s">
        <v>652</v>
      </c>
      <c r="K170" s="4">
        <v>2081.0</v>
      </c>
      <c r="L170" s="4" t="s">
        <v>653</v>
      </c>
      <c r="M170" s="4">
        <v>1812.0</v>
      </c>
      <c r="N170" s="4">
        <v>114.8</v>
      </c>
      <c r="O170" s="4">
        <v>60.0</v>
      </c>
    </row>
    <row r="171">
      <c r="A171" s="4">
        <v>5.0</v>
      </c>
      <c r="B171" s="5" t="s">
        <v>654</v>
      </c>
      <c r="C171" s="4">
        <v>2017.0</v>
      </c>
      <c r="D171" s="4">
        <v>22.0</v>
      </c>
      <c r="E171" s="4">
        <v>14.0</v>
      </c>
      <c r="F171" s="6"/>
      <c r="G171" s="4">
        <v>8.0</v>
      </c>
      <c r="H171" s="4" t="s">
        <v>39</v>
      </c>
      <c r="I171" s="4" t="s">
        <v>151</v>
      </c>
      <c r="J171" s="4" t="s">
        <v>655</v>
      </c>
      <c r="K171" s="4">
        <v>2168.0</v>
      </c>
      <c r="L171" s="4" t="s">
        <v>656</v>
      </c>
      <c r="M171" s="4">
        <v>1671.0</v>
      </c>
      <c r="N171" s="4">
        <v>129.7</v>
      </c>
      <c r="O171" s="4">
        <v>56.0</v>
      </c>
    </row>
    <row r="172">
      <c r="A172" s="4">
        <v>6.0</v>
      </c>
      <c r="B172" s="5" t="s">
        <v>657</v>
      </c>
      <c r="C172" s="4">
        <v>2017.0</v>
      </c>
      <c r="D172" s="4">
        <v>22.0</v>
      </c>
      <c r="E172" s="4">
        <v>14.0</v>
      </c>
      <c r="F172" s="6"/>
      <c r="G172" s="4">
        <v>8.0</v>
      </c>
      <c r="H172" s="4" t="s">
        <v>19</v>
      </c>
      <c r="I172" s="4" t="s">
        <v>19</v>
      </c>
      <c r="J172" s="4" t="s">
        <v>658</v>
      </c>
      <c r="K172" s="4">
        <v>2093.0</v>
      </c>
      <c r="L172" s="4" t="s">
        <v>659</v>
      </c>
      <c r="M172" s="4">
        <v>1651.0</v>
      </c>
      <c r="N172" s="4">
        <v>126.8</v>
      </c>
      <c r="O172" s="4">
        <v>56.0</v>
      </c>
    </row>
    <row r="173">
      <c r="A173" s="4">
        <v>7.0</v>
      </c>
      <c r="B173" s="5" t="s">
        <v>660</v>
      </c>
      <c r="C173" s="4">
        <v>2017.0</v>
      </c>
      <c r="D173" s="4">
        <v>22.0</v>
      </c>
      <c r="E173" s="4">
        <v>12.0</v>
      </c>
      <c r="F173" s="6"/>
      <c r="G173" s="4">
        <v>10.0</v>
      </c>
      <c r="H173" s="4" t="s">
        <v>39</v>
      </c>
      <c r="I173" s="4" t="s">
        <v>69</v>
      </c>
      <c r="J173" s="4" t="s">
        <v>661</v>
      </c>
      <c r="K173" s="4">
        <v>2135.0</v>
      </c>
      <c r="L173" s="4" t="s">
        <v>510</v>
      </c>
      <c r="M173" s="4">
        <v>2004.0</v>
      </c>
      <c r="N173" s="4">
        <v>106.5</v>
      </c>
      <c r="O173" s="4">
        <v>48.0</v>
      </c>
    </row>
    <row r="174">
      <c r="A174" s="4">
        <v>8.0</v>
      </c>
      <c r="B174" s="5" t="s">
        <v>662</v>
      </c>
      <c r="C174" s="4">
        <v>2017.0</v>
      </c>
      <c r="D174" s="4">
        <v>22.0</v>
      </c>
      <c r="E174" s="4">
        <v>12.0</v>
      </c>
      <c r="F174" s="6"/>
      <c r="G174" s="4">
        <v>10.0</v>
      </c>
      <c r="H174" s="4" t="s">
        <v>39</v>
      </c>
      <c r="I174" s="4" t="s">
        <v>69</v>
      </c>
      <c r="J174" s="4" t="s">
        <v>663</v>
      </c>
      <c r="K174" s="4">
        <v>1964.0</v>
      </c>
      <c r="L174" s="4" t="s">
        <v>664</v>
      </c>
      <c r="M174" s="4">
        <v>1858.0</v>
      </c>
      <c r="N174" s="4">
        <v>105.7</v>
      </c>
      <c r="O174" s="4">
        <v>48.0</v>
      </c>
    </row>
    <row r="175">
      <c r="A175" s="8">
        <v>9.0</v>
      </c>
      <c r="B175" s="5" t="s">
        <v>665</v>
      </c>
      <c r="C175" s="4">
        <v>2017.0</v>
      </c>
      <c r="D175" s="8">
        <v>22.0</v>
      </c>
      <c r="E175" s="8">
        <v>12.0</v>
      </c>
      <c r="F175" s="9"/>
      <c r="G175" s="8">
        <v>10.0</v>
      </c>
      <c r="H175" s="8" t="s">
        <v>151</v>
      </c>
      <c r="I175" s="8" t="s">
        <v>151</v>
      </c>
      <c r="J175" s="8" t="s">
        <v>666</v>
      </c>
      <c r="K175" s="8">
        <v>2035.0</v>
      </c>
      <c r="L175" s="8" t="s">
        <v>667</v>
      </c>
      <c r="M175" s="8">
        <v>1934.0</v>
      </c>
      <c r="N175" s="8">
        <v>105.2</v>
      </c>
      <c r="O175" s="8">
        <v>48.0</v>
      </c>
    </row>
    <row r="176">
      <c r="A176" s="8">
        <v>10.0</v>
      </c>
      <c r="B176" s="5" t="s">
        <v>668</v>
      </c>
      <c r="C176" s="4">
        <v>2017.0</v>
      </c>
      <c r="D176" s="8">
        <v>22.0</v>
      </c>
      <c r="E176" s="8">
        <v>11.0</v>
      </c>
      <c r="F176" s="9"/>
      <c r="G176" s="8">
        <v>11.0</v>
      </c>
      <c r="H176" s="8" t="s">
        <v>19</v>
      </c>
      <c r="I176" s="8" t="s">
        <v>69</v>
      </c>
      <c r="J176" s="8" t="s">
        <v>669</v>
      </c>
      <c r="K176" s="8">
        <v>1857.0</v>
      </c>
      <c r="L176" s="8" t="s">
        <v>670</v>
      </c>
      <c r="M176" s="8">
        <v>1913.0</v>
      </c>
      <c r="N176" s="8">
        <v>97.1</v>
      </c>
      <c r="O176" s="8">
        <v>44.0</v>
      </c>
    </row>
    <row r="177">
      <c r="A177" s="8">
        <v>11.0</v>
      </c>
      <c r="B177" s="5" t="s">
        <v>671</v>
      </c>
      <c r="C177" s="4">
        <v>2017.0</v>
      </c>
      <c r="D177" s="8">
        <v>22.0</v>
      </c>
      <c r="E177" s="8">
        <v>11.0</v>
      </c>
      <c r="F177" s="9"/>
      <c r="G177" s="8">
        <v>11.0</v>
      </c>
      <c r="H177" s="8" t="s">
        <v>19</v>
      </c>
      <c r="I177" s="8" t="s">
        <v>69</v>
      </c>
      <c r="J177" s="8" t="s">
        <v>672</v>
      </c>
      <c r="K177" s="8">
        <v>1925.0</v>
      </c>
      <c r="L177" s="8" t="s">
        <v>673</v>
      </c>
      <c r="M177" s="8">
        <v>1986.0</v>
      </c>
      <c r="N177" s="8">
        <v>96.9</v>
      </c>
      <c r="O177" s="8">
        <v>44.0</v>
      </c>
    </row>
    <row r="178">
      <c r="A178" s="8">
        <v>12.0</v>
      </c>
      <c r="B178" s="5" t="s">
        <v>674</v>
      </c>
      <c r="C178" s="4">
        <v>2017.0</v>
      </c>
      <c r="D178" s="8">
        <v>22.0</v>
      </c>
      <c r="E178" s="8">
        <v>10.0</v>
      </c>
      <c r="F178" s="8">
        <v>1.0</v>
      </c>
      <c r="G178" s="8">
        <v>11.0</v>
      </c>
      <c r="H178" s="10">
        <v>38139.0</v>
      </c>
      <c r="I178" s="8" t="s">
        <v>69</v>
      </c>
      <c r="J178" s="8" t="s">
        <v>675</v>
      </c>
      <c r="K178" s="8">
        <v>1864.0</v>
      </c>
      <c r="L178" s="8" t="s">
        <v>676</v>
      </c>
      <c r="M178" s="8">
        <v>2055.0</v>
      </c>
      <c r="N178" s="8">
        <v>90.7</v>
      </c>
      <c r="O178" s="8">
        <v>42.0</v>
      </c>
    </row>
    <row r="179">
      <c r="A179" s="8">
        <v>13.0</v>
      </c>
      <c r="B179" s="5" t="s">
        <v>677</v>
      </c>
      <c r="C179" s="4">
        <v>2017.0</v>
      </c>
      <c r="D179" s="8">
        <v>22.0</v>
      </c>
      <c r="E179" s="8">
        <v>9.0</v>
      </c>
      <c r="F179" s="8">
        <v>1.0</v>
      </c>
      <c r="G179" s="8">
        <v>12.0</v>
      </c>
      <c r="H179" s="10">
        <v>38808.0</v>
      </c>
      <c r="I179" s="8" t="s">
        <v>64</v>
      </c>
      <c r="J179" s="8" t="s">
        <v>678</v>
      </c>
      <c r="K179" s="8">
        <v>1944.0</v>
      </c>
      <c r="L179" s="8" t="s">
        <v>679</v>
      </c>
      <c r="M179" s="8">
        <v>1963.0</v>
      </c>
      <c r="N179" s="8">
        <v>99.0</v>
      </c>
      <c r="O179" s="8">
        <v>38.0</v>
      </c>
    </row>
    <row r="180">
      <c r="A180" s="8">
        <v>14.0</v>
      </c>
      <c r="B180" s="5" t="s">
        <v>680</v>
      </c>
      <c r="C180" s="4">
        <v>2017.0</v>
      </c>
      <c r="D180" s="8">
        <v>22.0</v>
      </c>
      <c r="E180" s="8">
        <v>8.0</v>
      </c>
      <c r="F180" s="9"/>
      <c r="G180" s="8">
        <v>14.0</v>
      </c>
      <c r="H180" s="8" t="s">
        <v>64</v>
      </c>
      <c r="I180" s="8" t="s">
        <v>180</v>
      </c>
      <c r="J180" s="8" t="s">
        <v>681</v>
      </c>
      <c r="K180" s="8">
        <v>1607.0</v>
      </c>
      <c r="L180" s="8" t="s">
        <v>682</v>
      </c>
      <c r="M180" s="8">
        <v>2160.0</v>
      </c>
      <c r="N180" s="8">
        <v>74.4</v>
      </c>
      <c r="O180" s="8">
        <v>32.0</v>
      </c>
    </row>
    <row r="181">
      <c r="A181" s="8">
        <v>15.0</v>
      </c>
      <c r="B181" s="5" t="s">
        <v>683</v>
      </c>
      <c r="C181" s="4">
        <v>2017.0</v>
      </c>
      <c r="D181" s="8">
        <v>22.0</v>
      </c>
      <c r="E181" s="8">
        <v>6.0</v>
      </c>
      <c r="F181" s="9"/>
      <c r="G181" s="8">
        <v>16.0</v>
      </c>
      <c r="H181" s="8" t="s">
        <v>180</v>
      </c>
      <c r="I181" s="8" t="s">
        <v>180</v>
      </c>
      <c r="J181" s="8" t="s">
        <v>684</v>
      </c>
      <c r="K181" s="8">
        <v>1983.0</v>
      </c>
      <c r="L181" s="8" t="s">
        <v>685</v>
      </c>
      <c r="M181" s="8">
        <v>2264.0</v>
      </c>
      <c r="N181" s="8">
        <v>87.6</v>
      </c>
      <c r="O181" s="8">
        <v>24.0</v>
      </c>
    </row>
    <row r="182">
      <c r="A182" s="8">
        <v>16.0</v>
      </c>
      <c r="B182" s="5" t="s">
        <v>686</v>
      </c>
      <c r="C182" s="4">
        <v>2017.0</v>
      </c>
      <c r="D182" s="8">
        <v>22.0</v>
      </c>
      <c r="E182" s="8">
        <v>6.0</v>
      </c>
      <c r="F182" s="9"/>
      <c r="G182" s="8">
        <v>16.0</v>
      </c>
      <c r="H182" s="8" t="s">
        <v>69</v>
      </c>
      <c r="I182" s="8" t="s">
        <v>78</v>
      </c>
      <c r="J182" s="8" t="s">
        <v>687</v>
      </c>
      <c r="K182" s="8">
        <v>1594.0</v>
      </c>
      <c r="L182" s="8" t="s">
        <v>688</v>
      </c>
      <c r="M182" s="8">
        <v>2038.0</v>
      </c>
      <c r="N182" s="8">
        <v>78.2</v>
      </c>
      <c r="O182" s="8">
        <v>24.0</v>
      </c>
    </row>
    <row r="183">
      <c r="A183" s="8">
        <v>17.0</v>
      </c>
      <c r="B183" s="5" t="s">
        <v>689</v>
      </c>
      <c r="C183" s="4">
        <v>2017.0</v>
      </c>
      <c r="D183" s="8">
        <v>22.0</v>
      </c>
      <c r="E183" s="8">
        <v>6.0</v>
      </c>
      <c r="F183" s="9"/>
      <c r="G183" s="8">
        <v>16.0</v>
      </c>
      <c r="H183" s="8" t="s">
        <v>69</v>
      </c>
      <c r="I183" s="8" t="s">
        <v>78</v>
      </c>
      <c r="J183" s="8" t="s">
        <v>690</v>
      </c>
      <c r="K183" s="8">
        <v>1756.0</v>
      </c>
      <c r="L183" s="8" t="s">
        <v>691</v>
      </c>
      <c r="M183" s="8">
        <v>2311.0</v>
      </c>
      <c r="N183" s="8">
        <v>76.0</v>
      </c>
      <c r="O183" s="8">
        <v>24.0</v>
      </c>
    </row>
    <row r="184">
      <c r="A184" s="8">
        <v>18.0</v>
      </c>
      <c r="B184" s="5" t="s">
        <v>692</v>
      </c>
      <c r="C184" s="4">
        <v>2017.0</v>
      </c>
      <c r="D184" s="8">
        <v>22.0</v>
      </c>
      <c r="E184" s="8">
        <v>5.0</v>
      </c>
      <c r="F184" s="9"/>
      <c r="G184" s="8">
        <v>17.0</v>
      </c>
      <c r="H184" s="8" t="s">
        <v>180</v>
      </c>
      <c r="I184" s="8" t="s">
        <v>78</v>
      </c>
      <c r="J184" s="8" t="s">
        <v>693</v>
      </c>
      <c r="K184" s="8">
        <v>1877.0</v>
      </c>
      <c r="L184" s="8" t="s">
        <v>694</v>
      </c>
      <c r="M184" s="8">
        <v>2526.0</v>
      </c>
      <c r="N184" s="8">
        <v>74.3</v>
      </c>
      <c r="O184" s="8">
        <v>20.0</v>
      </c>
    </row>
    <row r="185">
      <c r="A185" s="1" t="s">
        <v>695</v>
      </c>
    </row>
    <row r="186">
      <c r="A186" s="2" t="s">
        <v>696</v>
      </c>
      <c r="B186" s="2" t="s">
        <v>697</v>
      </c>
      <c r="C186" s="3" t="s">
        <v>3</v>
      </c>
      <c r="D186" s="1" t="s">
        <v>698</v>
      </c>
      <c r="E186" s="1" t="s">
        <v>699</v>
      </c>
      <c r="F186" s="1" t="s">
        <v>700</v>
      </c>
      <c r="G186" s="1" t="s">
        <v>701</v>
      </c>
      <c r="H186" s="1" t="s">
        <v>702</v>
      </c>
      <c r="I186" s="1" t="s">
        <v>703</v>
      </c>
      <c r="J186" s="1" t="s">
        <v>704</v>
      </c>
      <c r="K186" s="1" t="s">
        <v>705</v>
      </c>
      <c r="L186" s="1" t="s">
        <v>706</v>
      </c>
      <c r="M186" s="1" t="s">
        <v>707</v>
      </c>
      <c r="N186" s="1" t="s">
        <v>708</v>
      </c>
      <c r="O186" s="1" t="s">
        <v>709</v>
      </c>
    </row>
    <row r="187">
      <c r="A187" s="4">
        <v>1.0</v>
      </c>
      <c r="B187" s="5" t="s">
        <v>710</v>
      </c>
      <c r="C187" s="4">
        <v>2016.0</v>
      </c>
      <c r="D187" s="4">
        <v>22.0</v>
      </c>
      <c r="E187" s="4">
        <v>17.0</v>
      </c>
      <c r="F187" s="6"/>
      <c r="G187" s="4">
        <v>5.0</v>
      </c>
      <c r="H187" s="4" t="s">
        <v>24</v>
      </c>
      <c r="I187" s="4" t="s">
        <v>39</v>
      </c>
      <c r="J187" s="4" t="s">
        <v>711</v>
      </c>
      <c r="K187" s="4">
        <v>2221.0</v>
      </c>
      <c r="L187" s="4" t="s">
        <v>712</v>
      </c>
      <c r="M187" s="4">
        <v>1469.0</v>
      </c>
      <c r="N187" s="4">
        <v>151.2</v>
      </c>
      <c r="O187" s="4">
        <v>68.0</v>
      </c>
    </row>
    <row r="188">
      <c r="A188" s="4">
        <v>2.0</v>
      </c>
      <c r="B188" s="5" t="s">
        <v>713</v>
      </c>
      <c r="C188" s="4">
        <v>2016.0</v>
      </c>
      <c r="D188" s="4">
        <v>22.0</v>
      </c>
      <c r="E188" s="4">
        <v>17.0</v>
      </c>
      <c r="F188" s="6"/>
      <c r="G188" s="4">
        <v>5.0</v>
      </c>
      <c r="H188" s="4" t="s">
        <v>53</v>
      </c>
      <c r="I188" s="4" t="s">
        <v>19</v>
      </c>
      <c r="J188" s="4" t="s">
        <v>714</v>
      </c>
      <c r="K188" s="4">
        <v>2235.0</v>
      </c>
      <c r="L188" s="4" t="s">
        <v>715</v>
      </c>
      <c r="M188" s="4">
        <v>1554.0</v>
      </c>
      <c r="N188" s="4">
        <v>143.8</v>
      </c>
      <c r="O188" s="4">
        <v>68.0</v>
      </c>
    </row>
    <row r="189">
      <c r="A189" s="4">
        <v>3.0</v>
      </c>
      <c r="B189" s="5" t="s">
        <v>716</v>
      </c>
      <c r="C189" s="4">
        <v>2016.0</v>
      </c>
      <c r="D189" s="4">
        <v>22.0</v>
      </c>
      <c r="E189" s="4">
        <v>17.0</v>
      </c>
      <c r="F189" s="6"/>
      <c r="G189" s="4">
        <v>5.0</v>
      </c>
      <c r="H189" s="4" t="s">
        <v>53</v>
      </c>
      <c r="I189" s="4" t="s">
        <v>19</v>
      </c>
      <c r="J189" s="4" t="s">
        <v>717</v>
      </c>
      <c r="K189" s="4">
        <v>2134.0</v>
      </c>
      <c r="L189" s="4" t="s">
        <v>718</v>
      </c>
      <c r="M189" s="4">
        <v>1800.0</v>
      </c>
      <c r="N189" s="4">
        <v>118.6</v>
      </c>
      <c r="O189" s="4">
        <v>68.0</v>
      </c>
    </row>
    <row r="190">
      <c r="A190" s="4">
        <v>4.0</v>
      </c>
      <c r="B190" s="5" t="s">
        <v>719</v>
      </c>
      <c r="C190" s="4">
        <v>2016.0</v>
      </c>
      <c r="D190" s="4">
        <v>22.0</v>
      </c>
      <c r="E190" s="4">
        <v>16.0</v>
      </c>
      <c r="F190" s="6"/>
      <c r="G190" s="4">
        <v>6.0</v>
      </c>
      <c r="H190" s="4" t="s">
        <v>24</v>
      </c>
      <c r="I190" s="4" t="s">
        <v>19</v>
      </c>
      <c r="J190" s="4" t="s">
        <v>720</v>
      </c>
      <c r="K190" s="4">
        <v>2380.0</v>
      </c>
      <c r="L190" s="4" t="s">
        <v>721</v>
      </c>
      <c r="M190" s="4">
        <v>1663.0</v>
      </c>
      <c r="N190" s="4">
        <v>143.1</v>
      </c>
      <c r="O190" s="4">
        <v>64.0</v>
      </c>
    </row>
    <row r="191">
      <c r="A191" s="4">
        <v>5.0</v>
      </c>
      <c r="B191" s="5" t="s">
        <v>722</v>
      </c>
      <c r="C191" s="4">
        <v>2016.0</v>
      </c>
      <c r="D191" s="4">
        <v>22.0</v>
      </c>
      <c r="E191" s="4">
        <v>16.0</v>
      </c>
      <c r="F191" s="6"/>
      <c r="G191" s="4">
        <v>6.0</v>
      </c>
      <c r="H191" s="4" t="s">
        <v>24</v>
      </c>
      <c r="I191" s="4" t="s">
        <v>19</v>
      </c>
      <c r="J191" s="4" t="s">
        <v>723</v>
      </c>
      <c r="K191" s="4">
        <v>2483.0</v>
      </c>
      <c r="L191" s="4" t="s">
        <v>724</v>
      </c>
      <c r="M191" s="4">
        <v>1795.0</v>
      </c>
      <c r="N191" s="4">
        <v>138.3</v>
      </c>
      <c r="O191" s="4">
        <v>64.0</v>
      </c>
    </row>
    <row r="192">
      <c r="A192" s="4">
        <v>6.0</v>
      </c>
      <c r="B192" s="5" t="s">
        <v>725</v>
      </c>
      <c r="C192" s="4">
        <v>2016.0</v>
      </c>
      <c r="D192" s="4">
        <v>22.0</v>
      </c>
      <c r="E192" s="4">
        <v>16.0</v>
      </c>
      <c r="F192" s="6"/>
      <c r="G192" s="4">
        <v>6.0</v>
      </c>
      <c r="H192" s="4" t="s">
        <v>53</v>
      </c>
      <c r="I192" s="4" t="s">
        <v>151</v>
      </c>
      <c r="J192" s="4" t="s">
        <v>726</v>
      </c>
      <c r="K192" s="4">
        <v>2181.0</v>
      </c>
      <c r="L192" s="4" t="s">
        <v>727</v>
      </c>
      <c r="M192" s="4">
        <v>1678.0</v>
      </c>
      <c r="N192" s="4">
        <v>130.0</v>
      </c>
      <c r="O192" s="4">
        <v>64.0</v>
      </c>
    </row>
    <row r="193">
      <c r="A193" s="4">
        <v>7.0</v>
      </c>
      <c r="B193" s="5" t="s">
        <v>728</v>
      </c>
      <c r="C193" s="4">
        <v>2016.0</v>
      </c>
      <c r="D193" s="4">
        <v>22.0</v>
      </c>
      <c r="E193" s="4">
        <v>15.0</v>
      </c>
      <c r="F193" s="6"/>
      <c r="G193" s="4">
        <v>7.0</v>
      </c>
      <c r="H193" s="4" t="s">
        <v>39</v>
      </c>
      <c r="I193" s="4" t="s">
        <v>19</v>
      </c>
      <c r="J193" s="4" t="s">
        <v>307</v>
      </c>
      <c r="K193" s="4">
        <v>1857.0</v>
      </c>
      <c r="L193" s="4" t="s">
        <v>729</v>
      </c>
      <c r="M193" s="4">
        <v>1609.0</v>
      </c>
      <c r="N193" s="4">
        <v>115.4</v>
      </c>
      <c r="O193" s="4">
        <v>60.0</v>
      </c>
    </row>
    <row r="194">
      <c r="A194" s="4">
        <v>8.0</v>
      </c>
      <c r="B194" s="5" t="s">
        <v>730</v>
      </c>
      <c r="C194" s="4">
        <v>2016.0</v>
      </c>
      <c r="D194" s="4">
        <v>22.0</v>
      </c>
      <c r="E194" s="4">
        <v>12.0</v>
      </c>
      <c r="F194" s="6"/>
      <c r="G194" s="4">
        <v>10.0</v>
      </c>
      <c r="H194" s="4" t="s">
        <v>19</v>
      </c>
      <c r="I194" s="4" t="s">
        <v>64</v>
      </c>
      <c r="J194" s="4" t="s">
        <v>731</v>
      </c>
      <c r="K194" s="4">
        <v>1956.0</v>
      </c>
      <c r="L194" s="4" t="s">
        <v>732</v>
      </c>
      <c r="M194" s="4">
        <v>1859.0</v>
      </c>
      <c r="N194" s="4">
        <v>105.2</v>
      </c>
      <c r="O194" s="4">
        <v>48.0</v>
      </c>
    </row>
    <row r="195">
      <c r="A195" s="8">
        <v>9.0</v>
      </c>
      <c r="B195" s="5" t="s">
        <v>733</v>
      </c>
      <c r="C195" s="4">
        <v>2016.0</v>
      </c>
      <c r="D195" s="8">
        <v>22.0</v>
      </c>
      <c r="E195" s="8">
        <v>12.0</v>
      </c>
      <c r="F195" s="9"/>
      <c r="G195" s="8">
        <v>10.0</v>
      </c>
      <c r="H195" s="8" t="s">
        <v>19</v>
      </c>
      <c r="I195" s="8" t="s">
        <v>64</v>
      </c>
      <c r="J195" s="8" t="s">
        <v>734</v>
      </c>
      <c r="K195" s="8">
        <v>1953.0</v>
      </c>
      <c r="L195" s="8" t="s">
        <v>735</v>
      </c>
      <c r="M195" s="8">
        <v>2041.0</v>
      </c>
      <c r="N195" s="8">
        <v>95.7</v>
      </c>
      <c r="O195" s="8">
        <v>48.0</v>
      </c>
    </row>
    <row r="196">
      <c r="A196" s="8">
        <v>10.0</v>
      </c>
      <c r="B196" s="5" t="s">
        <v>736</v>
      </c>
      <c r="C196" s="4">
        <v>2016.0</v>
      </c>
      <c r="D196" s="8">
        <v>22.0</v>
      </c>
      <c r="E196" s="8">
        <v>10.0</v>
      </c>
      <c r="F196" s="9"/>
      <c r="G196" s="8">
        <v>12.0</v>
      </c>
      <c r="H196" s="8" t="s">
        <v>69</v>
      </c>
      <c r="I196" s="8" t="s">
        <v>151</v>
      </c>
      <c r="J196" s="8" t="s">
        <v>737</v>
      </c>
      <c r="K196" s="8">
        <v>2055.0</v>
      </c>
      <c r="L196" s="8" t="s">
        <v>738</v>
      </c>
      <c r="M196" s="8">
        <v>1939.0</v>
      </c>
      <c r="N196" s="8">
        <v>106.0</v>
      </c>
      <c r="O196" s="8">
        <v>40.0</v>
      </c>
    </row>
    <row r="197">
      <c r="A197" s="8">
        <v>11.0</v>
      </c>
      <c r="B197" s="5" t="s">
        <v>739</v>
      </c>
      <c r="C197" s="4">
        <v>2016.0</v>
      </c>
      <c r="D197" s="8">
        <v>22.0</v>
      </c>
      <c r="E197" s="8">
        <v>10.0</v>
      </c>
      <c r="F197" s="9"/>
      <c r="G197" s="8">
        <v>12.0</v>
      </c>
      <c r="H197" s="8" t="s">
        <v>19</v>
      </c>
      <c r="I197" s="8" t="s">
        <v>180</v>
      </c>
      <c r="J197" s="8" t="s">
        <v>740</v>
      </c>
      <c r="K197" s="8">
        <v>1944.0</v>
      </c>
      <c r="L197" s="8" t="s">
        <v>156</v>
      </c>
      <c r="M197" s="8">
        <v>1991.0</v>
      </c>
      <c r="N197" s="8">
        <v>97.6</v>
      </c>
      <c r="O197" s="8">
        <v>40.0</v>
      </c>
    </row>
    <row r="198">
      <c r="A198" s="8">
        <v>12.0</v>
      </c>
      <c r="B198" s="5" t="s">
        <v>741</v>
      </c>
      <c r="C198" s="4">
        <v>2016.0</v>
      </c>
      <c r="D198" s="8">
        <v>22.0</v>
      </c>
      <c r="E198" s="8">
        <v>9.0</v>
      </c>
      <c r="F198" s="9"/>
      <c r="G198" s="8">
        <v>13.0</v>
      </c>
      <c r="H198" s="8" t="s">
        <v>151</v>
      </c>
      <c r="I198" s="8" t="s">
        <v>180</v>
      </c>
      <c r="J198" s="8" t="s">
        <v>742</v>
      </c>
      <c r="K198" s="8">
        <v>1910.0</v>
      </c>
      <c r="L198" s="8" t="s">
        <v>743</v>
      </c>
      <c r="M198" s="8">
        <v>1998.0</v>
      </c>
      <c r="N198" s="8">
        <v>95.6</v>
      </c>
      <c r="O198" s="8">
        <v>36.0</v>
      </c>
    </row>
    <row r="199">
      <c r="A199" s="8">
        <v>13.0</v>
      </c>
      <c r="B199" s="5" t="s">
        <v>744</v>
      </c>
      <c r="C199" s="4">
        <v>2016.0</v>
      </c>
      <c r="D199" s="8">
        <v>22.0</v>
      </c>
      <c r="E199" s="8">
        <v>8.0</v>
      </c>
      <c r="F199" s="9"/>
      <c r="G199" s="8">
        <v>14.0</v>
      </c>
      <c r="H199" s="8" t="s">
        <v>151</v>
      </c>
      <c r="I199" s="8" t="s">
        <v>78</v>
      </c>
      <c r="J199" s="8" t="s">
        <v>745</v>
      </c>
      <c r="K199" s="8">
        <v>1713.0</v>
      </c>
      <c r="L199" s="8" t="s">
        <v>746</v>
      </c>
      <c r="M199" s="8">
        <v>2155.0</v>
      </c>
      <c r="N199" s="8">
        <v>79.5</v>
      </c>
      <c r="O199" s="8">
        <v>32.0</v>
      </c>
    </row>
    <row r="200">
      <c r="A200" s="8">
        <v>14.0</v>
      </c>
      <c r="B200" s="5" t="s">
        <v>747</v>
      </c>
      <c r="C200" s="4">
        <v>2016.0</v>
      </c>
      <c r="D200" s="8">
        <v>22.0</v>
      </c>
      <c r="E200" s="8">
        <v>7.0</v>
      </c>
      <c r="F200" s="9"/>
      <c r="G200" s="8">
        <v>15.0</v>
      </c>
      <c r="H200" s="8" t="s">
        <v>64</v>
      </c>
      <c r="I200" s="8" t="s">
        <v>78</v>
      </c>
      <c r="J200" s="8" t="s">
        <v>748</v>
      </c>
      <c r="K200" s="8">
        <v>1568.0</v>
      </c>
      <c r="L200" s="8" t="s">
        <v>749</v>
      </c>
      <c r="M200" s="8">
        <v>1978.0</v>
      </c>
      <c r="N200" s="8">
        <v>79.3</v>
      </c>
      <c r="O200" s="8">
        <v>28.0</v>
      </c>
    </row>
    <row r="201">
      <c r="A201" s="8">
        <v>15.0</v>
      </c>
      <c r="B201" s="5" t="s">
        <v>750</v>
      </c>
      <c r="C201" s="4">
        <v>2016.0</v>
      </c>
      <c r="D201" s="8">
        <v>22.0</v>
      </c>
      <c r="E201" s="8">
        <v>6.0</v>
      </c>
      <c r="F201" s="9"/>
      <c r="G201" s="8">
        <v>16.0</v>
      </c>
      <c r="H201" s="8" t="s">
        <v>64</v>
      </c>
      <c r="I201" s="8" t="s">
        <v>97</v>
      </c>
      <c r="J201" s="8" t="s">
        <v>751</v>
      </c>
      <c r="K201" s="8">
        <v>1778.0</v>
      </c>
      <c r="L201" s="8" t="s">
        <v>752</v>
      </c>
      <c r="M201" s="8">
        <v>2273.0</v>
      </c>
      <c r="N201" s="8">
        <v>78.2</v>
      </c>
      <c r="O201" s="8">
        <v>24.0</v>
      </c>
    </row>
    <row r="202">
      <c r="A202" s="8">
        <v>16.0</v>
      </c>
      <c r="B202" s="5" t="s">
        <v>753</v>
      </c>
      <c r="C202" s="4">
        <v>2016.0</v>
      </c>
      <c r="D202" s="8">
        <v>22.0</v>
      </c>
      <c r="E202" s="8">
        <v>4.0</v>
      </c>
      <c r="F202" s="9"/>
      <c r="G202" s="8">
        <v>18.0</v>
      </c>
      <c r="H202" s="8" t="s">
        <v>180</v>
      </c>
      <c r="I202" s="8" t="s">
        <v>97</v>
      </c>
      <c r="J202" s="8" t="s">
        <v>754</v>
      </c>
      <c r="K202" s="8">
        <v>1574.0</v>
      </c>
      <c r="L202" s="8" t="s">
        <v>755</v>
      </c>
      <c r="M202" s="8">
        <v>2119.0</v>
      </c>
      <c r="N202" s="8">
        <v>74.3</v>
      </c>
      <c r="O202" s="8">
        <v>16.0</v>
      </c>
    </row>
    <row r="203">
      <c r="A203" s="8">
        <v>17.0</v>
      </c>
      <c r="B203" s="5" t="s">
        <v>756</v>
      </c>
      <c r="C203" s="4">
        <v>2016.0</v>
      </c>
      <c r="D203" s="8">
        <v>22.0</v>
      </c>
      <c r="E203" s="8">
        <v>3.0</v>
      </c>
      <c r="F203" s="9"/>
      <c r="G203" s="8">
        <v>19.0</v>
      </c>
      <c r="H203" s="8" t="s">
        <v>78</v>
      </c>
      <c r="I203" s="8" t="s">
        <v>97</v>
      </c>
      <c r="J203" s="8" t="s">
        <v>757</v>
      </c>
      <c r="K203" s="8">
        <v>1770.0</v>
      </c>
      <c r="L203" s="8" t="s">
        <v>758</v>
      </c>
      <c r="M203" s="8">
        <v>2872.0</v>
      </c>
      <c r="N203" s="8">
        <v>61.6</v>
      </c>
      <c r="O203" s="8">
        <v>12.0</v>
      </c>
    </row>
    <row r="204">
      <c r="A204" s="8">
        <v>18.0</v>
      </c>
      <c r="B204" s="5" t="s">
        <v>759</v>
      </c>
      <c r="C204" s="4">
        <v>2016.0</v>
      </c>
      <c r="D204" s="8">
        <v>22.0</v>
      </c>
      <c r="E204" s="8">
        <v>3.0</v>
      </c>
      <c r="F204" s="9"/>
      <c r="G204" s="8">
        <v>19.0</v>
      </c>
      <c r="H204" s="8" t="s">
        <v>180</v>
      </c>
      <c r="I204" s="8" t="s">
        <v>334</v>
      </c>
      <c r="J204" s="8" t="s">
        <v>760</v>
      </c>
      <c r="K204" s="8">
        <v>1437.0</v>
      </c>
      <c r="L204" s="8" t="s">
        <v>761</v>
      </c>
      <c r="M204" s="8">
        <v>2356.0</v>
      </c>
      <c r="N204" s="8">
        <v>61.0</v>
      </c>
      <c r="O204" s="8">
        <v>12.0</v>
      </c>
    </row>
    <row r="205">
      <c r="A205" s="1" t="s">
        <v>762</v>
      </c>
    </row>
    <row r="206">
      <c r="A206" s="2" t="s">
        <v>763</v>
      </c>
      <c r="B206" s="2" t="s">
        <v>764</v>
      </c>
      <c r="C206" s="3" t="s">
        <v>3</v>
      </c>
      <c r="D206" s="1" t="s">
        <v>765</v>
      </c>
      <c r="E206" s="1" t="s">
        <v>766</v>
      </c>
      <c r="F206" s="1" t="s">
        <v>767</v>
      </c>
      <c r="G206" s="1" t="s">
        <v>768</v>
      </c>
      <c r="H206" s="1" t="s">
        <v>769</v>
      </c>
      <c r="I206" s="1" t="s">
        <v>770</v>
      </c>
      <c r="J206" s="1" t="s">
        <v>771</v>
      </c>
      <c r="K206" s="1" t="s">
        <v>772</v>
      </c>
      <c r="L206" s="1" t="s">
        <v>773</v>
      </c>
      <c r="M206" s="1" t="s">
        <v>774</v>
      </c>
      <c r="N206" s="1" t="s">
        <v>775</v>
      </c>
      <c r="O206" s="1" t="s">
        <v>776</v>
      </c>
    </row>
    <row r="207">
      <c r="A207" s="4">
        <v>1.0</v>
      </c>
      <c r="B207" s="5" t="s">
        <v>777</v>
      </c>
      <c r="C207" s="4">
        <v>2015.0</v>
      </c>
      <c r="D207" s="4">
        <v>22.0</v>
      </c>
      <c r="E207" s="4">
        <v>17.0</v>
      </c>
      <c r="F207" s="6"/>
      <c r="G207" s="4">
        <v>5.0</v>
      </c>
      <c r="H207" s="4" t="s">
        <v>24</v>
      </c>
      <c r="I207" s="4" t="s">
        <v>39</v>
      </c>
      <c r="J207" s="4" t="s">
        <v>778</v>
      </c>
      <c r="K207" s="4">
        <v>1857.0</v>
      </c>
      <c r="L207" s="4" t="s">
        <v>779</v>
      </c>
      <c r="M207" s="4">
        <v>1564.0</v>
      </c>
      <c r="N207" s="4">
        <v>118.7</v>
      </c>
      <c r="O207" s="4">
        <v>68.0</v>
      </c>
    </row>
    <row r="208">
      <c r="A208" s="4">
        <v>2.0</v>
      </c>
      <c r="B208" s="5" t="s">
        <v>780</v>
      </c>
      <c r="C208" s="4">
        <v>2015.0</v>
      </c>
      <c r="D208" s="4">
        <v>22.0</v>
      </c>
      <c r="E208" s="4">
        <v>16.0</v>
      </c>
      <c r="F208" s="4">
        <v>1.0</v>
      </c>
      <c r="G208" s="4">
        <v>5.0</v>
      </c>
      <c r="H208" s="4" t="s">
        <v>24</v>
      </c>
      <c r="I208" s="7">
        <v>37803.0</v>
      </c>
      <c r="J208" s="4" t="s">
        <v>781</v>
      </c>
      <c r="K208" s="4">
        <v>2330.0</v>
      </c>
      <c r="L208" s="4" t="s">
        <v>782</v>
      </c>
      <c r="M208" s="4">
        <v>1572.0</v>
      </c>
      <c r="N208" s="4">
        <v>148.2</v>
      </c>
      <c r="O208" s="4">
        <v>66.0</v>
      </c>
    </row>
    <row r="209">
      <c r="A209" s="4">
        <v>3.0</v>
      </c>
      <c r="B209" s="5" t="s">
        <v>783</v>
      </c>
      <c r="C209" s="4">
        <v>2015.0</v>
      </c>
      <c r="D209" s="4">
        <v>22.0</v>
      </c>
      <c r="E209" s="4">
        <v>16.0</v>
      </c>
      <c r="F209" s="6"/>
      <c r="G209" s="4">
        <v>6.0</v>
      </c>
      <c r="H209" s="4" t="s">
        <v>39</v>
      </c>
      <c r="I209" s="4" t="s">
        <v>39</v>
      </c>
      <c r="J209" s="4" t="s">
        <v>784</v>
      </c>
      <c r="K209" s="4">
        <v>2452.0</v>
      </c>
      <c r="L209" s="4" t="s">
        <v>785</v>
      </c>
      <c r="M209" s="4">
        <v>1548.0</v>
      </c>
      <c r="N209" s="4">
        <v>158.4</v>
      </c>
      <c r="O209" s="4">
        <v>64.0</v>
      </c>
    </row>
    <row r="210">
      <c r="A210" s="4">
        <v>4.0</v>
      </c>
      <c r="B210" s="5" t="s">
        <v>786</v>
      </c>
      <c r="C210" s="4">
        <v>2015.0</v>
      </c>
      <c r="D210" s="4">
        <v>22.0</v>
      </c>
      <c r="E210" s="4">
        <v>16.0</v>
      </c>
      <c r="F210" s="6"/>
      <c r="G210" s="4">
        <v>6.0</v>
      </c>
      <c r="H210" s="4" t="s">
        <v>39</v>
      </c>
      <c r="I210" s="4" t="s">
        <v>39</v>
      </c>
      <c r="J210" s="4" t="s">
        <v>787</v>
      </c>
      <c r="K210" s="4">
        <v>2006.0</v>
      </c>
      <c r="L210" s="4" t="s">
        <v>788</v>
      </c>
      <c r="M210" s="4">
        <v>1578.0</v>
      </c>
      <c r="N210" s="4">
        <v>127.1</v>
      </c>
      <c r="O210" s="4">
        <v>64.0</v>
      </c>
    </row>
    <row r="211">
      <c r="A211" s="4">
        <v>5.0</v>
      </c>
      <c r="B211" s="5" t="s">
        <v>789</v>
      </c>
      <c r="C211" s="4">
        <v>2015.0</v>
      </c>
      <c r="D211" s="4">
        <v>22.0</v>
      </c>
      <c r="E211" s="4">
        <v>15.0</v>
      </c>
      <c r="F211" s="6"/>
      <c r="G211" s="4">
        <v>7.0</v>
      </c>
      <c r="H211" s="4" t="s">
        <v>151</v>
      </c>
      <c r="I211" s="4" t="s">
        <v>24</v>
      </c>
      <c r="J211" s="4" t="s">
        <v>790</v>
      </c>
      <c r="K211" s="4">
        <v>1930.0</v>
      </c>
      <c r="L211" s="4" t="s">
        <v>791</v>
      </c>
      <c r="M211" s="4">
        <v>1568.0</v>
      </c>
      <c r="N211" s="4">
        <v>123.1</v>
      </c>
      <c r="O211" s="4">
        <v>60.0</v>
      </c>
    </row>
    <row r="212">
      <c r="A212" s="4">
        <v>6.0</v>
      </c>
      <c r="B212" s="5" t="s">
        <v>792</v>
      </c>
      <c r="C212" s="4">
        <v>2015.0</v>
      </c>
      <c r="D212" s="4">
        <v>22.0</v>
      </c>
      <c r="E212" s="4">
        <v>14.0</v>
      </c>
      <c r="F212" s="6"/>
      <c r="G212" s="4">
        <v>8.0</v>
      </c>
      <c r="H212" s="4" t="s">
        <v>24</v>
      </c>
      <c r="I212" s="4" t="s">
        <v>64</v>
      </c>
      <c r="J212" s="4" t="s">
        <v>793</v>
      </c>
      <c r="K212" s="4">
        <v>2101.0</v>
      </c>
      <c r="L212" s="4" t="s">
        <v>794</v>
      </c>
      <c r="M212" s="4">
        <v>1825.0</v>
      </c>
      <c r="N212" s="4">
        <v>115.1</v>
      </c>
      <c r="O212" s="4">
        <v>56.0</v>
      </c>
    </row>
    <row r="213">
      <c r="A213" s="4">
        <v>7.0</v>
      </c>
      <c r="B213" s="5" t="s">
        <v>795</v>
      </c>
      <c r="C213" s="4">
        <v>2015.0</v>
      </c>
      <c r="D213" s="4">
        <v>21.0</v>
      </c>
      <c r="E213" s="4">
        <v>13.0</v>
      </c>
      <c r="F213" s="6"/>
      <c r="G213" s="4">
        <v>8.0</v>
      </c>
      <c r="H213" s="4" t="s">
        <v>796</v>
      </c>
      <c r="I213" s="4" t="s">
        <v>151</v>
      </c>
      <c r="J213" s="4" t="s">
        <v>797</v>
      </c>
      <c r="K213" s="4">
        <v>2107.0</v>
      </c>
      <c r="L213" s="4" t="s">
        <v>798</v>
      </c>
      <c r="M213" s="4">
        <v>1821.0</v>
      </c>
      <c r="N213" s="4">
        <v>115.7</v>
      </c>
      <c r="O213" s="4">
        <v>54.0</v>
      </c>
    </row>
    <row r="214">
      <c r="A214" s="4">
        <v>8.0</v>
      </c>
      <c r="B214" s="5" t="s">
        <v>799</v>
      </c>
      <c r="C214" s="4">
        <v>2015.0</v>
      </c>
      <c r="D214" s="4">
        <v>22.0</v>
      </c>
      <c r="E214" s="4">
        <v>13.0</v>
      </c>
      <c r="F214" s="6"/>
      <c r="G214" s="4">
        <v>9.0</v>
      </c>
      <c r="H214" s="4" t="s">
        <v>19</v>
      </c>
      <c r="I214" s="4" t="s">
        <v>151</v>
      </c>
      <c r="J214" s="4" t="s">
        <v>800</v>
      </c>
      <c r="K214" s="4">
        <v>2062.0</v>
      </c>
      <c r="L214" s="4" t="s">
        <v>801</v>
      </c>
      <c r="M214" s="4">
        <v>1937.0</v>
      </c>
      <c r="N214" s="4">
        <v>106.5</v>
      </c>
      <c r="O214" s="4">
        <v>52.0</v>
      </c>
    </row>
    <row r="215">
      <c r="A215" s="8">
        <v>9.0</v>
      </c>
      <c r="B215" s="5" t="s">
        <v>802</v>
      </c>
      <c r="C215" s="4">
        <v>2015.0</v>
      </c>
      <c r="D215" s="8">
        <v>22.0</v>
      </c>
      <c r="E215" s="8">
        <v>12.0</v>
      </c>
      <c r="F215" s="9"/>
      <c r="G215" s="8">
        <v>10.0</v>
      </c>
      <c r="H215" s="8" t="s">
        <v>151</v>
      </c>
      <c r="I215" s="8" t="s">
        <v>151</v>
      </c>
      <c r="J215" s="8" t="s">
        <v>803</v>
      </c>
      <c r="K215" s="8">
        <v>2002.0</v>
      </c>
      <c r="L215" s="8" t="s">
        <v>804</v>
      </c>
      <c r="M215" s="8">
        <v>1874.0</v>
      </c>
      <c r="N215" s="8">
        <v>106.8</v>
      </c>
      <c r="O215" s="8">
        <v>48.0</v>
      </c>
    </row>
    <row r="216">
      <c r="A216" s="8">
        <v>10.0</v>
      </c>
      <c r="B216" s="5" t="s">
        <v>805</v>
      </c>
      <c r="C216" s="4">
        <v>2015.0</v>
      </c>
      <c r="D216" s="8">
        <v>21.0</v>
      </c>
      <c r="E216" s="8">
        <v>11.0</v>
      </c>
      <c r="F216" s="8">
        <v>1.0</v>
      </c>
      <c r="G216" s="8">
        <v>9.0</v>
      </c>
      <c r="H216" s="8" t="s">
        <v>151</v>
      </c>
      <c r="I216" s="10">
        <v>38108.0</v>
      </c>
      <c r="J216" s="8" t="s">
        <v>806</v>
      </c>
      <c r="K216" s="8">
        <v>1853.0</v>
      </c>
      <c r="L216" s="8" t="s">
        <v>807</v>
      </c>
      <c r="M216" s="8">
        <v>1833.0</v>
      </c>
      <c r="N216" s="8">
        <v>101.1</v>
      </c>
      <c r="O216" s="8">
        <v>48.0</v>
      </c>
    </row>
    <row r="217">
      <c r="A217" s="8">
        <v>11.0</v>
      </c>
      <c r="B217" s="5" t="s">
        <v>808</v>
      </c>
      <c r="C217" s="4">
        <v>2015.0</v>
      </c>
      <c r="D217" s="8">
        <v>22.0</v>
      </c>
      <c r="E217" s="8">
        <v>11.0</v>
      </c>
      <c r="F217" s="9"/>
      <c r="G217" s="8">
        <v>11.0</v>
      </c>
      <c r="H217" s="8" t="s">
        <v>39</v>
      </c>
      <c r="I217" s="8" t="s">
        <v>180</v>
      </c>
      <c r="J217" s="8" t="s">
        <v>809</v>
      </c>
      <c r="K217" s="8">
        <v>1872.0</v>
      </c>
      <c r="L217" s="8" t="s">
        <v>810</v>
      </c>
      <c r="M217" s="8">
        <v>1891.0</v>
      </c>
      <c r="N217" s="8">
        <v>99.0</v>
      </c>
      <c r="O217" s="8">
        <v>44.0</v>
      </c>
    </row>
    <row r="218">
      <c r="A218" s="8">
        <v>12.0</v>
      </c>
      <c r="B218" s="5" t="s">
        <v>811</v>
      </c>
      <c r="C218" s="4">
        <v>2015.0</v>
      </c>
      <c r="D218" s="8">
        <v>22.0</v>
      </c>
      <c r="E218" s="8">
        <v>10.0</v>
      </c>
      <c r="F218" s="9"/>
      <c r="G218" s="8">
        <v>12.0</v>
      </c>
      <c r="H218" s="8" t="s">
        <v>69</v>
      </c>
      <c r="I218" s="8" t="s">
        <v>151</v>
      </c>
      <c r="J218" s="8" t="s">
        <v>812</v>
      </c>
      <c r="K218" s="8">
        <v>1972.0</v>
      </c>
      <c r="L218" s="8" t="s">
        <v>813</v>
      </c>
      <c r="M218" s="8">
        <v>1856.0</v>
      </c>
      <c r="N218" s="8">
        <v>106.3</v>
      </c>
      <c r="O218" s="8">
        <v>40.0</v>
      </c>
    </row>
    <row r="219">
      <c r="A219" s="8">
        <v>13.0</v>
      </c>
      <c r="B219" s="5" t="s">
        <v>814</v>
      </c>
      <c r="C219" s="4">
        <v>2015.0</v>
      </c>
      <c r="D219" s="8">
        <v>22.0</v>
      </c>
      <c r="E219" s="8">
        <v>7.0</v>
      </c>
      <c r="F219" s="9"/>
      <c r="G219" s="8">
        <v>15.0</v>
      </c>
      <c r="H219" s="8" t="s">
        <v>69</v>
      </c>
      <c r="I219" s="8" t="s">
        <v>180</v>
      </c>
      <c r="J219" s="8" t="s">
        <v>815</v>
      </c>
      <c r="K219" s="8">
        <v>1573.0</v>
      </c>
      <c r="L219" s="8" t="s">
        <v>816</v>
      </c>
      <c r="M219" s="8">
        <v>2044.0</v>
      </c>
      <c r="N219" s="8">
        <v>77.0</v>
      </c>
      <c r="O219" s="8">
        <v>28.0</v>
      </c>
    </row>
    <row r="220">
      <c r="A220" s="8">
        <v>14.0</v>
      </c>
      <c r="B220" s="5" t="s">
        <v>817</v>
      </c>
      <c r="C220" s="4">
        <v>2015.0</v>
      </c>
      <c r="D220" s="8">
        <v>22.0</v>
      </c>
      <c r="E220" s="8">
        <v>6.0</v>
      </c>
      <c r="F220" s="8">
        <v>1.0</v>
      </c>
      <c r="G220" s="8">
        <v>15.0</v>
      </c>
      <c r="H220" s="10">
        <v>39814.0</v>
      </c>
      <c r="I220" s="8" t="s">
        <v>64</v>
      </c>
      <c r="J220" s="8" t="s">
        <v>818</v>
      </c>
      <c r="K220" s="8">
        <v>1695.0</v>
      </c>
      <c r="L220" s="8" t="s">
        <v>819</v>
      </c>
      <c r="M220" s="8">
        <v>2162.0</v>
      </c>
      <c r="N220" s="8">
        <v>78.4</v>
      </c>
      <c r="O220" s="8">
        <v>26.0</v>
      </c>
    </row>
    <row r="221">
      <c r="A221" s="8">
        <v>15.0</v>
      </c>
      <c r="B221" s="5" t="s">
        <v>820</v>
      </c>
      <c r="C221" s="4">
        <v>2015.0</v>
      </c>
      <c r="D221" s="8">
        <v>22.0</v>
      </c>
      <c r="E221" s="8">
        <v>6.0</v>
      </c>
      <c r="F221" s="9"/>
      <c r="G221" s="8">
        <v>16.0</v>
      </c>
      <c r="H221" s="8" t="s">
        <v>180</v>
      </c>
      <c r="I221" s="8" t="s">
        <v>180</v>
      </c>
      <c r="J221" s="8" t="s">
        <v>821</v>
      </c>
      <c r="K221" s="8">
        <v>1580.0</v>
      </c>
      <c r="L221" s="8" t="s">
        <v>717</v>
      </c>
      <c r="M221" s="8">
        <v>2134.0</v>
      </c>
      <c r="N221" s="8">
        <v>74.0</v>
      </c>
      <c r="O221" s="8">
        <v>24.0</v>
      </c>
    </row>
    <row r="222">
      <c r="A222" s="8">
        <v>16.0</v>
      </c>
      <c r="B222" s="5" t="s">
        <v>822</v>
      </c>
      <c r="C222" s="4">
        <v>2015.0</v>
      </c>
      <c r="D222" s="8">
        <v>22.0</v>
      </c>
      <c r="E222" s="8">
        <v>4.0</v>
      </c>
      <c r="F222" s="8">
        <v>1.0</v>
      </c>
      <c r="G222" s="8">
        <v>17.0</v>
      </c>
      <c r="H222" s="10">
        <v>39142.0</v>
      </c>
      <c r="I222" s="8" t="s">
        <v>97</v>
      </c>
      <c r="J222" s="8" t="s">
        <v>823</v>
      </c>
      <c r="K222" s="8">
        <v>1633.0</v>
      </c>
      <c r="L222" s="8" t="s">
        <v>824</v>
      </c>
      <c r="M222" s="8">
        <v>2240.0</v>
      </c>
      <c r="N222" s="8">
        <v>72.9</v>
      </c>
      <c r="O222" s="8">
        <v>18.0</v>
      </c>
    </row>
    <row r="223">
      <c r="A223" s="8">
        <v>17.0</v>
      </c>
      <c r="B223" s="5" t="s">
        <v>825</v>
      </c>
      <c r="C223" s="4">
        <v>2015.0</v>
      </c>
      <c r="D223" s="8">
        <v>22.0</v>
      </c>
      <c r="E223" s="8">
        <v>4.0</v>
      </c>
      <c r="F223" s="9"/>
      <c r="G223" s="8">
        <v>18.0</v>
      </c>
      <c r="H223" s="8" t="s">
        <v>180</v>
      </c>
      <c r="I223" s="8" t="s">
        <v>97</v>
      </c>
      <c r="J223" s="8" t="s">
        <v>826</v>
      </c>
      <c r="K223" s="8">
        <v>1557.0</v>
      </c>
      <c r="L223" s="8" t="s">
        <v>827</v>
      </c>
      <c r="M223" s="8">
        <v>2306.0</v>
      </c>
      <c r="N223" s="8">
        <v>67.5</v>
      </c>
      <c r="O223" s="8">
        <v>16.0</v>
      </c>
    </row>
    <row r="224">
      <c r="A224" s="8">
        <v>18.0</v>
      </c>
      <c r="B224" s="5" t="s">
        <v>828</v>
      </c>
      <c r="C224" s="4">
        <v>2015.0</v>
      </c>
      <c r="D224" s="8">
        <v>22.0</v>
      </c>
      <c r="E224" s="8">
        <v>4.0</v>
      </c>
      <c r="F224" s="9"/>
      <c r="G224" s="8">
        <v>18.0</v>
      </c>
      <c r="H224" s="8" t="s">
        <v>180</v>
      </c>
      <c r="I224" s="8" t="s">
        <v>97</v>
      </c>
      <c r="J224" s="8" t="s">
        <v>829</v>
      </c>
      <c r="K224" s="8">
        <v>1525.0</v>
      </c>
      <c r="L224" s="8" t="s">
        <v>830</v>
      </c>
      <c r="M224" s="8">
        <v>2354.0</v>
      </c>
      <c r="N224" s="8">
        <v>64.8</v>
      </c>
      <c r="O224" s="8">
        <v>16.0</v>
      </c>
    </row>
  </sheetData>
  <mergeCells count="11">
    <mergeCell ref="A145:O145"/>
    <mergeCell ref="A165:O165"/>
    <mergeCell ref="A185:O185"/>
    <mergeCell ref="A205:O205"/>
    <mergeCell ref="A1:P1"/>
    <mergeCell ref="A21:P21"/>
    <mergeCell ref="A42:O42"/>
    <mergeCell ref="A63:O63"/>
    <mergeCell ref="A84:O84"/>
    <mergeCell ref="A105:O105"/>
    <mergeCell ref="A125:O125"/>
  </mergeCells>
  <hyperlinks>
    <hyperlink r:id="rId1" ref="A1"/>
    <hyperlink r:id="rId2" ref="A2"/>
    <hyperlink r:id="rId3" ref="B2"/>
    <hyperlink r:id="rId4" ref="D2"/>
    <hyperlink r:id="rId5" ref="E2"/>
    <hyperlink r:id="rId6" ref="F2"/>
    <hyperlink r:id="rId7" ref="G2"/>
    <hyperlink r:id="rId8" ref="H2"/>
    <hyperlink r:id="rId9" ref="I2"/>
    <hyperlink r:id="rId10" ref="J2"/>
    <hyperlink r:id="rId11" ref="K2"/>
    <hyperlink r:id="rId12" ref="L2"/>
    <hyperlink r:id="rId13" ref="M2"/>
    <hyperlink r:id="rId14" ref="N2"/>
    <hyperlink r:id="rId15" ref="O2"/>
    <hyperlink r:id="rId16" ref="P2"/>
    <hyperlink r:id="rId17" ref="B3"/>
    <hyperlink r:id="rId18" ref="B4"/>
    <hyperlink r:id="rId19" ref="B5"/>
    <hyperlink r:id="rId20" ref="B6"/>
    <hyperlink r:id="rId21" ref="B7"/>
    <hyperlink r:id="rId22" ref="B8"/>
    <hyperlink r:id="rId23" ref="B9"/>
    <hyperlink r:id="rId24" ref="B10"/>
    <hyperlink r:id="rId25" ref="B11"/>
    <hyperlink r:id="rId26" ref="B12"/>
    <hyperlink r:id="rId27" ref="B13"/>
    <hyperlink r:id="rId28" ref="B14"/>
    <hyperlink r:id="rId29" ref="B15"/>
    <hyperlink r:id="rId30" ref="B16"/>
    <hyperlink r:id="rId31" ref="B17"/>
    <hyperlink r:id="rId32" ref="B18"/>
    <hyperlink r:id="rId33" ref="B19"/>
    <hyperlink r:id="rId34" ref="B20"/>
    <hyperlink r:id="rId35" ref="A21"/>
    <hyperlink r:id="rId36" ref="A22"/>
    <hyperlink r:id="rId37" ref="B22"/>
    <hyperlink r:id="rId38" ref="D22"/>
    <hyperlink r:id="rId39" ref="E22"/>
    <hyperlink r:id="rId40" ref="F22"/>
    <hyperlink r:id="rId41" ref="G22"/>
    <hyperlink r:id="rId42" ref="H22"/>
    <hyperlink r:id="rId43" ref="I22"/>
    <hyperlink r:id="rId44" ref="J22"/>
    <hyperlink r:id="rId45" ref="K22"/>
    <hyperlink r:id="rId46" ref="L22"/>
    <hyperlink r:id="rId47" ref="M22"/>
    <hyperlink r:id="rId48" ref="N22"/>
    <hyperlink r:id="rId49" ref="O22"/>
    <hyperlink r:id="rId50" ref="P22"/>
    <hyperlink r:id="rId51" ref="B23"/>
    <hyperlink r:id="rId52" ref="B24"/>
    <hyperlink r:id="rId53" ref="B25"/>
    <hyperlink r:id="rId54" ref="B26"/>
    <hyperlink r:id="rId55" ref="B27"/>
    <hyperlink r:id="rId56" ref="B28"/>
    <hyperlink r:id="rId57" ref="B29"/>
    <hyperlink r:id="rId58" ref="B30"/>
    <hyperlink r:id="rId59" ref="B31"/>
    <hyperlink r:id="rId60" ref="B32"/>
    <hyperlink r:id="rId61" ref="B33"/>
    <hyperlink r:id="rId62" ref="B34"/>
    <hyperlink r:id="rId63" ref="B35"/>
    <hyperlink r:id="rId64" ref="B36"/>
    <hyperlink r:id="rId65" ref="B37"/>
    <hyperlink r:id="rId66" ref="B38"/>
    <hyperlink r:id="rId67" ref="B39"/>
    <hyperlink r:id="rId68" ref="B40"/>
    <hyperlink r:id="rId69" ref="A42"/>
    <hyperlink r:id="rId70" ref="A43"/>
    <hyperlink r:id="rId71" ref="B43"/>
    <hyperlink r:id="rId72" ref="D43"/>
    <hyperlink r:id="rId73" ref="E43"/>
    <hyperlink r:id="rId74" ref="F43"/>
    <hyperlink r:id="rId75" ref="G43"/>
    <hyperlink r:id="rId76" ref="H43"/>
    <hyperlink r:id="rId77" ref="I43"/>
    <hyperlink r:id="rId78" ref="J43"/>
    <hyperlink r:id="rId79" ref="K43"/>
    <hyperlink r:id="rId80" ref="L43"/>
    <hyperlink r:id="rId81" ref="M43"/>
    <hyperlink r:id="rId82" ref="N43"/>
    <hyperlink r:id="rId83" ref="O43"/>
    <hyperlink r:id="rId84" ref="B44"/>
    <hyperlink r:id="rId85" ref="B45"/>
    <hyperlink r:id="rId86" ref="B46"/>
    <hyperlink r:id="rId87" ref="B47"/>
    <hyperlink r:id="rId88" ref="B48"/>
    <hyperlink r:id="rId89" ref="B49"/>
    <hyperlink r:id="rId90" ref="B50"/>
    <hyperlink r:id="rId91" ref="B51"/>
    <hyperlink r:id="rId92" ref="B52"/>
    <hyperlink r:id="rId93" ref="B53"/>
    <hyperlink r:id="rId94" ref="B54"/>
    <hyperlink r:id="rId95" ref="B55"/>
    <hyperlink r:id="rId96" ref="B56"/>
    <hyperlink r:id="rId97" ref="B57"/>
    <hyperlink r:id="rId98" ref="B58"/>
    <hyperlink r:id="rId99" ref="B59"/>
    <hyperlink r:id="rId100" ref="B60"/>
    <hyperlink r:id="rId101" ref="B61"/>
    <hyperlink r:id="rId102" ref="A63"/>
    <hyperlink r:id="rId103" ref="A64"/>
    <hyperlink r:id="rId104" ref="B64"/>
    <hyperlink r:id="rId105" ref="D64"/>
    <hyperlink r:id="rId106" ref="E64"/>
    <hyperlink r:id="rId107" ref="F64"/>
    <hyperlink r:id="rId108" ref="G64"/>
    <hyperlink r:id="rId109" ref="H64"/>
    <hyperlink r:id="rId110" ref="I64"/>
    <hyperlink r:id="rId111" ref="J64"/>
    <hyperlink r:id="rId112" ref="K64"/>
    <hyperlink r:id="rId113" ref="L64"/>
    <hyperlink r:id="rId114" ref="M64"/>
    <hyperlink r:id="rId115" ref="N64"/>
    <hyperlink r:id="rId116" ref="O64"/>
    <hyperlink r:id="rId117" ref="B65"/>
    <hyperlink r:id="rId118" ref="B66"/>
    <hyperlink r:id="rId119" ref="B67"/>
    <hyperlink r:id="rId120" ref="B68"/>
    <hyperlink r:id="rId121" ref="B69"/>
    <hyperlink r:id="rId122" ref="B70"/>
    <hyperlink r:id="rId123" ref="B71"/>
    <hyperlink r:id="rId124" ref="B72"/>
    <hyperlink r:id="rId125" ref="B73"/>
    <hyperlink r:id="rId126" ref="B74"/>
    <hyperlink r:id="rId127" ref="B75"/>
    <hyperlink r:id="rId128" ref="B76"/>
    <hyperlink r:id="rId129" ref="B77"/>
    <hyperlink r:id="rId130" ref="B78"/>
    <hyperlink r:id="rId131" ref="B79"/>
    <hyperlink r:id="rId132" ref="B80"/>
    <hyperlink r:id="rId133" ref="B81"/>
    <hyperlink r:id="rId134" ref="B82"/>
    <hyperlink r:id="rId135" ref="A84"/>
    <hyperlink r:id="rId136" ref="A85"/>
    <hyperlink r:id="rId137" ref="B85"/>
    <hyperlink r:id="rId138" ref="D85"/>
    <hyperlink r:id="rId139" ref="E85"/>
    <hyperlink r:id="rId140" ref="F85"/>
    <hyperlink r:id="rId141" ref="G85"/>
    <hyperlink r:id="rId142" ref="H85"/>
    <hyperlink r:id="rId143" ref="I85"/>
    <hyperlink r:id="rId144" ref="J85"/>
    <hyperlink r:id="rId145" ref="K85"/>
    <hyperlink r:id="rId146" ref="L85"/>
    <hyperlink r:id="rId147" ref="M85"/>
    <hyperlink r:id="rId148" ref="N85"/>
    <hyperlink r:id="rId149" ref="O85"/>
    <hyperlink r:id="rId150" ref="B86"/>
    <hyperlink r:id="rId151" ref="B87"/>
    <hyperlink r:id="rId152" ref="B88"/>
    <hyperlink r:id="rId153" ref="B89"/>
    <hyperlink r:id="rId154" ref="B90"/>
    <hyperlink r:id="rId155" ref="B91"/>
    <hyperlink r:id="rId156" ref="B92"/>
    <hyperlink r:id="rId157" ref="B93"/>
    <hyperlink r:id="rId158" ref="B94"/>
    <hyperlink r:id="rId159" ref="B95"/>
    <hyperlink r:id="rId160" ref="B96"/>
    <hyperlink r:id="rId161" ref="B97"/>
    <hyperlink r:id="rId162" ref="B98"/>
    <hyperlink r:id="rId163" ref="B99"/>
    <hyperlink r:id="rId164" ref="B100"/>
    <hyperlink r:id="rId165" ref="B101"/>
    <hyperlink r:id="rId166" ref="B102"/>
    <hyperlink r:id="rId167" ref="B103"/>
    <hyperlink r:id="rId168" ref="A105"/>
    <hyperlink r:id="rId169" ref="A106"/>
    <hyperlink r:id="rId170" ref="B106"/>
    <hyperlink r:id="rId171" ref="D106"/>
    <hyperlink r:id="rId172" ref="E106"/>
    <hyperlink r:id="rId173" ref="F106"/>
    <hyperlink r:id="rId174" ref="G106"/>
    <hyperlink r:id="rId175" ref="H106"/>
    <hyperlink r:id="rId176" ref="I106"/>
    <hyperlink r:id="rId177" ref="J106"/>
    <hyperlink r:id="rId178" ref="K106"/>
    <hyperlink r:id="rId179" ref="L106"/>
    <hyperlink r:id="rId180" ref="M106"/>
    <hyperlink r:id="rId181" ref="N106"/>
    <hyperlink r:id="rId182" ref="O106"/>
    <hyperlink r:id="rId183" ref="B107"/>
    <hyperlink r:id="rId184" ref="B108"/>
    <hyperlink r:id="rId185" ref="B109"/>
    <hyperlink r:id="rId186" ref="B110"/>
    <hyperlink r:id="rId187" ref="B111"/>
    <hyperlink r:id="rId188" ref="B112"/>
    <hyperlink r:id="rId189" ref="B113"/>
    <hyperlink r:id="rId190" ref="B114"/>
    <hyperlink r:id="rId191" ref="B115"/>
    <hyperlink r:id="rId192" ref="B116"/>
    <hyperlink r:id="rId193" ref="B117"/>
    <hyperlink r:id="rId194" ref="B118"/>
    <hyperlink r:id="rId195" ref="B119"/>
    <hyperlink r:id="rId196" ref="B120"/>
    <hyperlink r:id="rId197" ref="B121"/>
    <hyperlink r:id="rId198" ref="B122"/>
    <hyperlink r:id="rId199" ref="B123"/>
    <hyperlink r:id="rId200" ref="B124"/>
    <hyperlink r:id="rId201" ref="A125"/>
    <hyperlink r:id="rId202" ref="A126"/>
    <hyperlink r:id="rId203" ref="B126"/>
    <hyperlink r:id="rId204" ref="D126"/>
    <hyperlink r:id="rId205" ref="E126"/>
    <hyperlink r:id="rId206" ref="F126"/>
    <hyperlink r:id="rId207" ref="G126"/>
    <hyperlink r:id="rId208" ref="H126"/>
    <hyperlink r:id="rId209" ref="I126"/>
    <hyperlink r:id="rId210" ref="J126"/>
    <hyperlink r:id="rId211" ref="K126"/>
    <hyperlink r:id="rId212" ref="L126"/>
    <hyperlink r:id="rId213" ref="M126"/>
    <hyperlink r:id="rId214" ref="N126"/>
    <hyperlink r:id="rId215" ref="O126"/>
    <hyperlink r:id="rId216" ref="B127"/>
    <hyperlink r:id="rId217" ref="B128"/>
    <hyperlink r:id="rId218" ref="B129"/>
    <hyperlink r:id="rId219" ref="B130"/>
    <hyperlink r:id="rId220" ref="B131"/>
    <hyperlink r:id="rId221" ref="B132"/>
    <hyperlink r:id="rId222" ref="B133"/>
    <hyperlink r:id="rId223" ref="B134"/>
    <hyperlink r:id="rId224" ref="B135"/>
    <hyperlink r:id="rId225" ref="B136"/>
    <hyperlink r:id="rId226" ref="B137"/>
    <hyperlink r:id="rId227" ref="B138"/>
    <hyperlink r:id="rId228" ref="B139"/>
    <hyperlink r:id="rId229" ref="B140"/>
    <hyperlink r:id="rId230" ref="B141"/>
    <hyperlink r:id="rId231" ref="B142"/>
    <hyperlink r:id="rId232" ref="B143"/>
    <hyperlink r:id="rId233" ref="B144"/>
    <hyperlink r:id="rId234" ref="A145"/>
    <hyperlink r:id="rId235" ref="A146"/>
    <hyperlink r:id="rId236" ref="B146"/>
    <hyperlink r:id="rId237" ref="D146"/>
    <hyperlink r:id="rId238" ref="E146"/>
    <hyperlink r:id="rId239" ref="F146"/>
    <hyperlink r:id="rId240" ref="G146"/>
    <hyperlink r:id="rId241" ref="H146"/>
    <hyperlink r:id="rId242" ref="I146"/>
    <hyperlink r:id="rId243" ref="J146"/>
    <hyperlink r:id="rId244" ref="K146"/>
    <hyperlink r:id="rId245" ref="L146"/>
    <hyperlink r:id="rId246" ref="M146"/>
    <hyperlink r:id="rId247" ref="N146"/>
    <hyperlink r:id="rId248" ref="O146"/>
    <hyperlink r:id="rId249" ref="B147"/>
    <hyperlink r:id="rId250" ref="B148"/>
    <hyperlink r:id="rId251" ref="B149"/>
    <hyperlink r:id="rId252" ref="B150"/>
    <hyperlink r:id="rId253" ref="B151"/>
    <hyperlink r:id="rId254" ref="B152"/>
    <hyperlink r:id="rId255" ref="B153"/>
    <hyperlink r:id="rId256" ref="B154"/>
    <hyperlink r:id="rId257" ref="B155"/>
    <hyperlink r:id="rId258" ref="B156"/>
    <hyperlink r:id="rId259" ref="B157"/>
    <hyperlink r:id="rId260" ref="B158"/>
    <hyperlink r:id="rId261" ref="B159"/>
    <hyperlink r:id="rId262" ref="B160"/>
    <hyperlink r:id="rId263" ref="B161"/>
    <hyperlink r:id="rId264" ref="B162"/>
    <hyperlink r:id="rId265" ref="B163"/>
    <hyperlink r:id="rId266" ref="B164"/>
    <hyperlink r:id="rId267" ref="A165"/>
    <hyperlink r:id="rId268" ref="A166"/>
    <hyperlink r:id="rId269" ref="B166"/>
    <hyperlink r:id="rId270" ref="D166"/>
    <hyperlink r:id="rId271" ref="E166"/>
    <hyperlink r:id="rId272" ref="F166"/>
    <hyperlink r:id="rId273" ref="G166"/>
    <hyperlink r:id="rId274" ref="H166"/>
    <hyperlink r:id="rId275" ref="I166"/>
    <hyperlink r:id="rId276" ref="J166"/>
    <hyperlink r:id="rId277" ref="K166"/>
    <hyperlink r:id="rId278" ref="L166"/>
    <hyperlink r:id="rId279" ref="M166"/>
    <hyperlink r:id="rId280" ref="N166"/>
    <hyperlink r:id="rId281" ref="O166"/>
    <hyperlink r:id="rId282" ref="B167"/>
    <hyperlink r:id="rId283" ref="B168"/>
    <hyperlink r:id="rId284" ref="B169"/>
    <hyperlink r:id="rId285" ref="B170"/>
    <hyperlink r:id="rId286" ref="B171"/>
    <hyperlink r:id="rId287" ref="B172"/>
    <hyperlink r:id="rId288" ref="B173"/>
    <hyperlink r:id="rId289" ref="B174"/>
    <hyperlink r:id="rId290" ref="B175"/>
    <hyperlink r:id="rId291" ref="B176"/>
    <hyperlink r:id="rId292" ref="B177"/>
    <hyperlink r:id="rId293" ref="B178"/>
    <hyperlink r:id="rId294" ref="B179"/>
    <hyperlink r:id="rId295" ref="B180"/>
    <hyperlink r:id="rId296" ref="B181"/>
    <hyperlink r:id="rId297" ref="B182"/>
    <hyperlink r:id="rId298" ref="B183"/>
    <hyperlink r:id="rId299" ref="B184"/>
    <hyperlink r:id="rId300" ref="A185"/>
    <hyperlink r:id="rId301" ref="A186"/>
    <hyperlink r:id="rId302" ref="B186"/>
    <hyperlink r:id="rId303" ref="D186"/>
    <hyperlink r:id="rId304" ref="E186"/>
    <hyperlink r:id="rId305" ref="F186"/>
    <hyperlink r:id="rId306" ref="G186"/>
    <hyperlink r:id="rId307" ref="H186"/>
    <hyperlink r:id="rId308" ref="I186"/>
    <hyperlink r:id="rId309" ref="J186"/>
    <hyperlink r:id="rId310" ref="K186"/>
    <hyperlink r:id="rId311" ref="L186"/>
    <hyperlink r:id="rId312" ref="M186"/>
    <hyperlink r:id="rId313" ref="N186"/>
    <hyperlink r:id="rId314" ref="O186"/>
    <hyperlink r:id="rId315" ref="B187"/>
    <hyperlink r:id="rId316" ref="B188"/>
    <hyperlink r:id="rId317" ref="B189"/>
    <hyperlink r:id="rId318" ref="B190"/>
    <hyperlink r:id="rId319" ref="B191"/>
    <hyperlink r:id="rId320" ref="B192"/>
    <hyperlink r:id="rId321" ref="B193"/>
    <hyperlink r:id="rId322" ref="B194"/>
    <hyperlink r:id="rId323" ref="B195"/>
    <hyperlink r:id="rId324" ref="B196"/>
    <hyperlink r:id="rId325" ref="B197"/>
    <hyperlink r:id="rId326" ref="B198"/>
    <hyperlink r:id="rId327" ref="B199"/>
    <hyperlink r:id="rId328" ref="B200"/>
    <hyperlink r:id="rId329" ref="B201"/>
    <hyperlink r:id="rId330" ref="B202"/>
    <hyperlink r:id="rId331" ref="B203"/>
    <hyperlink r:id="rId332" ref="B204"/>
    <hyperlink r:id="rId333" ref="A205"/>
    <hyperlink r:id="rId334" ref="A206"/>
    <hyperlink r:id="rId335" ref="B206"/>
    <hyperlink r:id="rId336" ref="D206"/>
    <hyperlink r:id="rId337" ref="E206"/>
    <hyperlink r:id="rId338" ref="F206"/>
    <hyperlink r:id="rId339" ref="G206"/>
    <hyperlink r:id="rId340" ref="H206"/>
    <hyperlink r:id="rId341" ref="I206"/>
    <hyperlink r:id="rId342" ref="J206"/>
    <hyperlink r:id="rId343" ref="K206"/>
    <hyperlink r:id="rId344" ref="L206"/>
    <hyperlink r:id="rId345" ref="M206"/>
    <hyperlink r:id="rId346" ref="N206"/>
    <hyperlink r:id="rId347" ref="O206"/>
    <hyperlink r:id="rId348" ref="B207"/>
    <hyperlink r:id="rId349" ref="B208"/>
    <hyperlink r:id="rId350" ref="B209"/>
    <hyperlink r:id="rId351" ref="B210"/>
    <hyperlink r:id="rId352" ref="B211"/>
    <hyperlink r:id="rId353" ref="B212"/>
    <hyperlink r:id="rId354" ref="B213"/>
    <hyperlink r:id="rId355" ref="B214"/>
    <hyperlink r:id="rId356" ref="B215"/>
    <hyperlink r:id="rId357" ref="B216"/>
    <hyperlink r:id="rId358" ref="B217"/>
    <hyperlink r:id="rId359" ref="B218"/>
    <hyperlink r:id="rId360" ref="B219"/>
    <hyperlink r:id="rId361" ref="B220"/>
    <hyperlink r:id="rId362" ref="B221"/>
    <hyperlink r:id="rId363" ref="B222"/>
    <hyperlink r:id="rId364" ref="B223"/>
    <hyperlink r:id="rId365" ref="B224"/>
  </hyperlinks>
  <drawing r:id="rId36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>
        <v>2025.0</v>
      </c>
    </row>
    <row r="2">
      <c r="A2" s="12" t="s">
        <v>831</v>
      </c>
      <c r="B2" s="13" t="s">
        <v>832</v>
      </c>
      <c r="C2" s="13" t="s">
        <v>3</v>
      </c>
      <c r="D2" s="13" t="s">
        <v>833</v>
      </c>
      <c r="E2" s="13" t="s">
        <v>834</v>
      </c>
      <c r="F2" s="13" t="s">
        <v>835</v>
      </c>
      <c r="G2" s="13" t="s">
        <v>836</v>
      </c>
      <c r="H2" s="13" t="s">
        <v>837</v>
      </c>
      <c r="I2" s="13" t="s">
        <v>838</v>
      </c>
      <c r="J2" s="13" t="s">
        <v>839</v>
      </c>
      <c r="K2" s="13" t="s">
        <v>840</v>
      </c>
      <c r="L2" s="13" t="s">
        <v>841</v>
      </c>
      <c r="M2" s="13" t="s">
        <v>842</v>
      </c>
      <c r="N2" s="13" t="s">
        <v>843</v>
      </c>
      <c r="O2" s="13" t="s">
        <v>844</v>
      </c>
      <c r="P2" s="13" t="s">
        <v>845</v>
      </c>
      <c r="Q2" s="13" t="s">
        <v>846</v>
      </c>
      <c r="R2" s="13" t="s">
        <v>847</v>
      </c>
      <c r="S2" s="13" t="s">
        <v>848</v>
      </c>
      <c r="T2" s="13" t="s">
        <v>849</v>
      </c>
    </row>
    <row r="3">
      <c r="A3" s="14">
        <v>1.0</v>
      </c>
      <c r="B3" s="15" t="s">
        <v>850</v>
      </c>
      <c r="C3" s="16">
        <v>2025.0</v>
      </c>
      <c r="D3" s="16">
        <v>34.0</v>
      </c>
      <c r="E3" s="16">
        <v>26.0</v>
      </c>
      <c r="F3" s="16">
        <v>6.0</v>
      </c>
      <c r="G3" s="16">
        <v>2.0</v>
      </c>
      <c r="H3" s="16">
        <v>92.0</v>
      </c>
      <c r="I3" s="16">
        <v>35.0</v>
      </c>
      <c r="J3" s="17">
        <f>+57</f>
        <v>57</v>
      </c>
      <c r="K3" s="16">
        <v>84.0</v>
      </c>
      <c r="L3" s="16">
        <v>2.47</v>
      </c>
      <c r="M3" s="16">
        <v>88.9</v>
      </c>
      <c r="N3" s="16">
        <v>31.2</v>
      </c>
      <c r="O3" s="17">
        <f>+57.7</f>
        <v>57.7</v>
      </c>
      <c r="P3" s="17">
        <f>+1.7</f>
        <v>1.7</v>
      </c>
      <c r="Q3" s="18">
        <v>47413.0</v>
      </c>
      <c r="R3" s="19" t="s">
        <v>851</v>
      </c>
      <c r="S3" s="19" t="s">
        <v>852</v>
      </c>
      <c r="T3" s="20" t="s">
        <v>853</v>
      </c>
    </row>
    <row r="4">
      <c r="A4" s="14">
        <v>2.0</v>
      </c>
      <c r="B4" s="15" t="s">
        <v>854</v>
      </c>
      <c r="C4" s="16">
        <v>2025.0</v>
      </c>
      <c r="D4" s="16">
        <v>34.0</v>
      </c>
      <c r="E4" s="16">
        <v>20.0</v>
      </c>
      <c r="F4" s="16">
        <v>5.0</v>
      </c>
      <c r="G4" s="16">
        <v>9.0</v>
      </c>
      <c r="H4" s="16">
        <v>74.0</v>
      </c>
      <c r="I4" s="16">
        <v>47.0</v>
      </c>
      <c r="J4" s="17">
        <f>+27</f>
        <v>27</v>
      </c>
      <c r="K4" s="16">
        <v>65.0</v>
      </c>
      <c r="L4" s="16">
        <v>1.91</v>
      </c>
      <c r="M4" s="16">
        <v>63.8</v>
      </c>
      <c r="N4" s="16">
        <v>45.2</v>
      </c>
      <c r="O4" s="17">
        <f>+18.6</f>
        <v>18.6</v>
      </c>
      <c r="P4" s="17">
        <f>+0.55</f>
        <v>0.55</v>
      </c>
      <c r="Q4" s="18">
        <v>63507.0</v>
      </c>
      <c r="R4" s="19" t="s">
        <v>855</v>
      </c>
      <c r="S4" s="19" t="s">
        <v>856</v>
      </c>
      <c r="T4" s="20" t="s">
        <v>853</v>
      </c>
    </row>
    <row r="5">
      <c r="A5" s="14">
        <v>3.0</v>
      </c>
      <c r="B5" s="15" t="s">
        <v>857</v>
      </c>
      <c r="C5" s="16">
        <v>2025.0</v>
      </c>
      <c r="D5" s="16">
        <v>34.0</v>
      </c>
      <c r="E5" s="16">
        <v>18.0</v>
      </c>
      <c r="F5" s="16">
        <v>7.0</v>
      </c>
      <c r="G5" s="16">
        <v>9.0</v>
      </c>
      <c r="H5" s="16">
        <v>63.0</v>
      </c>
      <c r="I5" s="16">
        <v>41.0</v>
      </c>
      <c r="J5" s="17">
        <f>+22</f>
        <v>22</v>
      </c>
      <c r="K5" s="16">
        <v>61.0</v>
      </c>
      <c r="L5" s="16">
        <v>1.79</v>
      </c>
      <c r="M5" s="16">
        <v>72.8</v>
      </c>
      <c r="N5" s="16">
        <v>34.8</v>
      </c>
      <c r="O5" s="17">
        <f>+38</f>
        <v>38</v>
      </c>
      <c r="P5" s="17">
        <f>+1.12</f>
        <v>1.12</v>
      </c>
      <c r="Q5" s="18">
        <v>12164.0</v>
      </c>
      <c r="R5" s="19" t="s">
        <v>858</v>
      </c>
      <c r="S5" s="19" t="s">
        <v>859</v>
      </c>
      <c r="T5" s="20" t="s">
        <v>853</v>
      </c>
    </row>
    <row r="6">
      <c r="A6" s="14">
        <v>4.0</v>
      </c>
      <c r="B6" s="15" t="s">
        <v>860</v>
      </c>
      <c r="C6" s="16">
        <v>2025.0</v>
      </c>
      <c r="D6" s="16">
        <v>34.0</v>
      </c>
      <c r="E6" s="16">
        <v>17.0</v>
      </c>
      <c r="F6" s="16">
        <v>9.0</v>
      </c>
      <c r="G6" s="16">
        <v>8.0</v>
      </c>
      <c r="H6" s="16">
        <v>66.0</v>
      </c>
      <c r="I6" s="16">
        <v>41.0</v>
      </c>
      <c r="J6" s="17">
        <f>+25</f>
        <v>25</v>
      </c>
      <c r="K6" s="16">
        <v>60.0</v>
      </c>
      <c r="L6" s="16">
        <v>1.76</v>
      </c>
      <c r="M6" s="16">
        <v>61.6</v>
      </c>
      <c r="N6" s="16">
        <v>40.2</v>
      </c>
      <c r="O6" s="17">
        <f>+21.4</f>
        <v>21.4</v>
      </c>
      <c r="P6" s="17">
        <f>+0.63</f>
        <v>0.63</v>
      </c>
      <c r="Q6" s="18">
        <v>24299.0</v>
      </c>
      <c r="R6" s="19" t="s">
        <v>861</v>
      </c>
      <c r="S6" s="19" t="s">
        <v>862</v>
      </c>
      <c r="T6" s="20" t="s">
        <v>853</v>
      </c>
    </row>
    <row r="7">
      <c r="A7" s="14">
        <v>5.0</v>
      </c>
      <c r="B7" s="15" t="s">
        <v>863</v>
      </c>
      <c r="C7" s="16">
        <v>2025.0</v>
      </c>
      <c r="D7" s="16">
        <v>34.0</v>
      </c>
      <c r="E7" s="16">
        <v>17.0</v>
      </c>
      <c r="F7" s="16">
        <v>9.0</v>
      </c>
      <c r="G7" s="16">
        <v>8.0</v>
      </c>
      <c r="H7" s="16">
        <v>52.0</v>
      </c>
      <c r="I7" s="16">
        <v>36.0</v>
      </c>
      <c r="J7" s="17">
        <f>+16</f>
        <v>16</v>
      </c>
      <c r="K7" s="16">
        <v>60.0</v>
      </c>
      <c r="L7" s="16">
        <v>1.76</v>
      </c>
      <c r="M7" s="16">
        <v>54.7</v>
      </c>
      <c r="N7" s="16">
        <v>42.5</v>
      </c>
      <c r="O7" s="17">
        <f>+12.2</f>
        <v>12.2</v>
      </c>
      <c r="P7" s="17">
        <f>+0.36</f>
        <v>0.36</v>
      </c>
      <c r="Q7" s="18">
        <v>42417.0</v>
      </c>
      <c r="R7" s="19" t="s">
        <v>864</v>
      </c>
      <c r="S7" s="19" t="s">
        <v>865</v>
      </c>
      <c r="T7" s="20" t="s">
        <v>866</v>
      </c>
    </row>
    <row r="8">
      <c r="A8" s="14">
        <v>6.0</v>
      </c>
      <c r="B8" s="15" t="s">
        <v>867</v>
      </c>
      <c r="C8" s="16">
        <v>2025.0</v>
      </c>
      <c r="D8" s="16">
        <v>34.0</v>
      </c>
      <c r="E8" s="16">
        <v>17.0</v>
      </c>
      <c r="F8" s="16">
        <v>6.0</v>
      </c>
      <c r="G8" s="16">
        <v>11.0</v>
      </c>
      <c r="H8" s="16">
        <v>65.0</v>
      </c>
      <c r="I8" s="16">
        <v>46.0</v>
      </c>
      <c r="J8" s="17">
        <f>+19</f>
        <v>19</v>
      </c>
      <c r="K8" s="16">
        <v>57.0</v>
      </c>
      <c r="L8" s="16">
        <v>1.68</v>
      </c>
      <c r="M8" s="16">
        <v>60.3</v>
      </c>
      <c r="N8" s="16">
        <v>45.7</v>
      </c>
      <c r="O8" s="17">
        <f>+14.6</f>
        <v>14.6</v>
      </c>
      <c r="P8" s="17">
        <f>+0.43</f>
        <v>0.43</v>
      </c>
      <c r="Q8" s="18">
        <v>51191.0</v>
      </c>
      <c r="R8" s="19" t="s">
        <v>868</v>
      </c>
      <c r="S8" s="19" t="s">
        <v>869</v>
      </c>
      <c r="T8" s="20" t="s">
        <v>866</v>
      </c>
    </row>
    <row r="9">
      <c r="A9" s="14">
        <v>7.0</v>
      </c>
      <c r="B9" s="15" t="s">
        <v>870</v>
      </c>
      <c r="C9" s="16">
        <v>2025.0</v>
      </c>
      <c r="D9" s="16">
        <v>34.0</v>
      </c>
      <c r="E9" s="16">
        <v>16.0</v>
      </c>
      <c r="F9" s="16">
        <v>9.0</v>
      </c>
      <c r="G9" s="16">
        <v>9.0</v>
      </c>
      <c r="H9" s="16">
        <v>56.0</v>
      </c>
      <c r="I9" s="16">
        <v>44.0</v>
      </c>
      <c r="J9" s="17">
        <f>+12</f>
        <v>12</v>
      </c>
      <c r="K9" s="16">
        <v>57.0</v>
      </c>
      <c r="L9" s="16">
        <v>1.68</v>
      </c>
      <c r="M9" s="16">
        <v>49.3</v>
      </c>
      <c r="N9" s="16">
        <v>56.1</v>
      </c>
      <c r="O9" s="16">
        <v>-6.9</v>
      </c>
      <c r="P9" s="16">
        <v>-0.2</v>
      </c>
      <c r="Q9" s="18">
        <v>19378.0</v>
      </c>
      <c r="R9" s="19" t="s">
        <v>871</v>
      </c>
      <c r="S9" s="19" t="s">
        <v>872</v>
      </c>
      <c r="T9" s="20" t="s">
        <v>873</v>
      </c>
    </row>
    <row r="10">
      <c r="A10" s="14">
        <v>8.0</v>
      </c>
      <c r="B10" s="15" t="s">
        <v>874</v>
      </c>
      <c r="C10" s="16">
        <v>2025.0</v>
      </c>
      <c r="D10" s="16">
        <v>34.0</v>
      </c>
      <c r="E10" s="16">
        <v>15.0</v>
      </c>
      <c r="F10" s="16">
        <v>7.0</v>
      </c>
      <c r="G10" s="16">
        <v>12.0</v>
      </c>
      <c r="H10" s="16">
        <v>42.0</v>
      </c>
      <c r="I10" s="16">
        <v>39.0</v>
      </c>
      <c r="J10" s="17">
        <f>+3</f>
        <v>3</v>
      </c>
      <c r="K10" s="16">
        <v>52.0</v>
      </c>
      <c r="L10" s="16">
        <v>1.53</v>
      </c>
      <c r="M10" s="16">
        <v>51.8</v>
      </c>
      <c r="N10" s="16">
        <v>45.3</v>
      </c>
      <c r="O10" s="17">
        <f>+6.5</f>
        <v>6.5</v>
      </c>
      <c r="P10" s="17">
        <f>+0.19</f>
        <v>0.19</v>
      </c>
      <c r="Q10" s="18">
        <v>37971.0</v>
      </c>
      <c r="R10" s="19" t="s">
        <v>875</v>
      </c>
      <c r="S10" s="19" t="s">
        <v>876</v>
      </c>
      <c r="T10" s="21"/>
    </row>
    <row r="11">
      <c r="A11" s="14">
        <v>9.0</v>
      </c>
      <c r="B11" s="15" t="s">
        <v>877</v>
      </c>
      <c r="C11" s="16">
        <v>2025.0</v>
      </c>
      <c r="D11" s="16">
        <v>34.0</v>
      </c>
      <c r="E11" s="16">
        <v>15.0</v>
      </c>
      <c r="F11" s="16">
        <v>5.0</v>
      </c>
      <c r="G11" s="16">
        <v>14.0</v>
      </c>
      <c r="H11" s="16">
        <v>52.0</v>
      </c>
      <c r="I11" s="16">
        <v>59.0</v>
      </c>
      <c r="J11" s="16">
        <v>-7.0</v>
      </c>
      <c r="K11" s="16">
        <v>50.0</v>
      </c>
      <c r="L11" s="16">
        <v>1.47</v>
      </c>
      <c r="M11" s="16">
        <v>45.4</v>
      </c>
      <c r="N11" s="16">
        <v>57.4</v>
      </c>
      <c r="O11" s="16">
        <v>-12.0</v>
      </c>
      <c r="P11" s="16">
        <v>-0.35</v>
      </c>
      <c r="Q11" s="18">
        <v>14536.0</v>
      </c>
      <c r="R11" s="19" t="s">
        <v>878</v>
      </c>
      <c r="S11" s="19" t="s">
        <v>879</v>
      </c>
      <c r="T11" s="21"/>
    </row>
    <row r="12">
      <c r="A12" s="14">
        <v>10.0</v>
      </c>
      <c r="B12" s="15" t="s">
        <v>880</v>
      </c>
      <c r="C12" s="16">
        <v>2025.0</v>
      </c>
      <c r="D12" s="16">
        <v>34.0</v>
      </c>
      <c r="E12" s="16">
        <v>11.0</v>
      </c>
      <c r="F12" s="16">
        <v>9.0</v>
      </c>
      <c r="G12" s="16">
        <v>14.0</v>
      </c>
      <c r="H12" s="16">
        <v>44.0</v>
      </c>
      <c r="I12" s="16">
        <v>43.0</v>
      </c>
      <c r="J12" s="17">
        <f>+1</f>
        <v>1</v>
      </c>
      <c r="K12" s="16">
        <v>42.0</v>
      </c>
      <c r="L12" s="16">
        <v>1.24</v>
      </c>
      <c r="M12" s="16">
        <v>49.1</v>
      </c>
      <c r="N12" s="16">
        <v>36.8</v>
      </c>
      <c r="O12" s="17">
        <f>+12.4</f>
        <v>12.4</v>
      </c>
      <c r="P12" s="17">
        <f>+0.36</f>
        <v>0.36</v>
      </c>
      <c r="Q12" s="18">
        <v>25593.0</v>
      </c>
      <c r="R12" s="19" t="s">
        <v>881</v>
      </c>
      <c r="S12" s="19" t="s">
        <v>882</v>
      </c>
      <c r="T12" s="21"/>
    </row>
    <row r="13">
      <c r="A13" s="14">
        <v>11.0</v>
      </c>
      <c r="B13" s="15" t="s">
        <v>883</v>
      </c>
      <c r="C13" s="16">
        <v>2025.0</v>
      </c>
      <c r="D13" s="16">
        <v>34.0</v>
      </c>
      <c r="E13" s="16">
        <v>11.0</v>
      </c>
      <c r="F13" s="16">
        <v>9.0</v>
      </c>
      <c r="G13" s="16">
        <v>14.0</v>
      </c>
      <c r="H13" s="16">
        <v>48.0</v>
      </c>
      <c r="I13" s="16">
        <v>51.0</v>
      </c>
      <c r="J13" s="16">
        <v>-3.0</v>
      </c>
      <c r="K13" s="16">
        <v>42.0</v>
      </c>
      <c r="L13" s="16">
        <v>1.24</v>
      </c>
      <c r="M13" s="16">
        <v>41.0</v>
      </c>
      <c r="N13" s="16">
        <v>58.6</v>
      </c>
      <c r="O13" s="16">
        <v>-17.6</v>
      </c>
      <c r="P13" s="16">
        <v>-0.52</v>
      </c>
      <c r="Q13" s="18">
        <v>16634.0</v>
      </c>
      <c r="R13" s="19" t="s">
        <v>884</v>
      </c>
      <c r="S13" s="19" t="s">
        <v>885</v>
      </c>
      <c r="T13" s="21"/>
    </row>
    <row r="14">
      <c r="A14" s="14">
        <v>12.0</v>
      </c>
      <c r="B14" s="15" t="s">
        <v>886</v>
      </c>
      <c r="C14" s="16">
        <v>2025.0</v>
      </c>
      <c r="D14" s="16">
        <v>34.0</v>
      </c>
      <c r="E14" s="16">
        <v>13.0</v>
      </c>
      <c r="F14" s="16">
        <v>2.0</v>
      </c>
      <c r="G14" s="16">
        <v>19.0</v>
      </c>
      <c r="H14" s="16">
        <v>51.0</v>
      </c>
      <c r="I14" s="16">
        <v>50.0</v>
      </c>
      <c r="J14" s="17">
        <f>+1</f>
        <v>1</v>
      </c>
      <c r="K14" s="16">
        <v>41.0</v>
      </c>
      <c r="L14" s="16">
        <v>1.21</v>
      </c>
      <c r="M14" s="16">
        <v>48.6</v>
      </c>
      <c r="N14" s="16">
        <v>46.0</v>
      </c>
      <c r="O14" s="17">
        <f>+2.6</f>
        <v>2.6</v>
      </c>
      <c r="P14" s="17">
        <f>+0.08</f>
        <v>0.08</v>
      </c>
      <c r="Q14" s="18">
        <v>27970.0</v>
      </c>
      <c r="R14" s="19" t="s">
        <v>887</v>
      </c>
      <c r="S14" s="19" t="s">
        <v>888</v>
      </c>
      <c r="T14" s="21"/>
    </row>
    <row r="15">
      <c r="A15" s="14">
        <v>13.0</v>
      </c>
      <c r="B15" s="15" t="s">
        <v>889</v>
      </c>
      <c r="C15" s="16">
        <v>2025.0</v>
      </c>
      <c r="D15" s="16">
        <v>34.0</v>
      </c>
      <c r="E15" s="16">
        <v>8.0</v>
      </c>
      <c r="F15" s="16">
        <v>12.0</v>
      </c>
      <c r="G15" s="16">
        <v>14.0</v>
      </c>
      <c r="H15" s="16">
        <v>39.0</v>
      </c>
      <c r="I15" s="16">
        <v>52.0</v>
      </c>
      <c r="J15" s="16">
        <v>-13.0</v>
      </c>
      <c r="K15" s="16">
        <v>36.0</v>
      </c>
      <c r="L15" s="16">
        <v>1.06</v>
      </c>
      <c r="M15" s="16">
        <v>39.1</v>
      </c>
      <c r="N15" s="16">
        <v>55.4</v>
      </c>
      <c r="O15" s="16">
        <v>-16.3</v>
      </c>
      <c r="P15" s="16">
        <v>-0.48</v>
      </c>
      <c r="Q15" s="18">
        <v>30317.0</v>
      </c>
      <c r="R15" s="19" t="s">
        <v>890</v>
      </c>
      <c r="S15" s="19" t="s">
        <v>891</v>
      </c>
      <c r="T15" s="21"/>
    </row>
    <row r="16">
      <c r="A16" s="14">
        <v>14.0</v>
      </c>
      <c r="B16" s="15" t="s">
        <v>892</v>
      </c>
      <c r="C16" s="16">
        <v>2025.0</v>
      </c>
      <c r="D16" s="16">
        <v>34.0</v>
      </c>
      <c r="E16" s="16">
        <v>10.0</v>
      </c>
      <c r="F16" s="16">
        <v>6.0</v>
      </c>
      <c r="G16" s="16">
        <v>18.0</v>
      </c>
      <c r="H16" s="16">
        <v>32.0</v>
      </c>
      <c r="I16" s="16">
        <v>53.0</v>
      </c>
      <c r="J16" s="16">
        <v>-21.0</v>
      </c>
      <c r="K16" s="16">
        <v>36.0</v>
      </c>
      <c r="L16" s="16">
        <v>1.06</v>
      </c>
      <c r="M16" s="16">
        <v>36.0</v>
      </c>
      <c r="N16" s="16">
        <v>57.8</v>
      </c>
      <c r="O16" s="16">
        <v>-21.8</v>
      </c>
      <c r="P16" s="16">
        <v>-0.64</v>
      </c>
      <c r="Q16" s="18">
        <v>13142.0</v>
      </c>
      <c r="R16" s="19" t="s">
        <v>893</v>
      </c>
      <c r="S16" s="19" t="s">
        <v>894</v>
      </c>
      <c r="T16" s="21"/>
    </row>
    <row r="17">
      <c r="A17" s="14">
        <v>15.0</v>
      </c>
      <c r="B17" s="15" t="s">
        <v>895</v>
      </c>
      <c r="C17" s="16">
        <v>2025.0</v>
      </c>
      <c r="D17" s="16">
        <v>34.0</v>
      </c>
      <c r="E17" s="16">
        <v>10.0</v>
      </c>
      <c r="F17" s="16">
        <v>4.0</v>
      </c>
      <c r="G17" s="16">
        <v>20.0</v>
      </c>
      <c r="H17" s="16">
        <v>40.0</v>
      </c>
      <c r="I17" s="16">
        <v>71.0</v>
      </c>
      <c r="J17" s="16">
        <v>-31.0</v>
      </c>
      <c r="K17" s="16">
        <v>34.0</v>
      </c>
      <c r="L17" s="16">
        <v>1.0</v>
      </c>
      <c r="M17" s="16">
        <v>41.3</v>
      </c>
      <c r="N17" s="16">
        <v>62.8</v>
      </c>
      <c r="O17" s="16">
        <v>-21.5</v>
      </c>
      <c r="P17" s="16">
        <v>-0.63</v>
      </c>
      <c r="Q17" s="18">
        <v>20218.0</v>
      </c>
      <c r="R17" s="19" t="s">
        <v>896</v>
      </c>
      <c r="S17" s="19" t="s">
        <v>897</v>
      </c>
      <c r="T17" s="21"/>
    </row>
    <row r="18">
      <c r="A18" s="22">
        <v>16.0</v>
      </c>
      <c r="B18" s="15" t="s">
        <v>898</v>
      </c>
      <c r="C18" s="16">
        <v>2025.0</v>
      </c>
      <c r="D18" s="16">
        <v>34.0</v>
      </c>
      <c r="E18" s="16">
        <v>8.0</v>
      </c>
      <c r="F18" s="16">
        <v>9.0</v>
      </c>
      <c r="G18" s="16">
        <v>17.0</v>
      </c>
      <c r="H18" s="16">
        <v>33.0</v>
      </c>
      <c r="I18" s="16">
        <v>47.0</v>
      </c>
      <c r="J18" s="16">
        <v>-14.0</v>
      </c>
      <c r="K18" s="16">
        <v>33.0</v>
      </c>
      <c r="L18" s="16">
        <v>0.97</v>
      </c>
      <c r="M18" s="16">
        <v>37.4</v>
      </c>
      <c r="N18" s="16">
        <v>57.4</v>
      </c>
      <c r="O18" s="16">
        <v>-19.9</v>
      </c>
      <c r="P18" s="16">
        <v>-0.59</v>
      </c>
      <c r="Q18" s="18">
        <v>15655.0</v>
      </c>
      <c r="R18" s="19" t="s">
        <v>899</v>
      </c>
      <c r="S18" s="19" t="s">
        <v>900</v>
      </c>
      <c r="T18" s="20" t="s">
        <v>901</v>
      </c>
    </row>
    <row r="19">
      <c r="A19" s="22">
        <v>17.0</v>
      </c>
      <c r="B19" s="15" t="s">
        <v>902</v>
      </c>
      <c r="C19" s="16">
        <v>2025.0</v>
      </c>
      <c r="D19" s="16">
        <v>34.0</v>
      </c>
      <c r="E19" s="16">
        <v>8.0</v>
      </c>
      <c r="F19" s="16">
        <v>6.0</v>
      </c>
      <c r="G19" s="16">
        <v>20.0</v>
      </c>
      <c r="H19" s="16">
        <v>39.0</v>
      </c>
      <c r="I19" s="16">
        <v>77.0</v>
      </c>
      <c r="J19" s="16">
        <v>-38.0</v>
      </c>
      <c r="K19" s="16">
        <v>30.0</v>
      </c>
      <c r="L19" s="16">
        <v>0.88</v>
      </c>
      <c r="M19" s="16">
        <v>36.4</v>
      </c>
      <c r="N19" s="16">
        <v>74.3</v>
      </c>
      <c r="O19" s="16">
        <v>-37.9</v>
      </c>
      <c r="P19" s="16">
        <v>-1.15</v>
      </c>
      <c r="Q19" s="18">
        <v>30220.0</v>
      </c>
      <c r="R19" s="19" t="s">
        <v>903</v>
      </c>
      <c r="S19" s="19" t="s">
        <v>904</v>
      </c>
      <c r="T19" s="20" t="s">
        <v>905</v>
      </c>
    </row>
    <row r="20">
      <c r="A20" s="23">
        <v>18.0</v>
      </c>
      <c r="B20" s="24" t="s">
        <v>906</v>
      </c>
      <c r="C20" s="16">
        <v>2025.0</v>
      </c>
      <c r="D20" s="25">
        <v>34.0</v>
      </c>
      <c r="E20" s="25">
        <v>4.0</v>
      </c>
      <c r="F20" s="25">
        <v>4.0</v>
      </c>
      <c r="G20" s="25">
        <v>26.0</v>
      </c>
      <c r="H20" s="25">
        <v>23.0</v>
      </c>
      <c r="I20" s="25">
        <v>79.0</v>
      </c>
      <c r="J20" s="25">
        <v>-56.0</v>
      </c>
      <c r="K20" s="25">
        <v>16.0</v>
      </c>
      <c r="L20" s="25">
        <v>0.47</v>
      </c>
      <c r="M20" s="25">
        <v>33.5</v>
      </c>
      <c r="N20" s="25">
        <v>63.3</v>
      </c>
      <c r="O20" s="25">
        <v>-29.9</v>
      </c>
      <c r="P20" s="25">
        <v>-0.91</v>
      </c>
      <c r="Q20" s="26">
        <v>13483.0</v>
      </c>
      <c r="R20" s="27" t="s">
        <v>907</v>
      </c>
      <c r="S20" s="27" t="s">
        <v>908</v>
      </c>
      <c r="T20" s="28" t="s">
        <v>905</v>
      </c>
    </row>
    <row r="21">
      <c r="A21" s="11">
        <v>2024.0</v>
      </c>
    </row>
    <row r="22">
      <c r="A22" s="12" t="s">
        <v>831</v>
      </c>
      <c r="B22" s="13" t="s">
        <v>832</v>
      </c>
      <c r="C22" s="13" t="s">
        <v>3</v>
      </c>
      <c r="D22" s="13" t="s">
        <v>833</v>
      </c>
      <c r="E22" s="13" t="s">
        <v>834</v>
      </c>
      <c r="F22" s="13" t="s">
        <v>835</v>
      </c>
      <c r="G22" s="13" t="s">
        <v>836</v>
      </c>
      <c r="H22" s="13" t="s">
        <v>837</v>
      </c>
      <c r="I22" s="13" t="s">
        <v>838</v>
      </c>
      <c r="J22" s="13" t="s">
        <v>839</v>
      </c>
      <c r="K22" s="13" t="s">
        <v>840</v>
      </c>
      <c r="L22" s="13" t="s">
        <v>841</v>
      </c>
      <c r="M22" s="13" t="s">
        <v>842</v>
      </c>
      <c r="N22" s="13" t="s">
        <v>843</v>
      </c>
      <c r="O22" s="13" t="s">
        <v>844</v>
      </c>
      <c r="P22" s="13" t="s">
        <v>845</v>
      </c>
      <c r="Q22" s="13" t="s">
        <v>846</v>
      </c>
      <c r="R22" s="13" t="s">
        <v>847</v>
      </c>
      <c r="S22" s="13" t="s">
        <v>848</v>
      </c>
      <c r="T22" s="13" t="s">
        <v>849</v>
      </c>
    </row>
    <row r="23">
      <c r="A23" s="14">
        <v>1.0</v>
      </c>
      <c r="B23" s="15" t="s">
        <v>909</v>
      </c>
      <c r="C23" s="16">
        <v>2024.0</v>
      </c>
      <c r="D23" s="16">
        <v>34.0</v>
      </c>
      <c r="E23" s="16">
        <v>22.0</v>
      </c>
      <c r="F23" s="16">
        <v>10.0</v>
      </c>
      <c r="G23" s="16">
        <v>2.0</v>
      </c>
      <c r="H23" s="16">
        <v>81.0</v>
      </c>
      <c r="I23" s="16">
        <v>33.0</v>
      </c>
      <c r="J23" s="17">
        <f>+48</f>
        <v>48</v>
      </c>
      <c r="K23" s="16">
        <v>76.0</v>
      </c>
      <c r="L23" s="16">
        <v>2.24</v>
      </c>
      <c r="M23" s="16">
        <v>68.8</v>
      </c>
      <c r="N23" s="16">
        <v>40.0</v>
      </c>
      <c r="O23" s="17">
        <f>+28.8</f>
        <v>28.8</v>
      </c>
      <c r="P23" s="17">
        <f>+0.85</f>
        <v>0.85</v>
      </c>
      <c r="Q23" s="18">
        <v>46834.0</v>
      </c>
      <c r="R23" s="19" t="s">
        <v>910</v>
      </c>
      <c r="S23" s="19" t="s">
        <v>911</v>
      </c>
      <c r="T23" s="20" t="s">
        <v>853</v>
      </c>
    </row>
    <row r="24">
      <c r="A24" s="14">
        <v>2.0</v>
      </c>
      <c r="B24" s="15" t="s">
        <v>912</v>
      </c>
      <c r="C24" s="16">
        <v>2024.0</v>
      </c>
      <c r="D24" s="16">
        <v>34.0</v>
      </c>
      <c r="E24" s="16">
        <v>20.0</v>
      </c>
      <c r="F24" s="16">
        <v>7.0</v>
      </c>
      <c r="G24" s="16">
        <v>7.0</v>
      </c>
      <c r="H24" s="16">
        <v>68.0</v>
      </c>
      <c r="I24" s="16">
        <v>42.0</v>
      </c>
      <c r="J24" s="17">
        <f>+26</f>
        <v>26</v>
      </c>
      <c r="K24" s="16">
        <v>67.0</v>
      </c>
      <c r="L24" s="16">
        <v>1.97</v>
      </c>
      <c r="M24" s="16">
        <v>55.0</v>
      </c>
      <c r="N24" s="16">
        <v>43.5</v>
      </c>
      <c r="O24" s="17">
        <f>+11.5</f>
        <v>11.5</v>
      </c>
      <c r="P24" s="17">
        <f>+0.34</f>
        <v>0.34</v>
      </c>
      <c r="Q24" s="18">
        <v>7884.0</v>
      </c>
      <c r="R24" s="19" t="s">
        <v>913</v>
      </c>
      <c r="S24" s="19" t="s">
        <v>914</v>
      </c>
      <c r="T24" s="20" t="s">
        <v>853</v>
      </c>
    </row>
    <row r="25">
      <c r="A25" s="14">
        <v>3.0</v>
      </c>
      <c r="B25" s="15" t="s">
        <v>915</v>
      </c>
      <c r="C25" s="16">
        <v>2024.0</v>
      </c>
      <c r="D25" s="16">
        <v>34.0</v>
      </c>
      <c r="E25" s="16">
        <v>17.0</v>
      </c>
      <c r="F25" s="16">
        <v>10.0</v>
      </c>
      <c r="G25" s="16">
        <v>7.0</v>
      </c>
      <c r="H25" s="16">
        <v>53.0</v>
      </c>
      <c r="I25" s="16">
        <v>34.0</v>
      </c>
      <c r="J25" s="17">
        <f>+19</f>
        <v>19</v>
      </c>
      <c r="K25" s="16">
        <v>61.0</v>
      </c>
      <c r="L25" s="16">
        <v>1.79</v>
      </c>
      <c r="M25" s="16">
        <v>48.3</v>
      </c>
      <c r="N25" s="16">
        <v>39.2</v>
      </c>
      <c r="O25" s="17">
        <f>+9.1</f>
        <v>9.1</v>
      </c>
      <c r="P25" s="17">
        <f>+0.27</f>
        <v>0.27</v>
      </c>
      <c r="Q25" s="18">
        <v>14513.0</v>
      </c>
      <c r="R25" s="19" t="s">
        <v>916</v>
      </c>
      <c r="S25" s="19" t="s">
        <v>917</v>
      </c>
      <c r="T25" s="20" t="s">
        <v>853</v>
      </c>
    </row>
    <row r="26">
      <c r="A26" s="14">
        <v>4.0</v>
      </c>
      <c r="B26" s="15" t="s">
        <v>918</v>
      </c>
      <c r="C26" s="16">
        <v>2024.0</v>
      </c>
      <c r="D26" s="16">
        <v>34.0</v>
      </c>
      <c r="E26" s="16">
        <v>16.0</v>
      </c>
      <c r="F26" s="16">
        <v>11.0</v>
      </c>
      <c r="G26" s="16">
        <v>7.0</v>
      </c>
      <c r="H26" s="16">
        <v>52.0</v>
      </c>
      <c r="I26" s="16">
        <v>34.0</v>
      </c>
      <c r="J26" s="17">
        <f>+18</f>
        <v>18</v>
      </c>
      <c r="K26" s="16">
        <v>59.0</v>
      </c>
      <c r="L26" s="16">
        <v>1.74</v>
      </c>
      <c r="M26" s="16">
        <v>48.6</v>
      </c>
      <c r="N26" s="16">
        <v>36.5</v>
      </c>
      <c r="O26" s="17">
        <f>+12.2</f>
        <v>12.2</v>
      </c>
      <c r="P26" s="17">
        <f>+0.36</f>
        <v>0.36</v>
      </c>
      <c r="Q26" s="18">
        <v>39932.0</v>
      </c>
      <c r="R26" s="19" t="s">
        <v>919</v>
      </c>
      <c r="S26" s="19" t="s">
        <v>920</v>
      </c>
      <c r="T26" s="20" t="s">
        <v>853</v>
      </c>
    </row>
    <row r="27">
      <c r="A27" s="14">
        <v>5.0</v>
      </c>
      <c r="B27" s="15" t="s">
        <v>921</v>
      </c>
      <c r="C27" s="16">
        <v>2024.0</v>
      </c>
      <c r="D27" s="16">
        <v>34.0</v>
      </c>
      <c r="E27" s="16">
        <v>15.0</v>
      </c>
      <c r="F27" s="16">
        <v>10.0</v>
      </c>
      <c r="G27" s="16">
        <v>9.0</v>
      </c>
      <c r="H27" s="16">
        <v>40.0</v>
      </c>
      <c r="I27" s="16">
        <v>29.0</v>
      </c>
      <c r="J27" s="17">
        <f>+11</f>
        <v>11</v>
      </c>
      <c r="K27" s="16">
        <v>55.0</v>
      </c>
      <c r="L27" s="16">
        <v>1.62</v>
      </c>
      <c r="M27" s="16">
        <v>49.9</v>
      </c>
      <c r="N27" s="16">
        <v>35.5</v>
      </c>
      <c r="O27" s="17">
        <f>+14.4</f>
        <v>14.4</v>
      </c>
      <c r="P27" s="17">
        <f>+0.42</f>
        <v>0.42</v>
      </c>
      <c r="Q27" s="18">
        <v>24952.0</v>
      </c>
      <c r="R27" s="19" t="s">
        <v>922</v>
      </c>
      <c r="S27" s="19" t="s">
        <v>923</v>
      </c>
      <c r="T27" s="20" t="s">
        <v>866</v>
      </c>
    </row>
    <row r="28">
      <c r="A28" s="14">
        <v>6.0</v>
      </c>
      <c r="B28" s="15" t="s">
        <v>924</v>
      </c>
      <c r="C28" s="16">
        <v>2024.0</v>
      </c>
      <c r="D28" s="16">
        <v>34.0</v>
      </c>
      <c r="E28" s="16">
        <v>16.0</v>
      </c>
      <c r="F28" s="16">
        <v>5.0</v>
      </c>
      <c r="G28" s="16">
        <v>13.0</v>
      </c>
      <c r="H28" s="16">
        <v>49.0</v>
      </c>
      <c r="I28" s="16">
        <v>55.0</v>
      </c>
      <c r="J28" s="16">
        <v>-6.0</v>
      </c>
      <c r="K28" s="16">
        <v>53.0</v>
      </c>
      <c r="L28" s="16">
        <v>1.56</v>
      </c>
      <c r="M28" s="16">
        <v>49.8</v>
      </c>
      <c r="N28" s="16">
        <v>52.4</v>
      </c>
      <c r="O28" s="16">
        <v>-2.5</v>
      </c>
      <c r="P28" s="16">
        <v>-0.07</v>
      </c>
      <c r="Q28" s="18">
        <v>45314.0</v>
      </c>
      <c r="R28" s="19" t="s">
        <v>925</v>
      </c>
      <c r="S28" s="19" t="s">
        <v>926</v>
      </c>
      <c r="T28" s="20" t="s">
        <v>866</v>
      </c>
    </row>
    <row r="29">
      <c r="A29" s="14">
        <v>7.0</v>
      </c>
      <c r="B29" s="15" t="s">
        <v>927</v>
      </c>
      <c r="C29" s="16">
        <v>2024.0</v>
      </c>
      <c r="D29" s="16">
        <v>34.0</v>
      </c>
      <c r="E29" s="16">
        <v>14.0</v>
      </c>
      <c r="F29" s="16">
        <v>9.0</v>
      </c>
      <c r="G29" s="16">
        <v>11.0</v>
      </c>
      <c r="H29" s="16">
        <v>45.0</v>
      </c>
      <c r="I29" s="16">
        <v>37.0</v>
      </c>
      <c r="J29" s="17">
        <f>+8</f>
        <v>8</v>
      </c>
      <c r="K29" s="16">
        <v>51.0</v>
      </c>
      <c r="L29" s="16">
        <v>1.5</v>
      </c>
      <c r="M29" s="16">
        <v>54.1</v>
      </c>
      <c r="N29" s="16">
        <v>46.7</v>
      </c>
      <c r="O29" s="17">
        <f>+7.4</f>
        <v>7.4</v>
      </c>
      <c r="P29" s="17">
        <f>+0.22</f>
        <v>0.22</v>
      </c>
      <c r="Q29" s="18">
        <v>37824.0</v>
      </c>
      <c r="R29" s="19" t="s">
        <v>928</v>
      </c>
      <c r="S29" s="19" t="s">
        <v>929</v>
      </c>
      <c r="T29" s="20" t="s">
        <v>873</v>
      </c>
    </row>
    <row r="30">
      <c r="A30" s="14">
        <v>8.0</v>
      </c>
      <c r="B30" s="15" t="s">
        <v>930</v>
      </c>
      <c r="C30" s="16">
        <v>2024.0</v>
      </c>
      <c r="D30" s="16">
        <v>34.0</v>
      </c>
      <c r="E30" s="16">
        <v>13.0</v>
      </c>
      <c r="F30" s="16">
        <v>11.0</v>
      </c>
      <c r="G30" s="16">
        <v>10.0</v>
      </c>
      <c r="H30" s="16">
        <v>52.0</v>
      </c>
      <c r="I30" s="16">
        <v>41.0</v>
      </c>
      <c r="J30" s="17">
        <f>+11</f>
        <v>11</v>
      </c>
      <c r="K30" s="16">
        <v>50.0</v>
      </c>
      <c r="L30" s="16">
        <v>1.47</v>
      </c>
      <c r="M30" s="16">
        <v>54.9</v>
      </c>
      <c r="N30" s="16">
        <v>35.4</v>
      </c>
      <c r="O30" s="17">
        <f>+19.5</f>
        <v>19.5</v>
      </c>
      <c r="P30" s="17">
        <f>+0.57</f>
        <v>0.57</v>
      </c>
      <c r="Q30" s="18">
        <v>60496.0</v>
      </c>
      <c r="R30" s="19" t="s">
        <v>931</v>
      </c>
      <c r="S30" s="19" t="s">
        <v>932</v>
      </c>
      <c r="T30" s="21"/>
    </row>
    <row r="31">
      <c r="A31" s="14">
        <v>9.0</v>
      </c>
      <c r="B31" s="15" t="s">
        <v>933</v>
      </c>
      <c r="C31" s="16">
        <v>2024.0</v>
      </c>
      <c r="D31" s="16">
        <v>34.0</v>
      </c>
      <c r="E31" s="16">
        <v>13.0</v>
      </c>
      <c r="F31" s="16">
        <v>8.0</v>
      </c>
      <c r="G31" s="16">
        <v>13.0</v>
      </c>
      <c r="H31" s="16">
        <v>42.0</v>
      </c>
      <c r="I31" s="16">
        <v>47.0</v>
      </c>
      <c r="J31" s="16">
        <v>-5.0</v>
      </c>
      <c r="K31" s="16">
        <v>47.0</v>
      </c>
      <c r="L31" s="16">
        <v>1.38</v>
      </c>
      <c r="M31" s="16">
        <v>44.5</v>
      </c>
      <c r="N31" s="16">
        <v>46.4</v>
      </c>
      <c r="O31" s="16">
        <v>-1.9</v>
      </c>
      <c r="P31" s="16">
        <v>-0.06</v>
      </c>
      <c r="Q31" s="18">
        <v>15716.0</v>
      </c>
      <c r="R31" s="19" t="s">
        <v>934</v>
      </c>
      <c r="S31" s="19" t="s">
        <v>935</v>
      </c>
      <c r="T31" s="21"/>
    </row>
    <row r="32">
      <c r="A32" s="14">
        <v>10.0</v>
      </c>
      <c r="B32" s="15" t="s">
        <v>936</v>
      </c>
      <c r="C32" s="16">
        <v>2024.0</v>
      </c>
      <c r="D32" s="16">
        <v>34.0</v>
      </c>
      <c r="E32" s="16">
        <v>12.0</v>
      </c>
      <c r="F32" s="16">
        <v>10.0</v>
      </c>
      <c r="G32" s="16">
        <v>12.0</v>
      </c>
      <c r="H32" s="16">
        <v>53.0</v>
      </c>
      <c r="I32" s="16">
        <v>46.0</v>
      </c>
      <c r="J32" s="17">
        <f>+7</f>
        <v>7</v>
      </c>
      <c r="K32" s="16">
        <v>46.0</v>
      </c>
      <c r="L32" s="16">
        <v>1.35</v>
      </c>
      <c r="M32" s="16">
        <v>53.1</v>
      </c>
      <c r="N32" s="16">
        <v>41.2</v>
      </c>
      <c r="O32" s="17">
        <f>+11.8</f>
        <v>11.8</v>
      </c>
      <c r="P32" s="17">
        <f>+0.35</f>
        <v>0.35</v>
      </c>
      <c r="Q32" s="18">
        <v>27663.0</v>
      </c>
      <c r="R32" s="19" t="s">
        <v>937</v>
      </c>
      <c r="S32" s="19" t="s">
        <v>938</v>
      </c>
      <c r="T32" s="21"/>
    </row>
    <row r="33">
      <c r="A33" s="14">
        <v>11.0</v>
      </c>
      <c r="B33" s="15" t="s">
        <v>939</v>
      </c>
      <c r="C33" s="16">
        <v>2024.0</v>
      </c>
      <c r="D33" s="16">
        <v>34.0</v>
      </c>
      <c r="E33" s="16">
        <v>11.0</v>
      </c>
      <c r="F33" s="16">
        <v>10.0</v>
      </c>
      <c r="G33" s="16">
        <v>13.0</v>
      </c>
      <c r="H33" s="16">
        <v>42.0</v>
      </c>
      <c r="I33" s="16">
        <v>46.0</v>
      </c>
      <c r="J33" s="16">
        <v>-4.0</v>
      </c>
      <c r="K33" s="16">
        <v>43.0</v>
      </c>
      <c r="L33" s="16">
        <v>1.26</v>
      </c>
      <c r="M33" s="16">
        <v>40.3</v>
      </c>
      <c r="N33" s="16">
        <v>48.1</v>
      </c>
      <c r="O33" s="16">
        <v>-7.8</v>
      </c>
      <c r="P33" s="16">
        <v>-0.23</v>
      </c>
      <c r="Q33" s="18">
        <v>25806.0</v>
      </c>
      <c r="R33" s="19" t="s">
        <v>940</v>
      </c>
      <c r="S33" s="19" t="s">
        <v>941</v>
      </c>
      <c r="T33" s="21"/>
    </row>
    <row r="34">
      <c r="A34" s="14">
        <v>12.0</v>
      </c>
      <c r="B34" s="15" t="s">
        <v>942</v>
      </c>
      <c r="C34" s="16">
        <v>2024.0</v>
      </c>
      <c r="D34" s="16">
        <v>34.0</v>
      </c>
      <c r="E34" s="16">
        <v>10.0</v>
      </c>
      <c r="F34" s="16">
        <v>12.0</v>
      </c>
      <c r="G34" s="16">
        <v>12.0</v>
      </c>
      <c r="H34" s="16">
        <v>43.0</v>
      </c>
      <c r="I34" s="16">
        <v>48.0</v>
      </c>
      <c r="J34" s="16">
        <v>-5.0</v>
      </c>
      <c r="K34" s="16">
        <v>41.0</v>
      </c>
      <c r="L34" s="16">
        <v>1.21</v>
      </c>
      <c r="M34" s="16">
        <v>46.0</v>
      </c>
      <c r="N34" s="16">
        <v>50.9</v>
      </c>
      <c r="O34" s="16">
        <v>-4.8</v>
      </c>
      <c r="P34" s="16">
        <v>-0.14</v>
      </c>
      <c r="Q34" s="18">
        <v>13901.0</v>
      </c>
      <c r="R34" s="19" t="s">
        <v>943</v>
      </c>
      <c r="S34" s="19" t="s">
        <v>944</v>
      </c>
      <c r="T34" s="20" t="s">
        <v>945</v>
      </c>
    </row>
    <row r="35">
      <c r="A35" s="14">
        <v>13.0</v>
      </c>
      <c r="B35" s="15" t="s">
        <v>946</v>
      </c>
      <c r="C35" s="16">
        <v>2024.0</v>
      </c>
      <c r="D35" s="16">
        <v>34.0</v>
      </c>
      <c r="E35" s="16">
        <v>10.0</v>
      </c>
      <c r="F35" s="16">
        <v>9.0</v>
      </c>
      <c r="G35" s="16">
        <v>15.0</v>
      </c>
      <c r="H35" s="16">
        <v>38.0</v>
      </c>
      <c r="I35" s="16">
        <v>50.0</v>
      </c>
      <c r="J35" s="16">
        <v>-12.0</v>
      </c>
      <c r="K35" s="16">
        <v>39.0</v>
      </c>
      <c r="L35" s="16">
        <v>1.15</v>
      </c>
      <c r="M35" s="16">
        <v>41.9</v>
      </c>
      <c r="N35" s="16">
        <v>45.5</v>
      </c>
      <c r="O35" s="16">
        <v>-3.5</v>
      </c>
      <c r="P35" s="16">
        <v>-0.1</v>
      </c>
      <c r="Q35" s="18">
        <v>25334.0</v>
      </c>
      <c r="R35" s="19" t="s">
        <v>947</v>
      </c>
      <c r="S35" s="19" t="s">
        <v>948</v>
      </c>
      <c r="T35" s="21"/>
    </row>
    <row r="36">
      <c r="A36" s="14">
        <v>14.0</v>
      </c>
      <c r="B36" s="15" t="s">
        <v>949</v>
      </c>
      <c r="C36" s="16">
        <v>2024.0</v>
      </c>
      <c r="D36" s="16">
        <v>34.0</v>
      </c>
      <c r="E36" s="16">
        <v>9.0</v>
      </c>
      <c r="F36" s="16">
        <v>6.0</v>
      </c>
      <c r="G36" s="16">
        <v>19.0</v>
      </c>
      <c r="H36" s="16">
        <v>30.0</v>
      </c>
      <c r="I36" s="16">
        <v>55.0</v>
      </c>
      <c r="J36" s="16">
        <v>-25.0</v>
      </c>
      <c r="K36" s="16">
        <v>33.0</v>
      </c>
      <c r="L36" s="16">
        <v>0.97</v>
      </c>
      <c r="M36" s="16">
        <v>37.6</v>
      </c>
      <c r="N36" s="16">
        <v>53.0</v>
      </c>
      <c r="O36" s="16">
        <v>-15.5</v>
      </c>
      <c r="P36" s="16">
        <v>-0.45</v>
      </c>
      <c r="Q36" s="18">
        <v>27555.0</v>
      </c>
      <c r="R36" s="19" t="s">
        <v>950</v>
      </c>
      <c r="S36" s="19" t="s">
        <v>951</v>
      </c>
      <c r="T36" s="21"/>
    </row>
    <row r="37">
      <c r="A37" s="14">
        <v>15.0</v>
      </c>
      <c r="B37" s="15" t="s">
        <v>952</v>
      </c>
      <c r="C37" s="16">
        <v>2024.0</v>
      </c>
      <c r="D37" s="16">
        <v>34.0</v>
      </c>
      <c r="E37" s="16">
        <v>7.0</v>
      </c>
      <c r="F37" s="16">
        <v>11.0</v>
      </c>
      <c r="G37" s="16">
        <v>16.0</v>
      </c>
      <c r="H37" s="16">
        <v>34.0</v>
      </c>
      <c r="I37" s="16">
        <v>45.0</v>
      </c>
      <c r="J37" s="16">
        <v>-11.0</v>
      </c>
      <c r="K37" s="16">
        <v>32.0</v>
      </c>
      <c r="L37" s="16">
        <v>0.94</v>
      </c>
      <c r="M37" s="16">
        <v>37.3</v>
      </c>
      <c r="N37" s="16">
        <v>50.6</v>
      </c>
      <c r="O37" s="16">
        <v>-13.3</v>
      </c>
      <c r="P37" s="16">
        <v>-0.39</v>
      </c>
      <c r="Q37" s="18">
        <v>31383.0</v>
      </c>
      <c r="R37" s="19" t="s">
        <v>953</v>
      </c>
      <c r="S37" s="19" t="s">
        <v>954</v>
      </c>
      <c r="T37" s="21"/>
    </row>
    <row r="38">
      <c r="A38" s="22">
        <v>16.0</v>
      </c>
      <c r="B38" s="15" t="s">
        <v>955</v>
      </c>
      <c r="C38" s="16">
        <v>2024.0</v>
      </c>
      <c r="D38" s="16">
        <v>34.0</v>
      </c>
      <c r="E38" s="16">
        <v>8.0</v>
      </c>
      <c r="F38" s="16">
        <v>5.0</v>
      </c>
      <c r="G38" s="16">
        <v>21.0</v>
      </c>
      <c r="H38" s="16">
        <v>35.0</v>
      </c>
      <c r="I38" s="16">
        <v>58.0</v>
      </c>
      <c r="J38" s="16">
        <v>-23.0</v>
      </c>
      <c r="K38" s="16">
        <v>29.0</v>
      </c>
      <c r="L38" s="16">
        <v>0.85</v>
      </c>
      <c r="M38" s="16">
        <v>34.2</v>
      </c>
      <c r="N38" s="16">
        <v>54.5</v>
      </c>
      <c r="O38" s="16">
        <v>-20.3</v>
      </c>
      <c r="P38" s="16">
        <v>-0.6</v>
      </c>
      <c r="Q38" s="18">
        <v>23838.0</v>
      </c>
      <c r="R38" s="19" t="s">
        <v>956</v>
      </c>
      <c r="S38" s="19" t="s">
        <v>957</v>
      </c>
      <c r="T38" s="20" t="s">
        <v>901</v>
      </c>
    </row>
    <row r="39">
      <c r="A39" s="22">
        <v>17.0</v>
      </c>
      <c r="B39" s="15" t="s">
        <v>958</v>
      </c>
      <c r="C39" s="16">
        <v>2024.0</v>
      </c>
      <c r="D39" s="16">
        <v>34.0</v>
      </c>
      <c r="E39" s="16">
        <v>7.0</v>
      </c>
      <c r="F39" s="16">
        <v>8.0</v>
      </c>
      <c r="G39" s="16">
        <v>19.0</v>
      </c>
      <c r="H39" s="16">
        <v>43.0</v>
      </c>
      <c r="I39" s="16">
        <v>66.0</v>
      </c>
      <c r="J39" s="16">
        <v>-23.0</v>
      </c>
      <c r="K39" s="16">
        <v>29.0</v>
      </c>
      <c r="L39" s="16">
        <v>0.85</v>
      </c>
      <c r="M39" s="16">
        <v>37.1</v>
      </c>
      <c r="N39" s="16">
        <v>54.5</v>
      </c>
      <c r="O39" s="16">
        <v>-17.3</v>
      </c>
      <c r="P39" s="16">
        <v>-0.51</v>
      </c>
      <c r="Q39" s="18">
        <v>15676.0</v>
      </c>
      <c r="R39" s="19" t="s">
        <v>959</v>
      </c>
      <c r="S39" s="19" t="s">
        <v>960</v>
      </c>
      <c r="T39" s="20" t="s">
        <v>905</v>
      </c>
    </row>
    <row r="40">
      <c r="A40" s="23">
        <v>18.0</v>
      </c>
      <c r="B40" s="24" t="s">
        <v>961</v>
      </c>
      <c r="C40" s="16">
        <v>2024.0</v>
      </c>
      <c r="D40" s="25">
        <v>34.0</v>
      </c>
      <c r="E40" s="25">
        <v>5.0</v>
      </c>
      <c r="F40" s="25">
        <v>10.0</v>
      </c>
      <c r="G40" s="25">
        <v>19.0</v>
      </c>
      <c r="H40" s="25">
        <v>26.0</v>
      </c>
      <c r="I40" s="25">
        <v>60.0</v>
      </c>
      <c r="J40" s="25">
        <v>-34.0</v>
      </c>
      <c r="K40" s="25">
        <v>25.0</v>
      </c>
      <c r="L40" s="25">
        <v>0.74</v>
      </c>
      <c r="M40" s="25">
        <v>36.0</v>
      </c>
      <c r="N40" s="25">
        <v>63.7</v>
      </c>
      <c r="O40" s="25">
        <v>-27.6</v>
      </c>
      <c r="P40" s="25">
        <v>-0.81</v>
      </c>
      <c r="Q40" s="26">
        <v>9821.0</v>
      </c>
      <c r="R40" s="27" t="s">
        <v>962</v>
      </c>
      <c r="S40" s="27" t="s">
        <v>963</v>
      </c>
      <c r="T40" s="28" t="s">
        <v>905</v>
      </c>
    </row>
    <row r="41">
      <c r="A41" s="11">
        <v>2023.0</v>
      </c>
    </row>
    <row r="42">
      <c r="A42" s="12" t="s">
        <v>831</v>
      </c>
      <c r="B42" s="13" t="s">
        <v>832</v>
      </c>
      <c r="C42" s="13" t="s">
        <v>3</v>
      </c>
      <c r="D42" s="13" t="s">
        <v>833</v>
      </c>
      <c r="E42" s="13" t="s">
        <v>834</v>
      </c>
      <c r="F42" s="13" t="s">
        <v>835</v>
      </c>
      <c r="G42" s="13" t="s">
        <v>836</v>
      </c>
      <c r="H42" s="13" t="s">
        <v>837</v>
      </c>
      <c r="I42" s="13" t="s">
        <v>838</v>
      </c>
      <c r="J42" s="13" t="s">
        <v>839</v>
      </c>
      <c r="K42" s="13" t="s">
        <v>840</v>
      </c>
      <c r="L42" s="13" t="s">
        <v>841</v>
      </c>
      <c r="M42" s="13" t="s">
        <v>842</v>
      </c>
      <c r="N42" s="13" t="s">
        <v>843</v>
      </c>
      <c r="O42" s="13" t="s">
        <v>844</v>
      </c>
      <c r="P42" s="13" t="s">
        <v>845</v>
      </c>
      <c r="Q42" s="13" t="s">
        <v>846</v>
      </c>
      <c r="R42" s="13" t="s">
        <v>847</v>
      </c>
      <c r="S42" s="13" t="s">
        <v>848</v>
      </c>
      <c r="T42" s="13" t="s">
        <v>849</v>
      </c>
    </row>
    <row r="43">
      <c r="A43" s="14">
        <v>1.0</v>
      </c>
      <c r="B43" s="15" t="s">
        <v>964</v>
      </c>
      <c r="C43" s="16">
        <v>2023.0</v>
      </c>
      <c r="D43" s="16">
        <v>34.0</v>
      </c>
      <c r="E43" s="16">
        <v>22.0</v>
      </c>
      <c r="F43" s="16">
        <v>10.0</v>
      </c>
      <c r="G43" s="16">
        <v>2.0</v>
      </c>
      <c r="H43" s="16">
        <v>81.0</v>
      </c>
      <c r="I43" s="16">
        <v>33.0</v>
      </c>
      <c r="J43" s="17">
        <f>+48</f>
        <v>48</v>
      </c>
      <c r="K43" s="16">
        <v>76.0</v>
      </c>
      <c r="L43" s="16">
        <v>2.24</v>
      </c>
      <c r="M43" s="16">
        <v>68.8</v>
      </c>
      <c r="N43" s="16">
        <v>40.0</v>
      </c>
      <c r="O43" s="17">
        <f>+28.8</f>
        <v>28.8</v>
      </c>
      <c r="P43" s="17">
        <f>+0.85</f>
        <v>0.85</v>
      </c>
      <c r="Q43" s="18">
        <v>46834.0</v>
      </c>
      <c r="R43" s="19" t="s">
        <v>965</v>
      </c>
      <c r="S43" s="19" t="s">
        <v>966</v>
      </c>
      <c r="T43" s="20" t="s">
        <v>853</v>
      </c>
    </row>
    <row r="44">
      <c r="A44" s="14">
        <v>2.0</v>
      </c>
      <c r="B44" s="15" t="s">
        <v>967</v>
      </c>
      <c r="C44" s="16">
        <v>2023.0</v>
      </c>
      <c r="D44" s="16">
        <v>34.0</v>
      </c>
      <c r="E44" s="16">
        <v>20.0</v>
      </c>
      <c r="F44" s="16">
        <v>7.0</v>
      </c>
      <c r="G44" s="16">
        <v>7.0</v>
      </c>
      <c r="H44" s="16">
        <v>68.0</v>
      </c>
      <c r="I44" s="16">
        <v>42.0</v>
      </c>
      <c r="J44" s="17">
        <f>+26</f>
        <v>26</v>
      </c>
      <c r="K44" s="16">
        <v>67.0</v>
      </c>
      <c r="L44" s="16">
        <v>1.97</v>
      </c>
      <c r="M44" s="16">
        <v>55.0</v>
      </c>
      <c r="N44" s="16">
        <v>43.5</v>
      </c>
      <c r="O44" s="17">
        <f>+11.5</f>
        <v>11.5</v>
      </c>
      <c r="P44" s="17">
        <f>+0.34</f>
        <v>0.34</v>
      </c>
      <c r="Q44" s="18">
        <v>7884.0</v>
      </c>
      <c r="R44" s="19" t="s">
        <v>968</v>
      </c>
      <c r="S44" s="19" t="s">
        <v>969</v>
      </c>
      <c r="T44" s="20" t="s">
        <v>853</v>
      </c>
    </row>
    <row r="45">
      <c r="A45" s="14">
        <v>3.0</v>
      </c>
      <c r="B45" s="15" t="s">
        <v>970</v>
      </c>
      <c r="C45" s="16">
        <v>2023.0</v>
      </c>
      <c r="D45" s="16">
        <v>34.0</v>
      </c>
      <c r="E45" s="16">
        <v>17.0</v>
      </c>
      <c r="F45" s="16">
        <v>10.0</v>
      </c>
      <c r="G45" s="16">
        <v>7.0</v>
      </c>
      <c r="H45" s="16">
        <v>53.0</v>
      </c>
      <c r="I45" s="16">
        <v>34.0</v>
      </c>
      <c r="J45" s="17">
        <f>+19</f>
        <v>19</v>
      </c>
      <c r="K45" s="16">
        <v>61.0</v>
      </c>
      <c r="L45" s="16">
        <v>1.79</v>
      </c>
      <c r="M45" s="16">
        <v>48.3</v>
      </c>
      <c r="N45" s="16">
        <v>39.2</v>
      </c>
      <c r="O45" s="17">
        <f>+9.1</f>
        <v>9.1</v>
      </c>
      <c r="P45" s="17">
        <f>+0.27</f>
        <v>0.27</v>
      </c>
      <c r="Q45" s="18">
        <v>14513.0</v>
      </c>
      <c r="R45" s="19" t="s">
        <v>971</v>
      </c>
      <c r="S45" s="19" t="s">
        <v>972</v>
      </c>
      <c r="T45" s="20" t="s">
        <v>853</v>
      </c>
    </row>
    <row r="46">
      <c r="A46" s="14">
        <v>4.0</v>
      </c>
      <c r="B46" s="15" t="s">
        <v>973</v>
      </c>
      <c r="C46" s="16">
        <v>2023.0</v>
      </c>
      <c r="D46" s="16">
        <v>34.0</v>
      </c>
      <c r="E46" s="16">
        <v>16.0</v>
      </c>
      <c r="F46" s="16">
        <v>11.0</v>
      </c>
      <c r="G46" s="16">
        <v>7.0</v>
      </c>
      <c r="H46" s="16">
        <v>52.0</v>
      </c>
      <c r="I46" s="16">
        <v>34.0</v>
      </c>
      <c r="J46" s="17">
        <f>+18</f>
        <v>18</v>
      </c>
      <c r="K46" s="16">
        <v>59.0</v>
      </c>
      <c r="L46" s="16">
        <v>1.74</v>
      </c>
      <c r="M46" s="16">
        <v>48.6</v>
      </c>
      <c r="N46" s="16">
        <v>36.5</v>
      </c>
      <c r="O46" s="17">
        <f>+12.2</f>
        <v>12.2</v>
      </c>
      <c r="P46" s="17">
        <f>+0.36</f>
        <v>0.36</v>
      </c>
      <c r="Q46" s="18">
        <v>39932.0</v>
      </c>
      <c r="R46" s="19" t="s">
        <v>974</v>
      </c>
      <c r="S46" s="19" t="s">
        <v>975</v>
      </c>
      <c r="T46" s="20" t="s">
        <v>853</v>
      </c>
    </row>
    <row r="47">
      <c r="A47" s="14">
        <v>5.0</v>
      </c>
      <c r="B47" s="15" t="s">
        <v>976</v>
      </c>
      <c r="C47" s="16">
        <v>2023.0</v>
      </c>
      <c r="D47" s="16">
        <v>34.0</v>
      </c>
      <c r="E47" s="16">
        <v>15.0</v>
      </c>
      <c r="F47" s="16">
        <v>10.0</v>
      </c>
      <c r="G47" s="16">
        <v>9.0</v>
      </c>
      <c r="H47" s="16">
        <v>40.0</v>
      </c>
      <c r="I47" s="16">
        <v>29.0</v>
      </c>
      <c r="J47" s="17">
        <f>+11</f>
        <v>11</v>
      </c>
      <c r="K47" s="16">
        <v>55.0</v>
      </c>
      <c r="L47" s="16">
        <v>1.62</v>
      </c>
      <c r="M47" s="16">
        <v>49.9</v>
      </c>
      <c r="N47" s="16">
        <v>35.5</v>
      </c>
      <c r="O47" s="17">
        <f>+14.4</f>
        <v>14.4</v>
      </c>
      <c r="P47" s="17">
        <f>+0.42</f>
        <v>0.42</v>
      </c>
      <c r="Q47" s="18">
        <v>24952.0</v>
      </c>
      <c r="R47" s="19" t="s">
        <v>977</v>
      </c>
      <c r="S47" s="19" t="s">
        <v>978</v>
      </c>
      <c r="T47" s="20" t="s">
        <v>866</v>
      </c>
    </row>
    <row r="48">
      <c r="A48" s="14">
        <v>6.0</v>
      </c>
      <c r="B48" s="15" t="s">
        <v>979</v>
      </c>
      <c r="C48" s="16">
        <v>2023.0</v>
      </c>
      <c r="D48" s="16">
        <v>34.0</v>
      </c>
      <c r="E48" s="16">
        <v>16.0</v>
      </c>
      <c r="F48" s="16">
        <v>5.0</v>
      </c>
      <c r="G48" s="16">
        <v>13.0</v>
      </c>
      <c r="H48" s="16">
        <v>49.0</v>
      </c>
      <c r="I48" s="16">
        <v>55.0</v>
      </c>
      <c r="J48" s="16">
        <v>-6.0</v>
      </c>
      <c r="K48" s="16">
        <v>53.0</v>
      </c>
      <c r="L48" s="16">
        <v>1.56</v>
      </c>
      <c r="M48" s="16">
        <v>49.8</v>
      </c>
      <c r="N48" s="16">
        <v>52.4</v>
      </c>
      <c r="O48" s="16">
        <v>-2.5</v>
      </c>
      <c r="P48" s="16">
        <v>-0.07</v>
      </c>
      <c r="Q48" s="18">
        <v>45314.0</v>
      </c>
      <c r="R48" s="19" t="s">
        <v>980</v>
      </c>
      <c r="S48" s="19" t="s">
        <v>981</v>
      </c>
      <c r="T48" s="20" t="s">
        <v>866</v>
      </c>
    </row>
    <row r="49">
      <c r="A49" s="14">
        <v>7.0</v>
      </c>
      <c r="B49" s="15" t="s">
        <v>982</v>
      </c>
      <c r="C49" s="16">
        <v>2023.0</v>
      </c>
      <c r="D49" s="16">
        <v>34.0</v>
      </c>
      <c r="E49" s="16">
        <v>14.0</v>
      </c>
      <c r="F49" s="16">
        <v>9.0</v>
      </c>
      <c r="G49" s="16">
        <v>11.0</v>
      </c>
      <c r="H49" s="16">
        <v>45.0</v>
      </c>
      <c r="I49" s="16">
        <v>37.0</v>
      </c>
      <c r="J49" s="17">
        <f>+8</f>
        <v>8</v>
      </c>
      <c r="K49" s="16">
        <v>51.0</v>
      </c>
      <c r="L49" s="16">
        <v>1.5</v>
      </c>
      <c r="M49" s="16">
        <v>54.1</v>
      </c>
      <c r="N49" s="16">
        <v>46.7</v>
      </c>
      <c r="O49" s="17">
        <f>+7.4</f>
        <v>7.4</v>
      </c>
      <c r="P49" s="17">
        <f>+0.22</f>
        <v>0.22</v>
      </c>
      <c r="Q49" s="18">
        <v>37824.0</v>
      </c>
      <c r="R49" s="19" t="s">
        <v>983</v>
      </c>
      <c r="S49" s="19" t="s">
        <v>984</v>
      </c>
      <c r="T49" s="20" t="s">
        <v>873</v>
      </c>
    </row>
    <row r="50">
      <c r="A50" s="14">
        <v>8.0</v>
      </c>
      <c r="B50" s="15" t="s">
        <v>985</v>
      </c>
      <c r="C50" s="16">
        <v>2023.0</v>
      </c>
      <c r="D50" s="16">
        <v>34.0</v>
      </c>
      <c r="E50" s="16">
        <v>13.0</v>
      </c>
      <c r="F50" s="16">
        <v>11.0</v>
      </c>
      <c r="G50" s="16">
        <v>10.0</v>
      </c>
      <c r="H50" s="16">
        <v>52.0</v>
      </c>
      <c r="I50" s="16">
        <v>41.0</v>
      </c>
      <c r="J50" s="17">
        <f>+11</f>
        <v>11</v>
      </c>
      <c r="K50" s="16">
        <v>50.0</v>
      </c>
      <c r="L50" s="16">
        <v>1.47</v>
      </c>
      <c r="M50" s="16">
        <v>54.9</v>
      </c>
      <c r="N50" s="16">
        <v>35.4</v>
      </c>
      <c r="O50" s="17">
        <f>+19.5</f>
        <v>19.5</v>
      </c>
      <c r="P50" s="17">
        <f>+0.57</f>
        <v>0.57</v>
      </c>
      <c r="Q50" s="18">
        <v>60496.0</v>
      </c>
      <c r="R50" s="19" t="s">
        <v>986</v>
      </c>
      <c r="S50" s="19" t="s">
        <v>987</v>
      </c>
      <c r="T50" s="21"/>
    </row>
    <row r="51">
      <c r="A51" s="14">
        <v>9.0</v>
      </c>
      <c r="B51" s="15" t="s">
        <v>988</v>
      </c>
      <c r="C51" s="16">
        <v>2023.0</v>
      </c>
      <c r="D51" s="16">
        <v>34.0</v>
      </c>
      <c r="E51" s="16">
        <v>13.0</v>
      </c>
      <c r="F51" s="16">
        <v>8.0</v>
      </c>
      <c r="G51" s="16">
        <v>13.0</v>
      </c>
      <c r="H51" s="16">
        <v>42.0</v>
      </c>
      <c r="I51" s="16">
        <v>47.0</v>
      </c>
      <c r="J51" s="16">
        <v>-5.0</v>
      </c>
      <c r="K51" s="16">
        <v>47.0</v>
      </c>
      <c r="L51" s="16">
        <v>1.38</v>
      </c>
      <c r="M51" s="16">
        <v>44.5</v>
      </c>
      <c r="N51" s="16">
        <v>46.4</v>
      </c>
      <c r="O51" s="16">
        <v>-1.9</v>
      </c>
      <c r="P51" s="16">
        <v>-0.06</v>
      </c>
      <c r="Q51" s="18">
        <v>15716.0</v>
      </c>
      <c r="R51" s="19" t="s">
        <v>989</v>
      </c>
      <c r="S51" s="19" t="s">
        <v>990</v>
      </c>
      <c r="T51" s="21"/>
    </row>
    <row r="52">
      <c r="A52" s="14">
        <v>10.0</v>
      </c>
      <c r="B52" s="15" t="s">
        <v>991</v>
      </c>
      <c r="C52" s="16">
        <v>2023.0</v>
      </c>
      <c r="D52" s="16">
        <v>34.0</v>
      </c>
      <c r="E52" s="16">
        <v>12.0</v>
      </c>
      <c r="F52" s="16">
        <v>10.0</v>
      </c>
      <c r="G52" s="16">
        <v>12.0</v>
      </c>
      <c r="H52" s="16">
        <v>53.0</v>
      </c>
      <c r="I52" s="16">
        <v>46.0</v>
      </c>
      <c r="J52" s="17">
        <f>+7</f>
        <v>7</v>
      </c>
      <c r="K52" s="16">
        <v>46.0</v>
      </c>
      <c r="L52" s="16">
        <v>1.35</v>
      </c>
      <c r="M52" s="16">
        <v>53.1</v>
      </c>
      <c r="N52" s="16">
        <v>41.2</v>
      </c>
      <c r="O52" s="17">
        <f>+11.8</f>
        <v>11.8</v>
      </c>
      <c r="P52" s="17">
        <f>+0.35</f>
        <v>0.35</v>
      </c>
      <c r="Q52" s="18">
        <v>27663.0</v>
      </c>
      <c r="R52" s="19" t="s">
        <v>992</v>
      </c>
      <c r="S52" s="19" t="s">
        <v>993</v>
      </c>
      <c r="T52" s="21"/>
    </row>
    <row r="53">
      <c r="A53" s="14">
        <v>11.0</v>
      </c>
      <c r="B53" s="15" t="s">
        <v>994</v>
      </c>
      <c r="C53" s="16">
        <v>2023.0</v>
      </c>
      <c r="D53" s="16">
        <v>34.0</v>
      </c>
      <c r="E53" s="16">
        <v>11.0</v>
      </c>
      <c r="F53" s="16">
        <v>10.0</v>
      </c>
      <c r="G53" s="16">
        <v>13.0</v>
      </c>
      <c r="H53" s="16">
        <v>42.0</v>
      </c>
      <c r="I53" s="16">
        <v>46.0</v>
      </c>
      <c r="J53" s="16">
        <v>-4.0</v>
      </c>
      <c r="K53" s="16">
        <v>43.0</v>
      </c>
      <c r="L53" s="16">
        <v>1.26</v>
      </c>
      <c r="M53" s="16">
        <v>40.3</v>
      </c>
      <c r="N53" s="16">
        <v>48.1</v>
      </c>
      <c r="O53" s="16">
        <v>-7.8</v>
      </c>
      <c r="P53" s="16">
        <v>-0.23</v>
      </c>
      <c r="Q53" s="18">
        <v>25806.0</v>
      </c>
      <c r="R53" s="19" t="s">
        <v>995</v>
      </c>
      <c r="S53" s="19" t="s">
        <v>996</v>
      </c>
      <c r="T53" s="21"/>
    </row>
    <row r="54">
      <c r="A54" s="14">
        <v>12.0</v>
      </c>
      <c r="B54" s="15" t="s">
        <v>997</v>
      </c>
      <c r="C54" s="16">
        <v>2023.0</v>
      </c>
      <c r="D54" s="16">
        <v>34.0</v>
      </c>
      <c r="E54" s="16">
        <v>10.0</v>
      </c>
      <c r="F54" s="16">
        <v>12.0</v>
      </c>
      <c r="G54" s="16">
        <v>12.0</v>
      </c>
      <c r="H54" s="16">
        <v>43.0</v>
      </c>
      <c r="I54" s="16">
        <v>48.0</v>
      </c>
      <c r="J54" s="16">
        <v>-5.0</v>
      </c>
      <c r="K54" s="16">
        <v>41.0</v>
      </c>
      <c r="L54" s="16">
        <v>1.21</v>
      </c>
      <c r="M54" s="16">
        <v>46.0</v>
      </c>
      <c r="N54" s="16">
        <v>50.9</v>
      </c>
      <c r="O54" s="16">
        <v>-4.8</v>
      </c>
      <c r="P54" s="16">
        <v>-0.14</v>
      </c>
      <c r="Q54" s="18">
        <v>13901.0</v>
      </c>
      <c r="R54" s="19" t="s">
        <v>998</v>
      </c>
      <c r="S54" s="19" t="s">
        <v>999</v>
      </c>
      <c r="T54" s="20" t="s">
        <v>945</v>
      </c>
    </row>
    <row r="55">
      <c r="A55" s="14">
        <v>13.0</v>
      </c>
      <c r="B55" s="15" t="s">
        <v>1000</v>
      </c>
      <c r="C55" s="16">
        <v>2023.0</v>
      </c>
      <c r="D55" s="16">
        <v>34.0</v>
      </c>
      <c r="E55" s="16">
        <v>10.0</v>
      </c>
      <c r="F55" s="16">
        <v>9.0</v>
      </c>
      <c r="G55" s="16">
        <v>15.0</v>
      </c>
      <c r="H55" s="16">
        <v>38.0</v>
      </c>
      <c r="I55" s="16">
        <v>50.0</v>
      </c>
      <c r="J55" s="16">
        <v>-12.0</v>
      </c>
      <c r="K55" s="16">
        <v>39.0</v>
      </c>
      <c r="L55" s="16">
        <v>1.15</v>
      </c>
      <c r="M55" s="16">
        <v>41.9</v>
      </c>
      <c r="N55" s="16">
        <v>45.5</v>
      </c>
      <c r="O55" s="16">
        <v>-3.5</v>
      </c>
      <c r="P55" s="16">
        <v>-0.1</v>
      </c>
      <c r="Q55" s="18">
        <v>25334.0</v>
      </c>
      <c r="R55" s="19" t="s">
        <v>1001</v>
      </c>
      <c r="S55" s="19" t="s">
        <v>1002</v>
      </c>
      <c r="T55" s="21"/>
    </row>
    <row r="56">
      <c r="A56" s="14">
        <v>14.0</v>
      </c>
      <c r="B56" s="15" t="s">
        <v>1003</v>
      </c>
      <c r="C56" s="16">
        <v>2023.0</v>
      </c>
      <c r="D56" s="16">
        <v>34.0</v>
      </c>
      <c r="E56" s="16">
        <v>9.0</v>
      </c>
      <c r="F56" s="16">
        <v>6.0</v>
      </c>
      <c r="G56" s="16">
        <v>19.0</v>
      </c>
      <c r="H56" s="16">
        <v>30.0</v>
      </c>
      <c r="I56" s="16">
        <v>55.0</v>
      </c>
      <c r="J56" s="16">
        <v>-25.0</v>
      </c>
      <c r="K56" s="16">
        <v>33.0</v>
      </c>
      <c r="L56" s="16">
        <v>0.97</v>
      </c>
      <c r="M56" s="16">
        <v>37.6</v>
      </c>
      <c r="N56" s="16">
        <v>53.0</v>
      </c>
      <c r="O56" s="16">
        <v>-15.5</v>
      </c>
      <c r="P56" s="16">
        <v>-0.45</v>
      </c>
      <c r="Q56" s="18">
        <v>27555.0</v>
      </c>
      <c r="R56" s="19" t="s">
        <v>1004</v>
      </c>
      <c r="S56" s="19" t="s">
        <v>1005</v>
      </c>
      <c r="T56" s="21"/>
    </row>
    <row r="57">
      <c r="A57" s="14">
        <v>15.0</v>
      </c>
      <c r="B57" s="15" t="s">
        <v>1006</v>
      </c>
      <c r="C57" s="16">
        <v>2023.0</v>
      </c>
      <c r="D57" s="16">
        <v>34.0</v>
      </c>
      <c r="E57" s="16">
        <v>7.0</v>
      </c>
      <c r="F57" s="16">
        <v>11.0</v>
      </c>
      <c r="G57" s="16">
        <v>16.0</v>
      </c>
      <c r="H57" s="16">
        <v>34.0</v>
      </c>
      <c r="I57" s="16">
        <v>45.0</v>
      </c>
      <c r="J57" s="16">
        <v>-11.0</v>
      </c>
      <c r="K57" s="16">
        <v>32.0</v>
      </c>
      <c r="L57" s="16">
        <v>0.94</v>
      </c>
      <c r="M57" s="16">
        <v>37.3</v>
      </c>
      <c r="N57" s="16">
        <v>50.6</v>
      </c>
      <c r="O57" s="16">
        <v>-13.3</v>
      </c>
      <c r="P57" s="16">
        <v>-0.39</v>
      </c>
      <c r="Q57" s="18">
        <v>31383.0</v>
      </c>
      <c r="R57" s="19" t="s">
        <v>1007</v>
      </c>
      <c r="S57" s="19" t="s">
        <v>1008</v>
      </c>
      <c r="T57" s="21"/>
    </row>
    <row r="58">
      <c r="A58" s="22">
        <v>16.0</v>
      </c>
      <c r="B58" s="15" t="s">
        <v>1009</v>
      </c>
      <c r="C58" s="16">
        <v>2023.0</v>
      </c>
      <c r="D58" s="16">
        <v>34.0</v>
      </c>
      <c r="E58" s="16">
        <v>8.0</v>
      </c>
      <c r="F58" s="16">
        <v>5.0</v>
      </c>
      <c r="G58" s="16">
        <v>21.0</v>
      </c>
      <c r="H58" s="16">
        <v>35.0</v>
      </c>
      <c r="I58" s="16">
        <v>58.0</v>
      </c>
      <c r="J58" s="16">
        <v>-23.0</v>
      </c>
      <c r="K58" s="16">
        <v>29.0</v>
      </c>
      <c r="L58" s="16">
        <v>0.85</v>
      </c>
      <c r="M58" s="16">
        <v>34.2</v>
      </c>
      <c r="N58" s="16">
        <v>54.5</v>
      </c>
      <c r="O58" s="16">
        <v>-20.3</v>
      </c>
      <c r="P58" s="16">
        <v>-0.6</v>
      </c>
      <c r="Q58" s="18">
        <v>23838.0</v>
      </c>
      <c r="R58" s="19" t="s">
        <v>1010</v>
      </c>
      <c r="S58" s="19" t="s">
        <v>1011</v>
      </c>
      <c r="T58" s="20" t="s">
        <v>901</v>
      </c>
    </row>
    <row r="59">
      <c r="A59" s="22">
        <v>17.0</v>
      </c>
      <c r="B59" s="15" t="s">
        <v>1012</v>
      </c>
      <c r="C59" s="16">
        <v>2023.0</v>
      </c>
      <c r="D59" s="16">
        <v>34.0</v>
      </c>
      <c r="E59" s="16">
        <v>7.0</v>
      </c>
      <c r="F59" s="16">
        <v>8.0</v>
      </c>
      <c r="G59" s="16">
        <v>19.0</v>
      </c>
      <c r="H59" s="16">
        <v>43.0</v>
      </c>
      <c r="I59" s="16">
        <v>66.0</v>
      </c>
      <c r="J59" s="16">
        <v>-23.0</v>
      </c>
      <c r="K59" s="16">
        <v>29.0</v>
      </c>
      <c r="L59" s="16">
        <v>0.85</v>
      </c>
      <c r="M59" s="16">
        <v>37.1</v>
      </c>
      <c r="N59" s="16">
        <v>54.5</v>
      </c>
      <c r="O59" s="16">
        <v>-17.3</v>
      </c>
      <c r="P59" s="16">
        <v>-0.51</v>
      </c>
      <c r="Q59" s="18">
        <v>15676.0</v>
      </c>
      <c r="R59" s="19" t="s">
        <v>1013</v>
      </c>
      <c r="S59" s="19" t="s">
        <v>1014</v>
      </c>
      <c r="T59" s="20" t="s">
        <v>905</v>
      </c>
    </row>
    <row r="60">
      <c r="A60" s="23">
        <v>18.0</v>
      </c>
      <c r="B60" s="24" t="s">
        <v>1015</v>
      </c>
      <c r="C60" s="16">
        <v>2023.0</v>
      </c>
      <c r="D60" s="25">
        <v>34.0</v>
      </c>
      <c r="E60" s="25">
        <v>5.0</v>
      </c>
      <c r="F60" s="25">
        <v>10.0</v>
      </c>
      <c r="G60" s="25">
        <v>19.0</v>
      </c>
      <c r="H60" s="25">
        <v>26.0</v>
      </c>
      <c r="I60" s="25">
        <v>60.0</v>
      </c>
      <c r="J60" s="25">
        <v>-34.0</v>
      </c>
      <c r="K60" s="25">
        <v>25.0</v>
      </c>
      <c r="L60" s="25">
        <v>0.74</v>
      </c>
      <c r="M60" s="25">
        <v>36.0</v>
      </c>
      <c r="N60" s="25">
        <v>63.7</v>
      </c>
      <c r="O60" s="25">
        <v>-27.6</v>
      </c>
      <c r="P60" s="25">
        <v>-0.81</v>
      </c>
      <c r="Q60" s="26">
        <v>9821.0</v>
      </c>
      <c r="R60" s="27" t="s">
        <v>1016</v>
      </c>
      <c r="S60" s="27" t="s">
        <v>1017</v>
      </c>
      <c r="T60" s="28" t="s">
        <v>905</v>
      </c>
    </row>
    <row r="61">
      <c r="A61" s="11">
        <v>2022.0</v>
      </c>
    </row>
    <row r="62">
      <c r="A62" s="12" t="s">
        <v>831</v>
      </c>
      <c r="B62" s="13" t="s">
        <v>832</v>
      </c>
      <c r="C62" s="13" t="s">
        <v>3</v>
      </c>
      <c r="D62" s="13" t="s">
        <v>833</v>
      </c>
      <c r="E62" s="13" t="s">
        <v>834</v>
      </c>
      <c r="F62" s="13" t="s">
        <v>835</v>
      </c>
      <c r="G62" s="13" t="s">
        <v>836</v>
      </c>
      <c r="H62" s="13" t="s">
        <v>837</v>
      </c>
      <c r="I62" s="13" t="s">
        <v>838</v>
      </c>
      <c r="J62" s="13" t="s">
        <v>839</v>
      </c>
      <c r="K62" s="13" t="s">
        <v>840</v>
      </c>
      <c r="L62" s="13" t="s">
        <v>841</v>
      </c>
      <c r="M62" s="13" t="s">
        <v>842</v>
      </c>
      <c r="N62" s="13" t="s">
        <v>843</v>
      </c>
      <c r="O62" s="13" t="s">
        <v>844</v>
      </c>
      <c r="P62" s="13" t="s">
        <v>845</v>
      </c>
      <c r="Q62" s="13" t="s">
        <v>846</v>
      </c>
      <c r="R62" s="13" t="s">
        <v>847</v>
      </c>
      <c r="S62" s="13" t="s">
        <v>848</v>
      </c>
      <c r="T62" s="13" t="s">
        <v>849</v>
      </c>
    </row>
    <row r="63">
      <c r="A63" s="14">
        <v>1.0</v>
      </c>
      <c r="B63" s="15" t="s">
        <v>1018</v>
      </c>
      <c r="C63" s="16">
        <v>2022.0</v>
      </c>
      <c r="D63" s="16">
        <v>38.0</v>
      </c>
      <c r="E63" s="16">
        <v>27.0</v>
      </c>
      <c r="F63" s="16">
        <v>4.0</v>
      </c>
      <c r="G63" s="16">
        <v>7.0</v>
      </c>
      <c r="H63" s="16">
        <v>89.0</v>
      </c>
      <c r="I63" s="16">
        <v>40.0</v>
      </c>
      <c r="J63" s="17">
        <f>+49</f>
        <v>49</v>
      </c>
      <c r="K63" s="16">
        <v>85.0</v>
      </c>
      <c r="L63" s="16">
        <v>2.24</v>
      </c>
      <c r="M63" s="16">
        <v>78.2</v>
      </c>
      <c r="N63" s="16">
        <v>48.3</v>
      </c>
      <c r="O63" s="17">
        <f>+29.9</f>
        <v>29.9</v>
      </c>
      <c r="P63" s="17">
        <f>+0.79</f>
        <v>0.79</v>
      </c>
      <c r="Q63" s="18">
        <v>46334.0</v>
      </c>
      <c r="R63" s="19" t="s">
        <v>1019</v>
      </c>
      <c r="S63" s="19" t="s">
        <v>1020</v>
      </c>
      <c r="T63" s="20" t="s">
        <v>853</v>
      </c>
    </row>
    <row r="64">
      <c r="A64" s="14">
        <v>2.0</v>
      </c>
      <c r="B64" s="15" t="s">
        <v>1021</v>
      </c>
      <c r="C64" s="16">
        <v>2022.0</v>
      </c>
      <c r="D64" s="16">
        <v>38.0</v>
      </c>
      <c r="E64" s="16">
        <v>25.0</v>
      </c>
      <c r="F64" s="16">
        <v>9.0</v>
      </c>
      <c r="G64" s="16">
        <v>4.0</v>
      </c>
      <c r="H64" s="16">
        <v>68.0</v>
      </c>
      <c r="I64" s="16">
        <v>29.0</v>
      </c>
      <c r="J64" s="17">
        <f>+39</f>
        <v>39</v>
      </c>
      <c r="K64" s="16">
        <v>84.0</v>
      </c>
      <c r="L64" s="16">
        <v>2.21</v>
      </c>
      <c r="M64" s="16">
        <v>66.7</v>
      </c>
      <c r="N64" s="16">
        <v>43.5</v>
      </c>
      <c r="O64" s="17">
        <f>+23.2</f>
        <v>23.2</v>
      </c>
      <c r="P64" s="17">
        <f>+0.61</f>
        <v>0.61</v>
      </c>
      <c r="Q64" s="18">
        <v>37652.0</v>
      </c>
      <c r="R64" s="19" t="s">
        <v>1022</v>
      </c>
      <c r="S64" s="19" t="s">
        <v>1023</v>
      </c>
      <c r="T64" s="20" t="s">
        <v>853</v>
      </c>
    </row>
    <row r="65">
      <c r="A65" s="14">
        <v>3.0</v>
      </c>
      <c r="B65" s="15" t="s">
        <v>1024</v>
      </c>
      <c r="C65" s="16">
        <v>2022.0</v>
      </c>
      <c r="D65" s="16">
        <v>38.0</v>
      </c>
      <c r="E65" s="16">
        <v>22.0</v>
      </c>
      <c r="F65" s="16">
        <v>7.0</v>
      </c>
      <c r="G65" s="16">
        <v>9.0</v>
      </c>
      <c r="H65" s="16">
        <v>67.0</v>
      </c>
      <c r="I65" s="16">
        <v>40.0</v>
      </c>
      <c r="J65" s="17">
        <f>+27</f>
        <v>27</v>
      </c>
      <c r="K65" s="16">
        <v>73.0</v>
      </c>
      <c r="L65" s="16">
        <v>1.92</v>
      </c>
      <c r="M65" s="16">
        <v>65.3</v>
      </c>
      <c r="N65" s="16">
        <v>42.5</v>
      </c>
      <c r="O65" s="17">
        <f>+22.8</f>
        <v>22.8</v>
      </c>
      <c r="P65" s="17">
        <f>+0.6</f>
        <v>0.6</v>
      </c>
      <c r="Q65" s="18">
        <v>62687.0</v>
      </c>
      <c r="R65" s="19" t="s">
        <v>1025</v>
      </c>
      <c r="S65" s="19" t="s">
        <v>1026</v>
      </c>
      <c r="T65" s="20" t="s">
        <v>853</v>
      </c>
    </row>
    <row r="66">
      <c r="A66" s="14">
        <v>4.0</v>
      </c>
      <c r="B66" s="15" t="s">
        <v>1027</v>
      </c>
      <c r="C66" s="16">
        <v>2022.0</v>
      </c>
      <c r="D66" s="16">
        <v>38.0</v>
      </c>
      <c r="E66" s="16">
        <v>21.0</v>
      </c>
      <c r="F66" s="16">
        <v>5.0</v>
      </c>
      <c r="G66" s="16">
        <v>12.0</v>
      </c>
      <c r="H66" s="16">
        <v>69.0</v>
      </c>
      <c r="I66" s="16">
        <v>39.0</v>
      </c>
      <c r="J66" s="17">
        <f>+30</f>
        <v>30</v>
      </c>
      <c r="K66" s="16">
        <v>68.0</v>
      </c>
      <c r="L66" s="16">
        <v>1.79</v>
      </c>
      <c r="M66" s="16">
        <v>61.4</v>
      </c>
      <c r="N66" s="16">
        <v>44.1</v>
      </c>
      <c r="O66" s="17">
        <f>+17.3</f>
        <v>17.3</v>
      </c>
      <c r="P66" s="17">
        <f>+0.45</f>
        <v>0.45</v>
      </c>
      <c r="Q66" s="18">
        <v>27722.0</v>
      </c>
      <c r="R66" s="19" t="s">
        <v>1028</v>
      </c>
      <c r="S66" s="19" t="s">
        <v>1029</v>
      </c>
      <c r="T66" s="20" t="s">
        <v>866</v>
      </c>
    </row>
    <row r="67">
      <c r="A67" s="14">
        <v>5.0</v>
      </c>
      <c r="B67" s="15" t="s">
        <v>1030</v>
      </c>
      <c r="C67" s="16">
        <v>2022.0</v>
      </c>
      <c r="D67" s="16">
        <v>38.0</v>
      </c>
      <c r="E67" s="16">
        <v>19.0</v>
      </c>
      <c r="F67" s="16">
        <v>10.0</v>
      </c>
      <c r="G67" s="16">
        <v>9.0</v>
      </c>
      <c r="H67" s="16">
        <v>65.0</v>
      </c>
      <c r="I67" s="16">
        <v>44.0</v>
      </c>
      <c r="J67" s="17">
        <f>+21</f>
        <v>21</v>
      </c>
      <c r="K67" s="16">
        <v>67.0</v>
      </c>
      <c r="L67" s="16">
        <v>1.76</v>
      </c>
      <c r="M67" s="16">
        <v>68.7</v>
      </c>
      <c r="N67" s="16">
        <v>40.5</v>
      </c>
      <c r="O67" s="17">
        <f>+28.2</f>
        <v>28.2</v>
      </c>
      <c r="P67" s="17">
        <f>+0.74</f>
        <v>0.74</v>
      </c>
      <c r="Q67" s="18">
        <v>36148.0</v>
      </c>
      <c r="R67" s="19" t="s">
        <v>1031</v>
      </c>
      <c r="S67" s="19" t="s">
        <v>1032</v>
      </c>
      <c r="T67" s="20" t="s">
        <v>873</v>
      </c>
    </row>
    <row r="68">
      <c r="A68" s="14">
        <v>6.0</v>
      </c>
      <c r="B68" s="15" t="s">
        <v>1033</v>
      </c>
      <c r="C68" s="16">
        <v>2022.0</v>
      </c>
      <c r="D68" s="16">
        <v>38.0</v>
      </c>
      <c r="E68" s="16">
        <v>19.0</v>
      </c>
      <c r="F68" s="16">
        <v>8.0</v>
      </c>
      <c r="G68" s="16">
        <v>11.0</v>
      </c>
      <c r="H68" s="16">
        <v>70.0</v>
      </c>
      <c r="I68" s="16">
        <v>58.0</v>
      </c>
      <c r="J68" s="17">
        <f>+12</f>
        <v>12</v>
      </c>
      <c r="K68" s="16">
        <v>65.0</v>
      </c>
      <c r="L68" s="16">
        <v>1.71</v>
      </c>
      <c r="M68" s="16">
        <v>62.1</v>
      </c>
      <c r="N68" s="16">
        <v>53.2</v>
      </c>
      <c r="O68" s="17">
        <f>+8.9</f>
        <v>8.9</v>
      </c>
      <c r="P68" s="17">
        <f>+0.23</f>
        <v>0.23</v>
      </c>
      <c r="Q68" s="18">
        <v>7095.0</v>
      </c>
      <c r="R68" s="19" t="s">
        <v>1034</v>
      </c>
      <c r="S68" s="19" t="s">
        <v>1035</v>
      </c>
      <c r="T68" s="21"/>
    </row>
    <row r="69">
      <c r="A69" s="14">
        <v>7.0</v>
      </c>
      <c r="B69" s="15" t="s">
        <v>1036</v>
      </c>
      <c r="C69" s="16">
        <v>2022.0</v>
      </c>
      <c r="D69" s="16">
        <v>38.0</v>
      </c>
      <c r="E69" s="16">
        <v>18.0</v>
      </c>
      <c r="F69" s="16">
        <v>8.0</v>
      </c>
      <c r="G69" s="16">
        <v>12.0</v>
      </c>
      <c r="H69" s="16">
        <v>65.0</v>
      </c>
      <c r="I69" s="16">
        <v>47.0</v>
      </c>
      <c r="J69" s="17">
        <f>+18</f>
        <v>18</v>
      </c>
      <c r="K69" s="16">
        <v>62.0</v>
      </c>
      <c r="L69" s="16">
        <v>1.63</v>
      </c>
      <c r="M69" s="16">
        <v>61.1</v>
      </c>
      <c r="N69" s="16">
        <v>51.6</v>
      </c>
      <c r="O69" s="17">
        <f>+9.5</f>
        <v>9.5</v>
      </c>
      <c r="P69" s="17">
        <f>+0.25</f>
        <v>0.25</v>
      </c>
      <c r="Q69" s="18">
        <v>46058.0</v>
      </c>
      <c r="R69" s="19" t="s">
        <v>1037</v>
      </c>
      <c r="S69" s="19" t="s">
        <v>1038</v>
      </c>
      <c r="T69" s="21"/>
    </row>
    <row r="70">
      <c r="A70" s="14">
        <v>8.0</v>
      </c>
      <c r="B70" s="15" t="s">
        <v>1039</v>
      </c>
      <c r="C70" s="16">
        <v>2022.0</v>
      </c>
      <c r="D70" s="16">
        <v>38.0</v>
      </c>
      <c r="E70" s="16">
        <v>17.0</v>
      </c>
      <c r="F70" s="16">
        <v>8.0</v>
      </c>
      <c r="G70" s="16">
        <v>13.0</v>
      </c>
      <c r="H70" s="16">
        <v>45.0</v>
      </c>
      <c r="I70" s="16">
        <v>49.0</v>
      </c>
      <c r="J70" s="16">
        <v>-4.0</v>
      </c>
      <c r="K70" s="16">
        <v>59.0</v>
      </c>
      <c r="L70" s="16">
        <v>1.55</v>
      </c>
      <c r="M70" s="16">
        <v>47.5</v>
      </c>
      <c r="N70" s="16">
        <v>58.2</v>
      </c>
      <c r="O70" s="16">
        <v>-10.7</v>
      </c>
      <c r="P70" s="16">
        <v>-0.28</v>
      </c>
      <c r="Q70" s="18">
        <v>11270.0</v>
      </c>
      <c r="R70" s="19" t="s">
        <v>1040</v>
      </c>
      <c r="S70" s="19" t="s">
        <v>1041</v>
      </c>
      <c r="T70" s="21"/>
    </row>
    <row r="71">
      <c r="A71" s="14">
        <v>9.0</v>
      </c>
      <c r="B71" s="15" t="s">
        <v>1042</v>
      </c>
      <c r="C71" s="16">
        <v>2022.0</v>
      </c>
      <c r="D71" s="16">
        <v>38.0</v>
      </c>
      <c r="E71" s="16">
        <v>15.0</v>
      </c>
      <c r="F71" s="16">
        <v>13.0</v>
      </c>
      <c r="G71" s="16">
        <v>10.0</v>
      </c>
      <c r="H71" s="16">
        <v>48.0</v>
      </c>
      <c r="I71" s="16">
        <v>37.0</v>
      </c>
      <c r="J71" s="17">
        <f>+11</f>
        <v>11</v>
      </c>
      <c r="K71" s="16">
        <v>58.0</v>
      </c>
      <c r="L71" s="16">
        <v>1.53</v>
      </c>
      <c r="M71" s="16">
        <v>57.2</v>
      </c>
      <c r="N71" s="16">
        <v>44.6</v>
      </c>
      <c r="O71" s="17">
        <f>+12.6</f>
        <v>12.6</v>
      </c>
      <c r="P71" s="17">
        <f>+0.33</f>
        <v>0.33</v>
      </c>
      <c r="Q71" s="18">
        <v>22286.0</v>
      </c>
      <c r="R71" s="19" t="s">
        <v>1043</v>
      </c>
      <c r="S71" s="19" t="s">
        <v>1044</v>
      </c>
      <c r="T71" s="21"/>
    </row>
    <row r="72">
      <c r="A72" s="14">
        <v>10.0</v>
      </c>
      <c r="B72" s="15" t="s">
        <v>1045</v>
      </c>
      <c r="C72" s="16">
        <v>2022.0</v>
      </c>
      <c r="D72" s="16">
        <v>38.0</v>
      </c>
      <c r="E72" s="16">
        <v>15.0</v>
      </c>
      <c r="F72" s="16">
        <v>10.0</v>
      </c>
      <c r="G72" s="16">
        <v>13.0</v>
      </c>
      <c r="H72" s="16">
        <v>52.0</v>
      </c>
      <c r="I72" s="16">
        <v>53.0</v>
      </c>
      <c r="J72" s="16">
        <v>-1.0</v>
      </c>
      <c r="K72" s="16">
        <v>55.0</v>
      </c>
      <c r="L72" s="16">
        <v>1.45</v>
      </c>
      <c r="M72" s="16">
        <v>44.5</v>
      </c>
      <c r="N72" s="16">
        <v>58.2</v>
      </c>
      <c r="O72" s="16">
        <v>-13.6</v>
      </c>
      <c r="P72" s="16">
        <v>-0.36</v>
      </c>
      <c r="Q72" s="18">
        <v>14992.0</v>
      </c>
      <c r="R72" s="19" t="s">
        <v>1046</v>
      </c>
      <c r="S72" s="19" t="s">
        <v>1047</v>
      </c>
      <c r="T72" s="21"/>
    </row>
    <row r="73">
      <c r="A73" s="14">
        <v>11.0</v>
      </c>
      <c r="B73" s="15" t="s">
        <v>1048</v>
      </c>
      <c r="C73" s="16">
        <v>2022.0</v>
      </c>
      <c r="D73" s="16">
        <v>38.0</v>
      </c>
      <c r="E73" s="16">
        <v>12.0</v>
      </c>
      <c r="F73" s="16">
        <v>15.0</v>
      </c>
      <c r="G73" s="16">
        <v>11.0</v>
      </c>
      <c r="H73" s="16">
        <v>45.0</v>
      </c>
      <c r="I73" s="16">
        <v>45.0</v>
      </c>
      <c r="J73" s="16">
        <v>0.0</v>
      </c>
      <c r="K73" s="16">
        <v>51.0</v>
      </c>
      <c r="L73" s="16">
        <v>1.34</v>
      </c>
      <c r="M73" s="16">
        <v>61.5</v>
      </c>
      <c r="N73" s="16">
        <v>52.7</v>
      </c>
      <c r="O73" s="17">
        <f>+8.9</f>
        <v>8.9</v>
      </c>
      <c r="P73" s="17">
        <f>+0.23</f>
        <v>0.23</v>
      </c>
      <c r="Q73" s="18">
        <v>13290.0</v>
      </c>
      <c r="R73" s="19" t="s">
        <v>1049</v>
      </c>
      <c r="S73" s="19" t="s">
        <v>1050</v>
      </c>
      <c r="T73" s="21"/>
    </row>
    <row r="74">
      <c r="A74" s="14">
        <v>12.0</v>
      </c>
      <c r="B74" s="15" t="s">
        <v>1051</v>
      </c>
      <c r="C74" s="16">
        <v>2022.0</v>
      </c>
      <c r="D74" s="16">
        <v>38.0</v>
      </c>
      <c r="E74" s="16">
        <v>15.0</v>
      </c>
      <c r="F74" s="16">
        <v>5.0</v>
      </c>
      <c r="G74" s="16">
        <v>18.0</v>
      </c>
      <c r="H74" s="16">
        <v>65.0</v>
      </c>
      <c r="I74" s="16">
        <v>62.0</v>
      </c>
      <c r="J74" s="17">
        <f>+3</f>
        <v>3</v>
      </c>
      <c r="K74" s="16">
        <v>50.0</v>
      </c>
      <c r="L74" s="16">
        <v>1.32</v>
      </c>
      <c r="M74" s="16">
        <v>52.2</v>
      </c>
      <c r="N74" s="16">
        <v>62.2</v>
      </c>
      <c r="O74" s="16">
        <v>-10.0</v>
      </c>
      <c r="P74" s="16">
        <v>-0.26</v>
      </c>
      <c r="Q74" s="18">
        <v>13804.0</v>
      </c>
      <c r="R74" s="19" t="s">
        <v>1052</v>
      </c>
      <c r="S74" s="19" t="s">
        <v>1053</v>
      </c>
      <c r="T74" s="21"/>
    </row>
    <row r="75">
      <c r="A75" s="14">
        <v>13.0</v>
      </c>
      <c r="B75" s="15" t="s">
        <v>1054</v>
      </c>
      <c r="C75" s="16">
        <v>2022.0</v>
      </c>
      <c r="D75" s="16">
        <v>38.0</v>
      </c>
      <c r="E75" s="16">
        <v>13.0</v>
      </c>
      <c r="F75" s="16">
        <v>9.0</v>
      </c>
      <c r="G75" s="16">
        <v>16.0</v>
      </c>
      <c r="H75" s="16">
        <v>51.0</v>
      </c>
      <c r="I75" s="16">
        <v>57.0</v>
      </c>
      <c r="J75" s="16">
        <v>-6.0</v>
      </c>
      <c r="K75" s="16">
        <v>48.0</v>
      </c>
      <c r="L75" s="16">
        <v>1.26</v>
      </c>
      <c r="M75" s="16">
        <v>52.5</v>
      </c>
      <c r="N75" s="16">
        <v>57.0</v>
      </c>
      <c r="O75" s="16">
        <v>-4.5</v>
      </c>
      <c r="P75" s="16">
        <v>-0.12</v>
      </c>
      <c r="Q75" s="18">
        <v>23966.0</v>
      </c>
      <c r="R75" s="19" t="s">
        <v>1055</v>
      </c>
      <c r="S75" s="19" t="s">
        <v>1056</v>
      </c>
      <c r="T75" s="20" t="s">
        <v>1057</v>
      </c>
    </row>
    <row r="76">
      <c r="A76" s="14">
        <v>14.0</v>
      </c>
      <c r="B76" s="15" t="s">
        <v>1058</v>
      </c>
      <c r="C76" s="16">
        <v>2022.0</v>
      </c>
      <c r="D76" s="16">
        <v>38.0</v>
      </c>
      <c r="E76" s="16">
        <v>11.0</v>
      </c>
      <c r="F76" s="16">
        <v>11.0</v>
      </c>
      <c r="G76" s="16">
        <v>16.0</v>
      </c>
      <c r="H76" s="16">
        <v>44.0</v>
      </c>
      <c r="I76" s="16">
        <v>54.0</v>
      </c>
      <c r="J76" s="16">
        <v>-10.0</v>
      </c>
      <c r="K76" s="16">
        <v>44.0</v>
      </c>
      <c r="L76" s="16">
        <v>1.16</v>
      </c>
      <c r="M76" s="16">
        <v>43.4</v>
      </c>
      <c r="N76" s="16">
        <v>56.1</v>
      </c>
      <c r="O76" s="16">
        <v>-12.7</v>
      </c>
      <c r="P76" s="16">
        <v>-0.33</v>
      </c>
      <c r="Q76" s="18">
        <v>12667.0</v>
      </c>
      <c r="R76" s="19" t="s">
        <v>1059</v>
      </c>
      <c r="S76" s="19" t="s">
        <v>1060</v>
      </c>
      <c r="T76" s="21"/>
    </row>
    <row r="77">
      <c r="A77" s="14">
        <v>15.0</v>
      </c>
      <c r="B77" s="15" t="s">
        <v>1061</v>
      </c>
      <c r="C77" s="16">
        <v>2022.0</v>
      </c>
      <c r="D77" s="16">
        <v>38.0</v>
      </c>
      <c r="E77" s="16">
        <v>9.0</v>
      </c>
      <c r="F77" s="16">
        <v>13.0</v>
      </c>
      <c r="G77" s="16">
        <v>16.0</v>
      </c>
      <c r="H77" s="16">
        <v>51.0</v>
      </c>
      <c r="I77" s="16">
        <v>59.0</v>
      </c>
      <c r="J77" s="16">
        <v>-8.0</v>
      </c>
      <c r="K77" s="16">
        <v>40.0</v>
      </c>
      <c r="L77" s="16">
        <v>1.05</v>
      </c>
      <c r="M77" s="16">
        <v>48.5</v>
      </c>
      <c r="N77" s="16">
        <v>55.3</v>
      </c>
      <c r="O77" s="16">
        <v>-6.7</v>
      </c>
      <c r="P77" s="16">
        <v>-0.18</v>
      </c>
      <c r="Q77" s="18">
        <v>25278.0</v>
      </c>
      <c r="R77" s="19" t="s">
        <v>1062</v>
      </c>
      <c r="S77" s="19" t="s">
        <v>1063</v>
      </c>
      <c r="T77" s="21"/>
    </row>
    <row r="78">
      <c r="A78" s="14">
        <v>16.0</v>
      </c>
      <c r="B78" s="15" t="s">
        <v>1064</v>
      </c>
      <c r="C78" s="16">
        <v>2022.0</v>
      </c>
      <c r="D78" s="16">
        <v>38.0</v>
      </c>
      <c r="E78" s="16">
        <v>7.0</v>
      </c>
      <c r="F78" s="16">
        <v>15.0</v>
      </c>
      <c r="G78" s="16">
        <v>16.0</v>
      </c>
      <c r="H78" s="16">
        <v>37.0</v>
      </c>
      <c r="I78" s="16">
        <v>55.0</v>
      </c>
      <c r="J78" s="16">
        <v>-18.0</v>
      </c>
      <c r="K78" s="16">
        <v>36.0</v>
      </c>
      <c r="L78" s="16">
        <v>0.95</v>
      </c>
      <c r="M78" s="16">
        <v>42.8</v>
      </c>
      <c r="N78" s="16">
        <v>52.4</v>
      </c>
      <c r="O78" s="16">
        <v>-9.7</v>
      </c>
      <c r="P78" s="16">
        <v>-0.25</v>
      </c>
      <c r="Q78" s="18">
        <v>30002.0</v>
      </c>
      <c r="R78" s="19" t="s">
        <v>1065</v>
      </c>
      <c r="S78" s="19" t="s">
        <v>1066</v>
      </c>
      <c r="T78" s="21"/>
    </row>
    <row r="79">
      <c r="A79" s="22">
        <v>17.0</v>
      </c>
      <c r="B79" s="15" t="s">
        <v>1067</v>
      </c>
      <c r="C79" s="16">
        <v>2022.0</v>
      </c>
      <c r="D79" s="16">
        <v>38.0</v>
      </c>
      <c r="E79" s="16">
        <v>8.0</v>
      </c>
      <c r="F79" s="16">
        <v>11.0</v>
      </c>
      <c r="G79" s="16">
        <v>19.0</v>
      </c>
      <c r="H79" s="16">
        <v>35.0</v>
      </c>
      <c r="I79" s="16">
        <v>63.0</v>
      </c>
      <c r="J79" s="16">
        <v>-28.0</v>
      </c>
      <c r="K79" s="16">
        <v>35.0</v>
      </c>
      <c r="L79" s="16">
        <v>0.92</v>
      </c>
      <c r="M79" s="16">
        <v>42.8</v>
      </c>
      <c r="N79" s="16">
        <v>58.7</v>
      </c>
      <c r="O79" s="16">
        <v>-15.9</v>
      </c>
      <c r="P79" s="16">
        <v>-0.42</v>
      </c>
      <c r="Q79" s="18">
        <v>15606.0</v>
      </c>
      <c r="R79" s="19" t="s">
        <v>1068</v>
      </c>
      <c r="S79" s="19" t="s">
        <v>1069</v>
      </c>
      <c r="T79" s="20" t="s">
        <v>905</v>
      </c>
    </row>
    <row r="80">
      <c r="A80" s="22">
        <v>18.0</v>
      </c>
      <c r="B80" s="15" t="s">
        <v>1070</v>
      </c>
      <c r="C80" s="16">
        <v>2022.0</v>
      </c>
      <c r="D80" s="16">
        <v>38.0</v>
      </c>
      <c r="E80" s="16">
        <v>7.0</v>
      </c>
      <c r="F80" s="16">
        <v>5.0</v>
      </c>
      <c r="G80" s="16">
        <v>26.0</v>
      </c>
      <c r="H80" s="16">
        <v>23.0</v>
      </c>
      <c r="I80" s="16">
        <v>74.0</v>
      </c>
      <c r="J80" s="16">
        <v>-51.0</v>
      </c>
      <c r="K80" s="16">
        <v>26.0</v>
      </c>
      <c r="L80" s="16">
        <v>0.68</v>
      </c>
      <c r="M80" s="16">
        <v>36.1</v>
      </c>
      <c r="N80" s="16">
        <v>53.9</v>
      </c>
      <c r="O80" s="16">
        <v>-17.8</v>
      </c>
      <c r="P80" s="16">
        <v>-0.47</v>
      </c>
      <c r="Q80" s="18">
        <v>7369.0</v>
      </c>
      <c r="R80" s="19" t="s">
        <v>1071</v>
      </c>
      <c r="S80" s="19" t="s">
        <v>1072</v>
      </c>
      <c r="T80" s="20" t="s">
        <v>905</v>
      </c>
    </row>
    <row r="81">
      <c r="A81" s="22">
        <v>19.0</v>
      </c>
      <c r="B81" s="15" t="s">
        <v>1073</v>
      </c>
      <c r="C81" s="16">
        <v>2022.0</v>
      </c>
      <c r="D81" s="16">
        <v>38.0</v>
      </c>
      <c r="E81" s="16">
        <v>4.0</v>
      </c>
      <c r="F81" s="16">
        <v>12.0</v>
      </c>
      <c r="G81" s="16">
        <v>22.0</v>
      </c>
      <c r="H81" s="16">
        <v>45.0</v>
      </c>
      <c r="I81" s="16">
        <v>81.0</v>
      </c>
      <c r="J81" s="16">
        <v>-36.0</v>
      </c>
      <c r="K81" s="16">
        <v>24.0</v>
      </c>
      <c r="L81" s="16">
        <v>0.63</v>
      </c>
      <c r="M81" s="16">
        <v>39.1</v>
      </c>
      <c r="N81" s="16">
        <v>78.0</v>
      </c>
      <c r="O81" s="16">
        <v>-38.9</v>
      </c>
      <c r="P81" s="16">
        <v>-1.02</v>
      </c>
      <c r="Q81" s="18">
        <v>10004.0</v>
      </c>
      <c r="R81" s="19" t="s">
        <v>1074</v>
      </c>
      <c r="S81" s="19" t="s">
        <v>1075</v>
      </c>
      <c r="T81" s="20" t="s">
        <v>905</v>
      </c>
    </row>
    <row r="82">
      <c r="A82" s="29">
        <v>20.0</v>
      </c>
      <c r="B82" s="24" t="s">
        <v>1076</v>
      </c>
      <c r="C82" s="16">
        <v>2022.0</v>
      </c>
      <c r="D82" s="30">
        <v>38.0</v>
      </c>
      <c r="E82" s="30">
        <v>4.0</v>
      </c>
      <c r="F82" s="30">
        <v>6.0</v>
      </c>
      <c r="G82" s="30">
        <v>28.0</v>
      </c>
      <c r="H82" s="30">
        <v>33.0</v>
      </c>
      <c r="I82" s="30">
        <v>81.0</v>
      </c>
      <c r="J82" s="30">
        <v>-48.0</v>
      </c>
      <c r="K82" s="30">
        <v>18.0</v>
      </c>
      <c r="L82" s="30">
        <v>0.47</v>
      </c>
      <c r="M82" s="30">
        <v>40.9</v>
      </c>
      <c r="N82" s="30">
        <v>61.7</v>
      </c>
      <c r="O82" s="30">
        <v>-20.8</v>
      </c>
      <c r="P82" s="30">
        <v>-0.55</v>
      </c>
      <c r="Q82" s="31">
        <v>9630.0</v>
      </c>
      <c r="R82" s="27" t="s">
        <v>1077</v>
      </c>
      <c r="S82" s="27" t="s">
        <v>1078</v>
      </c>
      <c r="T82" s="32" t="s">
        <v>905</v>
      </c>
    </row>
    <row r="83">
      <c r="A83" s="33">
        <v>2021.0</v>
      </c>
    </row>
    <row r="84">
      <c r="A84" s="12" t="s">
        <v>831</v>
      </c>
      <c r="B84" s="13" t="s">
        <v>832</v>
      </c>
      <c r="C84" s="13" t="s">
        <v>3</v>
      </c>
      <c r="D84" s="13" t="s">
        <v>833</v>
      </c>
      <c r="E84" s="13" t="s">
        <v>834</v>
      </c>
      <c r="F84" s="13" t="s">
        <v>835</v>
      </c>
      <c r="G84" s="13" t="s">
        <v>836</v>
      </c>
      <c r="H84" s="13" t="s">
        <v>837</v>
      </c>
      <c r="I84" s="13" t="s">
        <v>838</v>
      </c>
      <c r="J84" s="13" t="s">
        <v>839</v>
      </c>
      <c r="K84" s="13" t="s">
        <v>840</v>
      </c>
      <c r="L84" s="13" t="s">
        <v>841</v>
      </c>
      <c r="M84" s="13" t="s">
        <v>842</v>
      </c>
      <c r="N84" s="13" t="s">
        <v>843</v>
      </c>
      <c r="O84" s="13" t="s">
        <v>844</v>
      </c>
      <c r="P84" s="13" t="s">
        <v>845</v>
      </c>
      <c r="Q84" s="13" t="s">
        <v>846</v>
      </c>
      <c r="R84" s="13" t="s">
        <v>847</v>
      </c>
      <c r="S84" s="13" t="s">
        <v>848</v>
      </c>
      <c r="T84" s="13" t="s">
        <v>849</v>
      </c>
    </row>
    <row r="85">
      <c r="A85" s="14">
        <v>1.0</v>
      </c>
      <c r="B85" s="15" t="s">
        <v>1079</v>
      </c>
      <c r="C85" s="16">
        <v>2021.0</v>
      </c>
      <c r="D85" s="16">
        <v>38.0</v>
      </c>
      <c r="E85" s="16">
        <v>26.0</v>
      </c>
      <c r="F85" s="16">
        <v>8.0</v>
      </c>
      <c r="G85" s="16">
        <v>4.0</v>
      </c>
      <c r="H85" s="16">
        <v>90.0</v>
      </c>
      <c r="I85" s="16">
        <v>36.0</v>
      </c>
      <c r="J85" s="17">
        <f>+54</f>
        <v>54</v>
      </c>
      <c r="K85" s="16">
        <v>86.0</v>
      </c>
      <c r="L85" s="16">
        <v>2.26</v>
      </c>
      <c r="M85" s="16">
        <v>76.7</v>
      </c>
      <c r="N85" s="16">
        <v>39.8</v>
      </c>
      <c r="O85" s="17">
        <f>+36.9</f>
        <v>36.9</v>
      </c>
      <c r="P85" s="17">
        <f>+0.97</f>
        <v>0.97</v>
      </c>
      <c r="Q85" s="18">
        <v>41589.0</v>
      </c>
      <c r="R85" s="19" t="s">
        <v>1080</v>
      </c>
      <c r="S85" s="19" t="s">
        <v>1081</v>
      </c>
      <c r="T85" s="20" t="s">
        <v>853</v>
      </c>
    </row>
    <row r="86">
      <c r="A86" s="14">
        <v>2.0</v>
      </c>
      <c r="B86" s="15" t="s">
        <v>1082</v>
      </c>
      <c r="C86" s="16">
        <v>2021.0</v>
      </c>
      <c r="D86" s="16">
        <v>38.0</v>
      </c>
      <c r="E86" s="16">
        <v>21.0</v>
      </c>
      <c r="F86" s="16">
        <v>8.0</v>
      </c>
      <c r="G86" s="16">
        <v>9.0</v>
      </c>
      <c r="H86" s="16">
        <v>63.0</v>
      </c>
      <c r="I86" s="16">
        <v>38.0</v>
      </c>
      <c r="J86" s="17">
        <f t="shared" ref="J86:J87" si="1">+25</f>
        <v>25</v>
      </c>
      <c r="K86" s="16">
        <v>71.0</v>
      </c>
      <c r="L86" s="16">
        <v>1.87</v>
      </c>
      <c r="M86" s="16">
        <v>58.2</v>
      </c>
      <c r="N86" s="16">
        <v>39.0</v>
      </c>
      <c r="O86" s="17">
        <f>+19.2</f>
        <v>19.2</v>
      </c>
      <c r="P86" s="17">
        <f>+0.51</f>
        <v>0.51</v>
      </c>
      <c r="Q86" s="18">
        <v>51755.0</v>
      </c>
      <c r="R86" s="19" t="s">
        <v>1083</v>
      </c>
      <c r="S86" s="19" t="s">
        <v>1084</v>
      </c>
      <c r="T86" s="20" t="s">
        <v>853</v>
      </c>
    </row>
    <row r="87">
      <c r="A87" s="14">
        <v>3.0</v>
      </c>
      <c r="B87" s="15" t="s">
        <v>1085</v>
      </c>
      <c r="C87" s="16">
        <v>2021.0</v>
      </c>
      <c r="D87" s="16">
        <v>38.0</v>
      </c>
      <c r="E87" s="16">
        <v>20.0</v>
      </c>
      <c r="F87" s="16">
        <v>9.0</v>
      </c>
      <c r="G87" s="16">
        <v>9.0</v>
      </c>
      <c r="H87" s="16">
        <v>65.0</v>
      </c>
      <c r="I87" s="16">
        <v>40.0</v>
      </c>
      <c r="J87" s="17">
        <f t="shared" si="1"/>
        <v>25</v>
      </c>
      <c r="K87" s="16">
        <v>69.0</v>
      </c>
      <c r="L87" s="16">
        <v>1.82</v>
      </c>
      <c r="M87" s="16">
        <v>59.4</v>
      </c>
      <c r="N87" s="16">
        <v>40.3</v>
      </c>
      <c r="O87" s="17">
        <f>+19</f>
        <v>19</v>
      </c>
      <c r="P87" s="17">
        <f>+0.5</f>
        <v>0.5</v>
      </c>
      <c r="Q87" s="18">
        <v>5877.0</v>
      </c>
      <c r="R87" s="19" t="s">
        <v>1086</v>
      </c>
      <c r="S87" s="19" t="s">
        <v>1087</v>
      </c>
      <c r="T87" s="20" t="s">
        <v>853</v>
      </c>
    </row>
    <row r="88">
      <c r="A88" s="14">
        <v>4.0</v>
      </c>
      <c r="B88" s="15" t="s">
        <v>1088</v>
      </c>
      <c r="C88" s="16">
        <v>2021.0</v>
      </c>
      <c r="D88" s="16">
        <v>38.0</v>
      </c>
      <c r="E88" s="16">
        <v>20.0</v>
      </c>
      <c r="F88" s="16">
        <v>6.0</v>
      </c>
      <c r="G88" s="16">
        <v>12.0</v>
      </c>
      <c r="H88" s="16">
        <v>82.0</v>
      </c>
      <c r="I88" s="16">
        <v>40.0</v>
      </c>
      <c r="J88" s="17">
        <f>+42</f>
        <v>42</v>
      </c>
      <c r="K88" s="16">
        <v>66.0</v>
      </c>
      <c r="L88" s="16">
        <v>1.74</v>
      </c>
      <c r="M88" s="16">
        <v>62.8</v>
      </c>
      <c r="N88" s="16">
        <v>42.9</v>
      </c>
      <c r="O88" s="17">
        <f>+19.8</f>
        <v>19.8</v>
      </c>
      <c r="P88" s="17">
        <f>+0.52</f>
        <v>0.52</v>
      </c>
      <c r="Q88" s="18">
        <v>25493.0</v>
      </c>
      <c r="R88" s="19" t="s">
        <v>1089</v>
      </c>
      <c r="S88" s="19" t="s">
        <v>1090</v>
      </c>
      <c r="T88" s="20" t="s">
        <v>866</v>
      </c>
    </row>
    <row r="89">
      <c r="A89" s="14">
        <v>5.0</v>
      </c>
      <c r="B89" s="15" t="s">
        <v>1091</v>
      </c>
      <c r="C89" s="16">
        <v>2021.0</v>
      </c>
      <c r="D89" s="16">
        <v>38.0</v>
      </c>
      <c r="E89" s="16">
        <v>20.0</v>
      </c>
      <c r="F89" s="16">
        <v>7.0</v>
      </c>
      <c r="G89" s="16">
        <v>11.0</v>
      </c>
      <c r="H89" s="16">
        <v>52.0</v>
      </c>
      <c r="I89" s="16">
        <v>36.0</v>
      </c>
      <c r="J89" s="17">
        <f>+16</f>
        <v>16</v>
      </c>
      <c r="K89" s="16">
        <v>66.0</v>
      </c>
      <c r="L89" s="16">
        <v>1.74</v>
      </c>
      <c r="M89" s="16">
        <v>55.6</v>
      </c>
      <c r="N89" s="16">
        <v>42.5</v>
      </c>
      <c r="O89" s="17">
        <f>+13.1</f>
        <v>13.1</v>
      </c>
      <c r="P89" s="17">
        <f>+0.35</f>
        <v>0.35</v>
      </c>
      <c r="Q89" s="18">
        <v>16055.0</v>
      </c>
      <c r="R89" s="19" t="s">
        <v>1092</v>
      </c>
      <c r="S89" s="19" t="s">
        <v>1093</v>
      </c>
      <c r="T89" s="20" t="s">
        <v>1094</v>
      </c>
    </row>
    <row r="90">
      <c r="A90" s="14">
        <v>6.0</v>
      </c>
      <c r="B90" s="15" t="s">
        <v>1095</v>
      </c>
      <c r="C90" s="16">
        <v>2021.0</v>
      </c>
      <c r="D90" s="16">
        <v>38.0</v>
      </c>
      <c r="E90" s="16">
        <v>17.0</v>
      </c>
      <c r="F90" s="16">
        <v>12.0</v>
      </c>
      <c r="G90" s="16">
        <v>9.0</v>
      </c>
      <c r="H90" s="16">
        <v>60.0</v>
      </c>
      <c r="I90" s="16">
        <v>43.0</v>
      </c>
      <c r="J90" s="17">
        <f>+17</f>
        <v>17</v>
      </c>
      <c r="K90" s="16">
        <v>63.0</v>
      </c>
      <c r="L90" s="16">
        <v>1.66</v>
      </c>
      <c r="M90" s="16">
        <v>55.6</v>
      </c>
      <c r="N90" s="16">
        <v>43.5</v>
      </c>
      <c r="O90" s="17">
        <f>+12.1</f>
        <v>12.1</v>
      </c>
      <c r="P90" s="17">
        <f>+0.32</f>
        <v>0.32</v>
      </c>
      <c r="Q90" s="18">
        <v>23555.0</v>
      </c>
      <c r="R90" s="19" t="s">
        <v>1096</v>
      </c>
      <c r="S90" s="19" t="s">
        <v>1097</v>
      </c>
      <c r="T90" s="21"/>
    </row>
    <row r="91">
      <c r="A91" s="14">
        <v>7.0</v>
      </c>
      <c r="B91" s="15" t="s">
        <v>1098</v>
      </c>
      <c r="C91" s="16">
        <v>2021.0</v>
      </c>
      <c r="D91" s="16">
        <v>38.0</v>
      </c>
      <c r="E91" s="16">
        <v>17.0</v>
      </c>
      <c r="F91" s="16">
        <v>11.0</v>
      </c>
      <c r="G91" s="16">
        <v>10.0</v>
      </c>
      <c r="H91" s="16">
        <v>62.0</v>
      </c>
      <c r="I91" s="16">
        <v>48.0</v>
      </c>
      <c r="J91" s="17">
        <f>+14</f>
        <v>14</v>
      </c>
      <c r="K91" s="16">
        <v>62.0</v>
      </c>
      <c r="L91" s="16">
        <v>1.63</v>
      </c>
      <c r="M91" s="16">
        <v>50.2</v>
      </c>
      <c r="N91" s="16">
        <v>42.7</v>
      </c>
      <c r="O91" s="17">
        <f>+7.5</f>
        <v>7.5</v>
      </c>
      <c r="P91" s="17">
        <f>+0.2</f>
        <v>0.2</v>
      </c>
      <c r="Q91" s="18">
        <v>28950.0</v>
      </c>
      <c r="R91" s="19" t="s">
        <v>1099</v>
      </c>
      <c r="S91" s="19" t="s">
        <v>1100</v>
      </c>
      <c r="T91" s="21"/>
    </row>
    <row r="92">
      <c r="A92" s="14">
        <v>8.0</v>
      </c>
      <c r="B92" s="15" t="s">
        <v>1101</v>
      </c>
      <c r="C92" s="16">
        <v>2021.0</v>
      </c>
      <c r="D92" s="16">
        <v>38.0</v>
      </c>
      <c r="E92" s="16">
        <v>17.0</v>
      </c>
      <c r="F92" s="16">
        <v>11.0</v>
      </c>
      <c r="G92" s="16">
        <v>10.0</v>
      </c>
      <c r="H92" s="16">
        <v>66.0</v>
      </c>
      <c r="I92" s="16">
        <v>51.0</v>
      </c>
      <c r="J92" s="17">
        <f>+15</f>
        <v>15</v>
      </c>
      <c r="K92" s="16">
        <v>61.0</v>
      </c>
      <c r="L92" s="16">
        <v>1.61</v>
      </c>
      <c r="M92" s="16">
        <v>66.9</v>
      </c>
      <c r="N92" s="16">
        <v>54.6</v>
      </c>
      <c r="O92" s="17">
        <f>+12.4</f>
        <v>12.4</v>
      </c>
      <c r="P92" s="17">
        <f>+0.33</f>
        <v>0.33</v>
      </c>
      <c r="Q92" s="18">
        <v>32329.0</v>
      </c>
      <c r="R92" s="19" t="s">
        <v>1102</v>
      </c>
      <c r="S92" s="19" t="s">
        <v>1103</v>
      </c>
      <c r="T92" s="20" t="s">
        <v>1104</v>
      </c>
    </row>
    <row r="93">
      <c r="A93" s="14">
        <v>9.0</v>
      </c>
      <c r="B93" s="15" t="s">
        <v>1105</v>
      </c>
      <c r="C93" s="16">
        <v>2021.0</v>
      </c>
      <c r="D93" s="16">
        <v>38.0</v>
      </c>
      <c r="E93" s="16">
        <v>15.0</v>
      </c>
      <c r="F93" s="16">
        <v>10.0</v>
      </c>
      <c r="G93" s="16">
        <v>13.0</v>
      </c>
      <c r="H93" s="16">
        <v>55.0</v>
      </c>
      <c r="I93" s="16">
        <v>48.0</v>
      </c>
      <c r="J93" s="17">
        <f>+7</f>
        <v>7</v>
      </c>
      <c r="K93" s="16">
        <v>55.0</v>
      </c>
      <c r="L93" s="16">
        <v>1.45</v>
      </c>
      <c r="M93" s="16">
        <v>45.5</v>
      </c>
      <c r="N93" s="16">
        <v>52.7</v>
      </c>
      <c r="O93" s="16">
        <v>-7.2</v>
      </c>
      <c r="P93" s="16">
        <v>-0.19</v>
      </c>
      <c r="Q93" s="18">
        <v>20803.0</v>
      </c>
      <c r="R93" s="19" t="s">
        <v>1106</v>
      </c>
      <c r="S93" s="19" t="s">
        <v>1107</v>
      </c>
      <c r="T93" s="20" t="s">
        <v>1057</v>
      </c>
    </row>
    <row r="94">
      <c r="A94" s="14">
        <v>10.0</v>
      </c>
      <c r="B94" s="15" t="s">
        <v>1108</v>
      </c>
      <c r="C94" s="16">
        <v>2021.0</v>
      </c>
      <c r="D94" s="16">
        <v>38.0</v>
      </c>
      <c r="E94" s="16">
        <v>14.0</v>
      </c>
      <c r="F94" s="16">
        <v>13.0</v>
      </c>
      <c r="G94" s="16">
        <v>11.0</v>
      </c>
      <c r="H94" s="16">
        <v>48.0</v>
      </c>
      <c r="I94" s="16">
        <v>48.0</v>
      </c>
      <c r="J94" s="16">
        <v>0.0</v>
      </c>
      <c r="K94" s="16">
        <v>55.0</v>
      </c>
      <c r="L94" s="16">
        <v>1.45</v>
      </c>
      <c r="M94" s="16">
        <v>50.5</v>
      </c>
      <c r="N94" s="16">
        <v>39.9</v>
      </c>
      <c r="O94" s="17">
        <f>+10.6</f>
        <v>10.6</v>
      </c>
      <c r="P94" s="17">
        <f>+0.28</f>
        <v>0.28</v>
      </c>
      <c r="Q94" s="18">
        <v>34346.0</v>
      </c>
      <c r="R94" s="19" t="s">
        <v>1109</v>
      </c>
      <c r="S94" s="19" t="s">
        <v>1110</v>
      </c>
      <c r="T94" s="21"/>
    </row>
    <row r="95">
      <c r="A95" s="14">
        <v>11.0</v>
      </c>
      <c r="B95" s="15" t="s">
        <v>1111</v>
      </c>
      <c r="C95" s="16">
        <v>2021.0</v>
      </c>
      <c r="D95" s="16">
        <v>38.0</v>
      </c>
      <c r="E95" s="16">
        <v>13.0</v>
      </c>
      <c r="F95" s="16">
        <v>9.0</v>
      </c>
      <c r="G95" s="16">
        <v>16.0</v>
      </c>
      <c r="H95" s="16">
        <v>49.0</v>
      </c>
      <c r="I95" s="16">
        <v>57.0</v>
      </c>
      <c r="J95" s="16">
        <v>-8.0</v>
      </c>
      <c r="K95" s="16">
        <v>48.0</v>
      </c>
      <c r="L95" s="16">
        <v>1.26</v>
      </c>
      <c r="M95" s="16">
        <v>43.4</v>
      </c>
      <c r="N95" s="16">
        <v>56.3</v>
      </c>
      <c r="O95" s="16">
        <v>-12.8</v>
      </c>
      <c r="P95" s="16">
        <v>-0.34</v>
      </c>
      <c r="Q95" s="18">
        <v>11804.0</v>
      </c>
      <c r="R95" s="19" t="s">
        <v>1112</v>
      </c>
      <c r="S95" s="19" t="s">
        <v>1113</v>
      </c>
      <c r="T95" s="21"/>
    </row>
    <row r="96">
      <c r="A96" s="14">
        <v>12.0</v>
      </c>
      <c r="B96" s="15" t="s">
        <v>1114</v>
      </c>
      <c r="C96" s="16">
        <v>2021.0</v>
      </c>
      <c r="D96" s="16">
        <v>38.0</v>
      </c>
      <c r="E96" s="16">
        <v>11.0</v>
      </c>
      <c r="F96" s="16">
        <v>13.0</v>
      </c>
      <c r="G96" s="16">
        <v>14.0</v>
      </c>
      <c r="H96" s="16">
        <v>43.0</v>
      </c>
      <c r="I96" s="16">
        <v>44.0</v>
      </c>
      <c r="J96" s="16">
        <v>-1.0</v>
      </c>
      <c r="K96" s="16">
        <v>46.0</v>
      </c>
      <c r="L96" s="16">
        <v>1.21</v>
      </c>
      <c r="M96" s="16">
        <v>37.7</v>
      </c>
      <c r="N96" s="16">
        <v>46.4</v>
      </c>
      <c r="O96" s="16">
        <v>-8.7</v>
      </c>
      <c r="P96" s="16">
        <v>-0.23</v>
      </c>
      <c r="Q96" s="18">
        <v>11071.0</v>
      </c>
      <c r="R96" s="19" t="s">
        <v>1115</v>
      </c>
      <c r="S96" s="19" t="s">
        <v>1116</v>
      </c>
      <c r="T96" s="21"/>
    </row>
    <row r="97">
      <c r="A97" s="14">
        <v>13.0</v>
      </c>
      <c r="B97" s="15" t="s">
        <v>1117</v>
      </c>
      <c r="C97" s="16">
        <v>2021.0</v>
      </c>
      <c r="D97" s="16">
        <v>38.0</v>
      </c>
      <c r="E97" s="16">
        <v>12.0</v>
      </c>
      <c r="F97" s="16">
        <v>7.0</v>
      </c>
      <c r="G97" s="16">
        <v>19.0</v>
      </c>
      <c r="H97" s="16">
        <v>49.0</v>
      </c>
      <c r="I97" s="16">
        <v>61.0</v>
      </c>
      <c r="J97" s="16">
        <v>-12.0</v>
      </c>
      <c r="K97" s="16">
        <v>43.0</v>
      </c>
      <c r="L97" s="16">
        <v>1.13</v>
      </c>
      <c r="M97" s="16">
        <v>42.7</v>
      </c>
      <c r="N97" s="16">
        <v>57.1</v>
      </c>
      <c r="O97" s="16">
        <v>-14.4</v>
      </c>
      <c r="P97" s="16">
        <v>-0.38</v>
      </c>
      <c r="Q97" s="18">
        <v>10711.0</v>
      </c>
      <c r="R97" s="19" t="s">
        <v>1118</v>
      </c>
      <c r="S97" s="19" t="s">
        <v>1119</v>
      </c>
      <c r="T97" s="21"/>
    </row>
    <row r="98">
      <c r="A98" s="14">
        <v>14.0</v>
      </c>
      <c r="B98" s="15" t="s">
        <v>1120</v>
      </c>
      <c r="C98" s="16">
        <v>2021.0</v>
      </c>
      <c r="D98" s="16">
        <v>38.0</v>
      </c>
      <c r="E98" s="16">
        <v>10.0</v>
      </c>
      <c r="F98" s="16">
        <v>11.0</v>
      </c>
      <c r="G98" s="16">
        <v>17.0</v>
      </c>
      <c r="H98" s="16">
        <v>44.0</v>
      </c>
      <c r="I98" s="16">
        <v>55.0</v>
      </c>
      <c r="J98" s="16">
        <v>-11.0</v>
      </c>
      <c r="K98" s="16">
        <v>41.0</v>
      </c>
      <c r="L98" s="16">
        <v>1.08</v>
      </c>
      <c r="M98" s="16">
        <v>46.5</v>
      </c>
      <c r="N98" s="16">
        <v>50.0</v>
      </c>
      <c r="O98" s="16">
        <v>-3.6</v>
      </c>
      <c r="P98" s="16">
        <v>-0.09</v>
      </c>
      <c r="Q98" s="18">
        <v>7758.0</v>
      </c>
      <c r="R98" s="19" t="s">
        <v>1121</v>
      </c>
      <c r="S98" s="19" t="s">
        <v>1122</v>
      </c>
      <c r="T98" s="21"/>
    </row>
    <row r="99">
      <c r="A99" s="14">
        <v>15.0</v>
      </c>
      <c r="B99" s="15" t="s">
        <v>1123</v>
      </c>
      <c r="C99" s="16">
        <v>2021.0</v>
      </c>
      <c r="D99" s="16">
        <v>38.0</v>
      </c>
      <c r="E99" s="16">
        <v>9.0</v>
      </c>
      <c r="F99" s="16">
        <v>11.0</v>
      </c>
      <c r="G99" s="16">
        <v>18.0</v>
      </c>
      <c r="H99" s="16">
        <v>37.0</v>
      </c>
      <c r="I99" s="16">
        <v>53.0</v>
      </c>
      <c r="J99" s="16">
        <v>-16.0</v>
      </c>
      <c r="K99" s="16">
        <v>38.0</v>
      </c>
      <c r="L99" s="16">
        <v>1.0</v>
      </c>
      <c r="M99" s="16">
        <v>39.2</v>
      </c>
      <c r="N99" s="16">
        <v>50.8</v>
      </c>
      <c r="O99" s="16">
        <v>-11.5</v>
      </c>
      <c r="P99" s="16">
        <v>-0.3</v>
      </c>
      <c r="Q99" s="18">
        <v>9491.0</v>
      </c>
      <c r="R99" s="19" t="s">
        <v>1124</v>
      </c>
      <c r="S99" s="19" t="s">
        <v>1125</v>
      </c>
      <c r="T99" s="21"/>
    </row>
    <row r="100">
      <c r="A100" s="14">
        <v>16.0</v>
      </c>
      <c r="B100" s="15" t="s">
        <v>1126</v>
      </c>
      <c r="C100" s="16">
        <v>2021.0</v>
      </c>
      <c r="D100" s="16">
        <v>38.0</v>
      </c>
      <c r="E100" s="16">
        <v>8.0</v>
      </c>
      <c r="F100" s="16">
        <v>12.0</v>
      </c>
      <c r="G100" s="16">
        <v>18.0</v>
      </c>
      <c r="H100" s="16">
        <v>35.0</v>
      </c>
      <c r="I100" s="16">
        <v>63.0</v>
      </c>
      <c r="J100" s="16">
        <v>-28.0</v>
      </c>
      <c r="K100" s="16">
        <v>36.0</v>
      </c>
      <c r="L100" s="16">
        <v>0.95</v>
      </c>
      <c r="M100" s="16">
        <v>41.3</v>
      </c>
      <c r="N100" s="16">
        <v>50.5</v>
      </c>
      <c r="O100" s="16">
        <v>-9.2</v>
      </c>
      <c r="P100" s="16">
        <v>-0.24</v>
      </c>
      <c r="Q100" s="18">
        <v>12738.0</v>
      </c>
      <c r="R100" s="19" t="s">
        <v>1127</v>
      </c>
      <c r="S100" s="19" t="s">
        <v>1128</v>
      </c>
      <c r="T100" s="21"/>
    </row>
    <row r="101">
      <c r="A101" s="14">
        <v>17.0</v>
      </c>
      <c r="B101" s="15" t="s">
        <v>1129</v>
      </c>
      <c r="C101" s="16">
        <v>2021.0</v>
      </c>
      <c r="D101" s="16">
        <v>38.0</v>
      </c>
      <c r="E101" s="16">
        <v>9.0</v>
      </c>
      <c r="F101" s="16">
        <v>9.0</v>
      </c>
      <c r="G101" s="16">
        <v>20.0</v>
      </c>
      <c r="H101" s="16">
        <v>38.0</v>
      </c>
      <c r="I101" s="16">
        <v>69.0</v>
      </c>
      <c r="J101" s="16">
        <v>-31.0</v>
      </c>
      <c r="K101" s="16">
        <v>36.0</v>
      </c>
      <c r="L101" s="16">
        <v>0.95</v>
      </c>
      <c r="M101" s="16">
        <v>44.4</v>
      </c>
      <c r="N101" s="16">
        <v>52.4</v>
      </c>
      <c r="O101" s="16">
        <v>-8.0</v>
      </c>
      <c r="P101" s="16">
        <v>-0.21</v>
      </c>
      <c r="Q101" s="18">
        <v>10569.0</v>
      </c>
      <c r="R101" s="19" t="s">
        <v>1130</v>
      </c>
      <c r="S101" s="19" t="s">
        <v>1131</v>
      </c>
      <c r="T101" s="21"/>
    </row>
    <row r="102">
      <c r="A102" s="22">
        <v>18.0</v>
      </c>
      <c r="B102" s="15" t="s">
        <v>1132</v>
      </c>
      <c r="C102" s="16">
        <v>2021.0</v>
      </c>
      <c r="D102" s="16">
        <v>38.0</v>
      </c>
      <c r="E102" s="16">
        <v>7.0</v>
      </c>
      <c r="F102" s="16">
        <v>11.0</v>
      </c>
      <c r="G102" s="16">
        <v>20.0</v>
      </c>
      <c r="H102" s="16">
        <v>42.0</v>
      </c>
      <c r="I102" s="16">
        <v>77.0</v>
      </c>
      <c r="J102" s="16">
        <v>-35.0</v>
      </c>
      <c r="K102" s="16">
        <v>32.0</v>
      </c>
      <c r="L102" s="16">
        <v>0.84</v>
      </c>
      <c r="M102" s="16">
        <v>38.3</v>
      </c>
      <c r="N102" s="16">
        <v>58.3</v>
      </c>
      <c r="O102" s="16">
        <v>-20.0</v>
      </c>
      <c r="P102" s="16">
        <v>-0.53</v>
      </c>
      <c r="Q102" s="18">
        <v>21806.0</v>
      </c>
      <c r="R102" s="19" t="s">
        <v>1133</v>
      </c>
      <c r="S102" s="19" t="s">
        <v>1134</v>
      </c>
      <c r="T102" s="20" t="s">
        <v>901</v>
      </c>
    </row>
    <row r="103">
      <c r="A103" s="22">
        <v>19.0</v>
      </c>
      <c r="B103" s="15" t="s">
        <v>1135</v>
      </c>
      <c r="C103" s="16">
        <v>2021.0</v>
      </c>
      <c r="D103" s="16">
        <v>38.0</v>
      </c>
      <c r="E103" s="16">
        <v>6.0</v>
      </c>
      <c r="F103" s="16">
        <v>13.0</v>
      </c>
      <c r="G103" s="16">
        <v>19.0</v>
      </c>
      <c r="H103" s="16">
        <v>35.0</v>
      </c>
      <c r="I103" s="16">
        <v>69.0</v>
      </c>
      <c r="J103" s="16">
        <v>-34.0</v>
      </c>
      <c r="K103" s="16">
        <v>31.0</v>
      </c>
      <c r="L103" s="16">
        <v>0.82</v>
      </c>
      <c r="M103" s="16">
        <v>29.2</v>
      </c>
      <c r="N103" s="16">
        <v>62.5</v>
      </c>
      <c r="O103" s="16">
        <v>-33.4</v>
      </c>
      <c r="P103" s="16">
        <v>-0.88</v>
      </c>
      <c r="Q103" s="18">
        <v>14876.0</v>
      </c>
      <c r="R103" s="19" t="s">
        <v>1136</v>
      </c>
      <c r="S103" s="19" t="s">
        <v>1137</v>
      </c>
      <c r="T103" s="20" t="s">
        <v>905</v>
      </c>
    </row>
    <row r="104">
      <c r="A104" s="23">
        <v>20.0</v>
      </c>
      <c r="B104" s="24" t="s">
        <v>1138</v>
      </c>
      <c r="C104" s="16">
        <v>2021.0</v>
      </c>
      <c r="D104" s="25">
        <v>38.0</v>
      </c>
      <c r="E104" s="25">
        <v>6.0</v>
      </c>
      <c r="F104" s="25">
        <v>13.0</v>
      </c>
      <c r="G104" s="25">
        <v>19.0</v>
      </c>
      <c r="H104" s="25">
        <v>52.0</v>
      </c>
      <c r="I104" s="25">
        <v>91.0</v>
      </c>
      <c r="J104" s="25">
        <v>-39.0</v>
      </c>
      <c r="K104" s="25">
        <v>31.0</v>
      </c>
      <c r="L104" s="25">
        <v>0.82</v>
      </c>
      <c r="M104" s="25">
        <v>44.9</v>
      </c>
      <c r="N104" s="25">
        <v>66.8</v>
      </c>
      <c r="O104" s="25">
        <v>-21.9</v>
      </c>
      <c r="P104" s="25">
        <v>-0.58</v>
      </c>
      <c r="Q104" s="26">
        <v>22141.0</v>
      </c>
      <c r="R104" s="27" t="s">
        <v>1139</v>
      </c>
      <c r="S104" s="27" t="s">
        <v>1140</v>
      </c>
      <c r="T104" s="28" t="s">
        <v>1141</v>
      </c>
    </row>
    <row r="105">
      <c r="A105" s="11">
        <v>2020.0</v>
      </c>
    </row>
    <row r="106">
      <c r="A106" s="12" t="s">
        <v>831</v>
      </c>
      <c r="B106" s="13" t="s">
        <v>832</v>
      </c>
      <c r="C106" s="13" t="s">
        <v>3</v>
      </c>
      <c r="D106" s="13" t="s">
        <v>833</v>
      </c>
      <c r="E106" s="13" t="s">
        <v>834</v>
      </c>
      <c r="F106" s="13" t="s">
        <v>835</v>
      </c>
      <c r="G106" s="13" t="s">
        <v>836</v>
      </c>
      <c r="H106" s="13" t="s">
        <v>837</v>
      </c>
      <c r="I106" s="13" t="s">
        <v>838</v>
      </c>
      <c r="J106" s="13" t="s">
        <v>839</v>
      </c>
      <c r="K106" s="13" t="s">
        <v>840</v>
      </c>
      <c r="L106" s="13" t="s">
        <v>841</v>
      </c>
      <c r="M106" s="13" t="s">
        <v>842</v>
      </c>
      <c r="N106" s="13" t="s">
        <v>843</v>
      </c>
      <c r="O106" s="13" t="s">
        <v>844</v>
      </c>
      <c r="P106" s="13" t="s">
        <v>845</v>
      </c>
      <c r="Q106" s="13" t="s">
        <v>846</v>
      </c>
      <c r="R106" s="13" t="s">
        <v>847</v>
      </c>
      <c r="S106" s="13" t="s">
        <v>848</v>
      </c>
      <c r="T106" s="13" t="s">
        <v>849</v>
      </c>
    </row>
    <row r="107">
      <c r="A107" s="14">
        <v>1.0</v>
      </c>
      <c r="B107" s="15" t="s">
        <v>1142</v>
      </c>
      <c r="C107" s="16">
        <v>2020.0</v>
      </c>
      <c r="D107" s="16">
        <v>38.0</v>
      </c>
      <c r="E107" s="16">
        <v>24.0</v>
      </c>
      <c r="F107" s="16">
        <v>11.0</v>
      </c>
      <c r="G107" s="16">
        <v>3.0</v>
      </c>
      <c r="H107" s="16">
        <v>64.0</v>
      </c>
      <c r="I107" s="16">
        <v>23.0</v>
      </c>
      <c r="J107" s="17">
        <f>+41</f>
        <v>41</v>
      </c>
      <c r="K107" s="16">
        <v>83.0</v>
      </c>
      <c r="L107" s="16">
        <v>2.18</v>
      </c>
      <c r="M107" s="16">
        <v>48.5</v>
      </c>
      <c r="N107" s="16">
        <v>29.8</v>
      </c>
      <c r="O107" s="17">
        <f>+18.7</f>
        <v>18.7</v>
      </c>
      <c r="P107" s="17">
        <f>+0.49</f>
        <v>0.49</v>
      </c>
      <c r="Q107" s="16">
        <v>209.0</v>
      </c>
      <c r="R107" s="19" t="s">
        <v>1143</v>
      </c>
      <c r="S107" s="19" t="s">
        <v>1144</v>
      </c>
      <c r="T107" s="20" t="s">
        <v>853</v>
      </c>
    </row>
    <row r="108">
      <c r="A108" s="14">
        <v>2.0</v>
      </c>
      <c r="B108" s="15" t="s">
        <v>1145</v>
      </c>
      <c r="C108" s="16">
        <v>2020.0</v>
      </c>
      <c r="D108" s="16">
        <v>38.0</v>
      </c>
      <c r="E108" s="16">
        <v>26.0</v>
      </c>
      <c r="F108" s="16">
        <v>4.0</v>
      </c>
      <c r="G108" s="16">
        <v>8.0</v>
      </c>
      <c r="H108" s="16">
        <v>86.0</v>
      </c>
      <c r="I108" s="16">
        <v>28.0</v>
      </c>
      <c r="J108" s="17">
        <f>+58</f>
        <v>58</v>
      </c>
      <c r="K108" s="16">
        <v>82.0</v>
      </c>
      <c r="L108" s="16">
        <v>2.16</v>
      </c>
      <c r="M108" s="16">
        <v>80.1</v>
      </c>
      <c r="N108" s="16">
        <v>40.6</v>
      </c>
      <c r="O108" s="17">
        <f>+39.5</f>
        <v>39.5</v>
      </c>
      <c r="P108" s="17">
        <f>+1.04</f>
        <v>1.04</v>
      </c>
      <c r="Q108" s="17"/>
      <c r="R108" s="19" t="s">
        <v>1146</v>
      </c>
      <c r="S108" s="19" t="s">
        <v>1147</v>
      </c>
      <c r="T108" s="20" t="s">
        <v>853</v>
      </c>
    </row>
    <row r="109">
      <c r="A109" s="14">
        <v>3.0</v>
      </c>
      <c r="B109" s="15" t="s">
        <v>1148</v>
      </c>
      <c r="C109" s="16">
        <v>2020.0</v>
      </c>
      <c r="D109" s="16">
        <v>38.0</v>
      </c>
      <c r="E109" s="16">
        <v>24.0</v>
      </c>
      <c r="F109" s="16">
        <v>6.0</v>
      </c>
      <c r="G109" s="16">
        <v>8.0</v>
      </c>
      <c r="H109" s="16">
        <v>76.0</v>
      </c>
      <c r="I109" s="16">
        <v>42.0</v>
      </c>
      <c r="J109" s="17">
        <f>+34</f>
        <v>34</v>
      </c>
      <c r="K109" s="16">
        <v>78.0</v>
      </c>
      <c r="L109" s="16">
        <v>2.05</v>
      </c>
      <c r="M109" s="16">
        <v>68.7</v>
      </c>
      <c r="N109" s="16">
        <v>34.6</v>
      </c>
      <c r="O109" s="17">
        <f>+34.1</f>
        <v>34.1</v>
      </c>
      <c r="P109" s="17">
        <f>+0.9</f>
        <v>0.9</v>
      </c>
      <c r="Q109" s="17"/>
      <c r="R109" s="19" t="s">
        <v>1149</v>
      </c>
      <c r="S109" s="19" t="s">
        <v>1150</v>
      </c>
      <c r="T109" s="20" t="s">
        <v>853</v>
      </c>
    </row>
    <row r="110">
      <c r="A110" s="14">
        <v>4.0</v>
      </c>
      <c r="B110" s="15" t="s">
        <v>1151</v>
      </c>
      <c r="C110" s="16">
        <v>2020.0</v>
      </c>
      <c r="D110" s="16">
        <v>38.0</v>
      </c>
      <c r="E110" s="16">
        <v>22.0</v>
      </c>
      <c r="F110" s="16">
        <v>10.0</v>
      </c>
      <c r="G110" s="16">
        <v>6.0</v>
      </c>
      <c r="H110" s="16">
        <v>81.0</v>
      </c>
      <c r="I110" s="16">
        <v>43.0</v>
      </c>
      <c r="J110" s="17">
        <f>+38</f>
        <v>38</v>
      </c>
      <c r="K110" s="16">
        <v>76.0</v>
      </c>
      <c r="L110" s="16">
        <v>2.0</v>
      </c>
      <c r="M110" s="16">
        <v>81.4</v>
      </c>
      <c r="N110" s="16">
        <v>41.5</v>
      </c>
      <c r="O110" s="17">
        <f>+40</f>
        <v>40</v>
      </c>
      <c r="P110" s="17">
        <f>+1.05</f>
        <v>1.05</v>
      </c>
      <c r="Q110" s="16">
        <v>231.0</v>
      </c>
      <c r="R110" s="19" t="s">
        <v>1152</v>
      </c>
      <c r="S110" s="19" t="s">
        <v>1153</v>
      </c>
      <c r="T110" s="20" t="s">
        <v>866</v>
      </c>
    </row>
    <row r="111">
      <c r="A111" s="14">
        <v>5.0</v>
      </c>
      <c r="B111" s="15" t="s">
        <v>1154</v>
      </c>
      <c r="C111" s="16">
        <v>2020.0</v>
      </c>
      <c r="D111" s="16">
        <v>38.0</v>
      </c>
      <c r="E111" s="16">
        <v>16.0</v>
      </c>
      <c r="F111" s="16">
        <v>12.0</v>
      </c>
      <c r="G111" s="16">
        <v>10.0</v>
      </c>
      <c r="H111" s="16">
        <v>54.0</v>
      </c>
      <c r="I111" s="16">
        <v>47.0</v>
      </c>
      <c r="J111" s="17">
        <f>+7</f>
        <v>7</v>
      </c>
      <c r="K111" s="16">
        <v>60.0</v>
      </c>
      <c r="L111" s="16">
        <v>1.58</v>
      </c>
      <c r="M111" s="16">
        <v>47.0</v>
      </c>
      <c r="N111" s="16">
        <v>47.4</v>
      </c>
      <c r="O111" s="16">
        <v>-0.4</v>
      </c>
      <c r="P111" s="16">
        <v>-0.01</v>
      </c>
      <c r="Q111" s="17"/>
      <c r="R111" s="19" t="s">
        <v>1155</v>
      </c>
      <c r="S111" s="19" t="s">
        <v>1156</v>
      </c>
      <c r="T111" s="20" t="s">
        <v>1157</v>
      </c>
    </row>
    <row r="112">
      <c r="A112" s="14">
        <v>6.0</v>
      </c>
      <c r="B112" s="15" t="s">
        <v>1158</v>
      </c>
      <c r="C112" s="16">
        <v>2020.0</v>
      </c>
      <c r="D112" s="16">
        <v>38.0</v>
      </c>
      <c r="E112" s="16">
        <v>16.0</v>
      </c>
      <c r="F112" s="16">
        <v>10.0</v>
      </c>
      <c r="G112" s="16">
        <v>12.0</v>
      </c>
      <c r="H112" s="16">
        <v>52.0</v>
      </c>
      <c r="I112" s="16">
        <v>40.0</v>
      </c>
      <c r="J112" s="17">
        <f>+12</f>
        <v>12</v>
      </c>
      <c r="K112" s="16">
        <v>58.0</v>
      </c>
      <c r="L112" s="16">
        <v>1.53</v>
      </c>
      <c r="M112" s="16">
        <v>47.8</v>
      </c>
      <c r="N112" s="16">
        <v>38.1</v>
      </c>
      <c r="O112" s="17">
        <f>+9.7</f>
        <v>9.7</v>
      </c>
      <c r="P112" s="17">
        <f>+0.26</f>
        <v>0.26</v>
      </c>
      <c r="Q112" s="17"/>
      <c r="R112" s="19" t="s">
        <v>1159</v>
      </c>
      <c r="S112" s="19" t="s">
        <v>1160</v>
      </c>
      <c r="T112" s="20" t="s">
        <v>1161</v>
      </c>
    </row>
    <row r="113">
      <c r="A113" s="14">
        <v>7.0</v>
      </c>
      <c r="B113" s="15" t="s">
        <v>1162</v>
      </c>
      <c r="C113" s="16">
        <v>2020.0</v>
      </c>
      <c r="D113" s="16">
        <v>38.0</v>
      </c>
      <c r="E113" s="16">
        <v>15.0</v>
      </c>
      <c r="F113" s="16">
        <v>12.0</v>
      </c>
      <c r="G113" s="16">
        <v>11.0</v>
      </c>
      <c r="H113" s="16">
        <v>55.0</v>
      </c>
      <c r="I113" s="16">
        <v>54.0</v>
      </c>
      <c r="J113" s="17">
        <f>+1</f>
        <v>1</v>
      </c>
      <c r="K113" s="16">
        <v>57.0</v>
      </c>
      <c r="L113" s="16">
        <v>1.5</v>
      </c>
      <c r="M113" s="16">
        <v>56.4</v>
      </c>
      <c r="N113" s="16">
        <v>46.8</v>
      </c>
      <c r="O113" s="17">
        <f>+9.6</f>
        <v>9.6</v>
      </c>
      <c r="P113" s="17">
        <f>+0.25</f>
        <v>0.25</v>
      </c>
      <c r="Q113" s="17"/>
      <c r="R113" s="19" t="s">
        <v>1163</v>
      </c>
      <c r="S113" s="19" t="s">
        <v>1164</v>
      </c>
      <c r="T113" s="21"/>
    </row>
    <row r="114">
      <c r="A114" s="14">
        <v>8.0</v>
      </c>
      <c r="B114" s="15" t="s">
        <v>1165</v>
      </c>
      <c r="C114" s="16">
        <v>2020.0</v>
      </c>
      <c r="D114" s="16">
        <v>38.0</v>
      </c>
      <c r="E114" s="16">
        <v>14.0</v>
      </c>
      <c r="F114" s="16">
        <v>12.0</v>
      </c>
      <c r="G114" s="16">
        <v>12.0</v>
      </c>
      <c r="H114" s="16">
        <v>60.0</v>
      </c>
      <c r="I114" s="16">
        <v>62.0</v>
      </c>
      <c r="J114" s="16">
        <v>-2.0</v>
      </c>
      <c r="K114" s="16">
        <v>54.0</v>
      </c>
      <c r="L114" s="16">
        <v>1.42</v>
      </c>
      <c r="M114" s="16">
        <v>51.9</v>
      </c>
      <c r="N114" s="16">
        <v>66.2</v>
      </c>
      <c r="O114" s="16">
        <v>-14.3</v>
      </c>
      <c r="P114" s="16">
        <v>-0.38</v>
      </c>
      <c r="Q114" s="17"/>
      <c r="R114" s="19" t="s">
        <v>1166</v>
      </c>
      <c r="S114" s="19" t="s">
        <v>1167</v>
      </c>
      <c r="T114" s="21"/>
    </row>
    <row r="115">
      <c r="A115" s="14">
        <v>9.0</v>
      </c>
      <c r="B115" s="15" t="s">
        <v>1168</v>
      </c>
      <c r="C115" s="16">
        <v>2020.0</v>
      </c>
      <c r="D115" s="16">
        <v>38.0</v>
      </c>
      <c r="E115" s="16">
        <v>15.0</v>
      </c>
      <c r="F115" s="16">
        <v>7.0</v>
      </c>
      <c r="G115" s="16">
        <v>16.0</v>
      </c>
      <c r="H115" s="16">
        <v>50.0</v>
      </c>
      <c r="I115" s="16">
        <v>53.0</v>
      </c>
      <c r="J115" s="16">
        <v>-3.0</v>
      </c>
      <c r="K115" s="16">
        <v>52.0</v>
      </c>
      <c r="L115" s="16">
        <v>1.37</v>
      </c>
      <c r="M115" s="16">
        <v>47.9</v>
      </c>
      <c r="N115" s="16">
        <v>55.6</v>
      </c>
      <c r="O115" s="16">
        <v>-7.6</v>
      </c>
      <c r="P115" s="16">
        <v>-0.2</v>
      </c>
      <c r="Q115" s="17"/>
      <c r="R115" s="19" t="s">
        <v>1169</v>
      </c>
      <c r="S115" s="19" t="s">
        <v>1170</v>
      </c>
      <c r="T115" s="21"/>
    </row>
    <row r="116">
      <c r="A116" s="14">
        <v>10.0</v>
      </c>
      <c r="B116" s="15" t="s">
        <v>1171</v>
      </c>
      <c r="C116" s="16">
        <v>2020.0</v>
      </c>
      <c r="D116" s="16">
        <v>38.0</v>
      </c>
      <c r="E116" s="16">
        <v>12.0</v>
      </c>
      <c r="F116" s="16">
        <v>11.0</v>
      </c>
      <c r="G116" s="16">
        <v>15.0</v>
      </c>
      <c r="H116" s="16">
        <v>44.0</v>
      </c>
      <c r="I116" s="16">
        <v>48.0</v>
      </c>
      <c r="J116" s="16">
        <v>-4.0</v>
      </c>
      <c r="K116" s="16">
        <v>47.0</v>
      </c>
      <c r="L116" s="16">
        <v>1.24</v>
      </c>
      <c r="M116" s="16">
        <v>44.1</v>
      </c>
      <c r="N116" s="16">
        <v>49.2</v>
      </c>
      <c r="O116" s="16">
        <v>-5.2</v>
      </c>
      <c r="P116" s="16">
        <v>-0.14</v>
      </c>
      <c r="Q116" s="16">
        <v>498.0</v>
      </c>
      <c r="R116" s="19" t="s">
        <v>1172</v>
      </c>
      <c r="S116" s="19" t="s">
        <v>1173</v>
      </c>
      <c r="T116" s="21"/>
    </row>
    <row r="117">
      <c r="A117" s="14">
        <v>11.0</v>
      </c>
      <c r="B117" s="15" t="s">
        <v>1174</v>
      </c>
      <c r="C117" s="16">
        <v>2020.0</v>
      </c>
      <c r="D117" s="16">
        <v>38.0</v>
      </c>
      <c r="E117" s="16">
        <v>12.0</v>
      </c>
      <c r="F117" s="16">
        <v>10.0</v>
      </c>
      <c r="G117" s="16">
        <v>16.0</v>
      </c>
      <c r="H117" s="16">
        <v>42.0</v>
      </c>
      <c r="I117" s="16">
        <v>54.0</v>
      </c>
      <c r="J117" s="16">
        <v>-12.0</v>
      </c>
      <c r="K117" s="16">
        <v>46.0</v>
      </c>
      <c r="L117" s="16">
        <v>1.21</v>
      </c>
      <c r="M117" s="16">
        <v>48.7</v>
      </c>
      <c r="N117" s="16">
        <v>50.1</v>
      </c>
      <c r="O117" s="16">
        <v>-1.4</v>
      </c>
      <c r="P117" s="16">
        <v>-0.04</v>
      </c>
      <c r="Q117" s="17"/>
      <c r="R117" s="19" t="s">
        <v>1175</v>
      </c>
      <c r="S117" s="19" t="s">
        <v>1176</v>
      </c>
      <c r="T117" s="21"/>
    </row>
    <row r="118">
      <c r="A118" s="14">
        <v>12.0</v>
      </c>
      <c r="B118" s="15" t="s">
        <v>1177</v>
      </c>
      <c r="C118" s="16">
        <v>2020.0</v>
      </c>
      <c r="D118" s="16">
        <v>38.0</v>
      </c>
      <c r="E118" s="16">
        <v>13.0</v>
      </c>
      <c r="F118" s="16">
        <v>6.0</v>
      </c>
      <c r="G118" s="16">
        <v>19.0</v>
      </c>
      <c r="H118" s="16">
        <v>42.0</v>
      </c>
      <c r="I118" s="16">
        <v>56.0</v>
      </c>
      <c r="J118" s="16">
        <v>-14.0</v>
      </c>
      <c r="K118" s="16">
        <v>45.0</v>
      </c>
      <c r="L118" s="16">
        <v>1.18</v>
      </c>
      <c r="M118" s="16">
        <v>43.5</v>
      </c>
      <c r="N118" s="16">
        <v>54.9</v>
      </c>
      <c r="O118" s="16">
        <v>-11.4</v>
      </c>
      <c r="P118" s="16">
        <v>-0.3</v>
      </c>
      <c r="Q118" s="17"/>
      <c r="R118" s="19" t="s">
        <v>1178</v>
      </c>
      <c r="S118" s="19" t="s">
        <v>1179</v>
      </c>
      <c r="T118" s="21"/>
    </row>
    <row r="119">
      <c r="A119" s="14">
        <v>13.0</v>
      </c>
      <c r="B119" s="15" t="s">
        <v>1180</v>
      </c>
      <c r="C119" s="16">
        <v>2020.0</v>
      </c>
      <c r="D119" s="16">
        <v>38.0</v>
      </c>
      <c r="E119" s="16">
        <v>12.0</v>
      </c>
      <c r="F119" s="16">
        <v>8.0</v>
      </c>
      <c r="G119" s="16">
        <v>18.0</v>
      </c>
      <c r="H119" s="16">
        <v>40.0</v>
      </c>
      <c r="I119" s="16">
        <v>58.0</v>
      </c>
      <c r="J119" s="16">
        <v>-18.0</v>
      </c>
      <c r="K119" s="16">
        <v>44.0</v>
      </c>
      <c r="L119" s="16">
        <v>1.16</v>
      </c>
      <c r="M119" s="16">
        <v>41.6</v>
      </c>
      <c r="N119" s="16">
        <v>52.3</v>
      </c>
      <c r="O119" s="16">
        <v>-10.7</v>
      </c>
      <c r="P119" s="16">
        <v>-0.28</v>
      </c>
      <c r="Q119" s="17"/>
      <c r="R119" s="19" t="s">
        <v>1181</v>
      </c>
      <c r="S119" s="19" t="s">
        <v>1182</v>
      </c>
      <c r="T119" s="21"/>
    </row>
    <row r="120">
      <c r="A120" s="14">
        <v>14.0</v>
      </c>
      <c r="B120" s="15" t="s">
        <v>1183</v>
      </c>
      <c r="C120" s="16">
        <v>2020.0</v>
      </c>
      <c r="D120" s="16">
        <v>38.0</v>
      </c>
      <c r="E120" s="16">
        <v>9.0</v>
      </c>
      <c r="F120" s="16">
        <v>15.0</v>
      </c>
      <c r="G120" s="16">
        <v>14.0</v>
      </c>
      <c r="H120" s="16">
        <v>42.0</v>
      </c>
      <c r="I120" s="16">
        <v>50.0</v>
      </c>
      <c r="J120" s="16">
        <v>-8.0</v>
      </c>
      <c r="K120" s="16">
        <v>42.0</v>
      </c>
      <c r="L120" s="16">
        <v>1.11</v>
      </c>
      <c r="M120" s="16">
        <v>32.7</v>
      </c>
      <c r="N120" s="16">
        <v>59.0</v>
      </c>
      <c r="O120" s="16">
        <v>-26.3</v>
      </c>
      <c r="P120" s="16">
        <v>-0.69</v>
      </c>
      <c r="Q120" s="17"/>
      <c r="R120" s="19" t="s">
        <v>1184</v>
      </c>
      <c r="S120" s="19" t="s">
        <v>1185</v>
      </c>
      <c r="T120" s="21"/>
    </row>
    <row r="121">
      <c r="A121" s="14">
        <v>15.0</v>
      </c>
      <c r="B121" s="15" t="s">
        <v>1186</v>
      </c>
      <c r="C121" s="16">
        <v>2020.0</v>
      </c>
      <c r="D121" s="16">
        <v>38.0</v>
      </c>
      <c r="E121" s="16">
        <v>11.0</v>
      </c>
      <c r="F121" s="16">
        <v>9.0</v>
      </c>
      <c r="G121" s="16">
        <v>18.0</v>
      </c>
      <c r="H121" s="16">
        <v>49.0</v>
      </c>
      <c r="I121" s="16">
        <v>58.0</v>
      </c>
      <c r="J121" s="16">
        <v>-9.0</v>
      </c>
      <c r="K121" s="16">
        <v>42.0</v>
      </c>
      <c r="L121" s="16">
        <v>1.11</v>
      </c>
      <c r="M121" s="16">
        <v>52.8</v>
      </c>
      <c r="N121" s="16">
        <v>50.7</v>
      </c>
      <c r="O121" s="17">
        <f>+2.1</f>
        <v>2.1</v>
      </c>
      <c r="P121" s="17">
        <f>+0.06</f>
        <v>0.06</v>
      </c>
      <c r="Q121" s="17"/>
      <c r="R121" s="19" t="s">
        <v>1187</v>
      </c>
      <c r="S121" s="19" t="s">
        <v>1188</v>
      </c>
      <c r="T121" s="21"/>
    </row>
    <row r="122">
      <c r="A122" s="14">
        <v>16.0</v>
      </c>
      <c r="B122" s="15" t="s">
        <v>1189</v>
      </c>
      <c r="C122" s="16">
        <v>2020.0</v>
      </c>
      <c r="D122" s="16">
        <v>38.0</v>
      </c>
      <c r="E122" s="16">
        <v>11.0</v>
      </c>
      <c r="F122" s="16">
        <v>9.0</v>
      </c>
      <c r="G122" s="16">
        <v>18.0</v>
      </c>
      <c r="H122" s="16">
        <v>50.0</v>
      </c>
      <c r="I122" s="16">
        <v>68.0</v>
      </c>
      <c r="J122" s="16">
        <v>-18.0</v>
      </c>
      <c r="K122" s="16">
        <v>42.0</v>
      </c>
      <c r="L122" s="16">
        <v>1.11</v>
      </c>
      <c r="M122" s="16">
        <v>48.6</v>
      </c>
      <c r="N122" s="16">
        <v>52.5</v>
      </c>
      <c r="O122" s="16">
        <v>-4.0</v>
      </c>
      <c r="P122" s="16">
        <v>-0.1</v>
      </c>
      <c r="Q122" s="17"/>
      <c r="R122" s="19" t="s">
        <v>1190</v>
      </c>
      <c r="S122" s="19" t="s">
        <v>1191</v>
      </c>
      <c r="T122" s="21"/>
    </row>
    <row r="123">
      <c r="A123" s="14">
        <v>17.0</v>
      </c>
      <c r="B123" s="15" t="s">
        <v>1192</v>
      </c>
      <c r="C123" s="16">
        <v>2020.0</v>
      </c>
      <c r="D123" s="16">
        <v>38.0</v>
      </c>
      <c r="E123" s="16">
        <v>11.0</v>
      </c>
      <c r="F123" s="16">
        <v>8.0</v>
      </c>
      <c r="G123" s="16">
        <v>19.0</v>
      </c>
      <c r="H123" s="16">
        <v>50.0</v>
      </c>
      <c r="I123" s="16">
        <v>66.0</v>
      </c>
      <c r="J123" s="16">
        <v>-16.0</v>
      </c>
      <c r="K123" s="16">
        <v>41.0</v>
      </c>
      <c r="L123" s="16">
        <v>1.08</v>
      </c>
      <c r="M123" s="16">
        <v>50.0</v>
      </c>
      <c r="N123" s="16">
        <v>58.1</v>
      </c>
      <c r="O123" s="16">
        <v>-8.1</v>
      </c>
      <c r="P123" s="16">
        <v>-0.21</v>
      </c>
      <c r="Q123" s="17"/>
      <c r="R123" s="19" t="s">
        <v>1193</v>
      </c>
      <c r="S123" s="19" t="s">
        <v>1194</v>
      </c>
      <c r="T123" s="21"/>
    </row>
    <row r="124">
      <c r="A124" s="22">
        <v>18.0</v>
      </c>
      <c r="B124" s="15" t="s">
        <v>1195</v>
      </c>
      <c r="C124" s="16">
        <v>2020.0</v>
      </c>
      <c r="D124" s="16">
        <v>38.0</v>
      </c>
      <c r="E124" s="16">
        <v>9.0</v>
      </c>
      <c r="F124" s="16">
        <v>13.0</v>
      </c>
      <c r="G124" s="16">
        <v>16.0</v>
      </c>
      <c r="H124" s="16">
        <v>47.0</v>
      </c>
      <c r="I124" s="16">
        <v>55.0</v>
      </c>
      <c r="J124" s="16">
        <v>-8.0</v>
      </c>
      <c r="K124" s="16">
        <v>40.0</v>
      </c>
      <c r="L124" s="16">
        <v>1.05</v>
      </c>
      <c r="M124" s="16">
        <v>49.0</v>
      </c>
      <c r="N124" s="16">
        <v>53.7</v>
      </c>
      <c r="O124" s="16">
        <v>-4.7</v>
      </c>
      <c r="P124" s="16">
        <v>-0.12</v>
      </c>
      <c r="Q124" s="17"/>
      <c r="R124" s="19" t="s">
        <v>1196</v>
      </c>
      <c r="S124" s="19" t="s">
        <v>1197</v>
      </c>
      <c r="T124" s="20" t="s">
        <v>901</v>
      </c>
    </row>
    <row r="125">
      <c r="A125" s="22">
        <v>19.0</v>
      </c>
      <c r="B125" s="15" t="s">
        <v>1198</v>
      </c>
      <c r="C125" s="16">
        <v>2020.0</v>
      </c>
      <c r="D125" s="16">
        <v>38.0</v>
      </c>
      <c r="E125" s="16">
        <v>9.0</v>
      </c>
      <c r="F125" s="16">
        <v>8.0</v>
      </c>
      <c r="G125" s="16">
        <v>21.0</v>
      </c>
      <c r="H125" s="16">
        <v>40.0</v>
      </c>
      <c r="I125" s="16">
        <v>71.0</v>
      </c>
      <c r="J125" s="16">
        <v>-31.0</v>
      </c>
      <c r="K125" s="16">
        <v>35.0</v>
      </c>
      <c r="L125" s="16">
        <v>0.92</v>
      </c>
      <c r="M125" s="16">
        <v>43.3</v>
      </c>
      <c r="N125" s="16">
        <v>64.2</v>
      </c>
      <c r="O125" s="16">
        <v>-20.9</v>
      </c>
      <c r="P125" s="16">
        <v>-0.55</v>
      </c>
      <c r="Q125" s="17"/>
      <c r="R125" s="19" t="s">
        <v>1199</v>
      </c>
      <c r="S125" s="19" t="s">
        <v>1200</v>
      </c>
      <c r="T125" s="20" t="s">
        <v>905</v>
      </c>
    </row>
    <row r="126">
      <c r="A126" s="23">
        <v>20.0</v>
      </c>
      <c r="B126" s="24" t="s">
        <v>1201</v>
      </c>
      <c r="C126" s="16">
        <v>2020.0</v>
      </c>
      <c r="D126" s="25">
        <v>38.0</v>
      </c>
      <c r="E126" s="25">
        <v>4.0</v>
      </c>
      <c r="F126" s="25">
        <v>9.0</v>
      </c>
      <c r="G126" s="25">
        <v>25.0</v>
      </c>
      <c r="H126" s="25">
        <v>25.0</v>
      </c>
      <c r="I126" s="25">
        <v>73.0</v>
      </c>
      <c r="J126" s="25">
        <v>-48.0</v>
      </c>
      <c r="K126" s="25">
        <v>21.0</v>
      </c>
      <c r="L126" s="25">
        <v>0.55</v>
      </c>
      <c r="M126" s="25">
        <v>33.7</v>
      </c>
      <c r="N126" s="25">
        <v>72.5</v>
      </c>
      <c r="O126" s="25">
        <v>-38.8</v>
      </c>
      <c r="P126" s="25">
        <v>-1.02</v>
      </c>
      <c r="Q126" s="34"/>
      <c r="R126" s="27" t="s">
        <v>1202</v>
      </c>
      <c r="S126" s="27" t="s">
        <v>1203</v>
      </c>
      <c r="T126" s="28" t="s">
        <v>905</v>
      </c>
    </row>
    <row r="127">
      <c r="A127" s="11">
        <v>2019.0</v>
      </c>
    </row>
    <row r="128">
      <c r="A128" s="12" t="s">
        <v>831</v>
      </c>
      <c r="B128" s="13" t="s">
        <v>832</v>
      </c>
      <c r="C128" s="13" t="s">
        <v>3</v>
      </c>
      <c r="D128" s="13" t="s">
        <v>833</v>
      </c>
      <c r="E128" s="13" t="s">
        <v>834</v>
      </c>
      <c r="F128" s="13" t="s">
        <v>835</v>
      </c>
      <c r="G128" s="13" t="s">
        <v>836</v>
      </c>
      <c r="H128" s="13" t="s">
        <v>837</v>
      </c>
      <c r="I128" s="13" t="s">
        <v>838</v>
      </c>
      <c r="J128" s="13" t="s">
        <v>839</v>
      </c>
      <c r="K128" s="13" t="s">
        <v>840</v>
      </c>
      <c r="L128" s="13" t="s">
        <v>841</v>
      </c>
      <c r="M128" s="13" t="s">
        <v>842</v>
      </c>
      <c r="N128" s="13" t="s">
        <v>843</v>
      </c>
      <c r="O128" s="13" t="s">
        <v>844</v>
      </c>
      <c r="P128" s="13" t="s">
        <v>845</v>
      </c>
      <c r="Q128" s="13" t="s">
        <v>846</v>
      </c>
      <c r="R128" s="13" t="s">
        <v>847</v>
      </c>
      <c r="S128" s="13" t="s">
        <v>848</v>
      </c>
      <c r="T128" s="13" t="s">
        <v>849</v>
      </c>
    </row>
    <row r="129">
      <c r="A129" s="14">
        <v>1.0</v>
      </c>
      <c r="B129" s="15" t="s">
        <v>1204</v>
      </c>
      <c r="C129" s="16">
        <v>2019.0</v>
      </c>
      <c r="D129" s="16">
        <v>27.0</v>
      </c>
      <c r="E129" s="16">
        <v>22.0</v>
      </c>
      <c r="F129" s="16">
        <v>2.0</v>
      </c>
      <c r="G129" s="16">
        <v>3.0</v>
      </c>
      <c r="H129" s="16">
        <v>75.0</v>
      </c>
      <c r="I129" s="16">
        <v>24.0</v>
      </c>
      <c r="J129" s="17">
        <f>+51</f>
        <v>51</v>
      </c>
      <c r="K129" s="16">
        <v>68.0</v>
      </c>
      <c r="L129" s="16">
        <v>2.52</v>
      </c>
      <c r="M129" s="16">
        <v>74.2</v>
      </c>
      <c r="N129" s="16">
        <v>23.1</v>
      </c>
      <c r="O129" s="17">
        <f>+51.1</f>
        <v>51.1</v>
      </c>
      <c r="P129" s="17">
        <f>+1.89</f>
        <v>1.89</v>
      </c>
      <c r="Q129" s="18">
        <v>47517.0</v>
      </c>
      <c r="R129" s="19" t="s">
        <v>1205</v>
      </c>
      <c r="S129" s="19" t="s">
        <v>1206</v>
      </c>
      <c r="T129" s="20" t="s">
        <v>853</v>
      </c>
    </row>
    <row r="130">
      <c r="A130" s="14">
        <v>2.0</v>
      </c>
      <c r="B130" s="15" t="s">
        <v>1207</v>
      </c>
      <c r="C130" s="16">
        <v>2019.0</v>
      </c>
      <c r="D130" s="16">
        <v>28.0</v>
      </c>
      <c r="E130" s="16">
        <v>16.0</v>
      </c>
      <c r="F130" s="16">
        <v>8.0</v>
      </c>
      <c r="G130" s="16">
        <v>4.0</v>
      </c>
      <c r="H130" s="16">
        <v>41.0</v>
      </c>
      <c r="I130" s="16">
        <v>29.0</v>
      </c>
      <c r="J130" s="17">
        <f>+12</f>
        <v>12</v>
      </c>
      <c r="K130" s="16">
        <v>56.0</v>
      </c>
      <c r="L130" s="16">
        <v>2.0</v>
      </c>
      <c r="M130" s="16">
        <v>36.2</v>
      </c>
      <c r="N130" s="16">
        <v>31.8</v>
      </c>
      <c r="O130" s="17">
        <f>+4.4</f>
        <v>4.4</v>
      </c>
      <c r="P130" s="17">
        <f>+0.16</f>
        <v>0.16</v>
      </c>
      <c r="Q130" s="18">
        <v>52805.0</v>
      </c>
      <c r="R130" s="19" t="s">
        <v>1208</v>
      </c>
      <c r="S130" s="19" t="s">
        <v>1209</v>
      </c>
      <c r="T130" s="20" t="s">
        <v>853</v>
      </c>
    </row>
    <row r="131">
      <c r="A131" s="14">
        <v>3.0</v>
      </c>
      <c r="B131" s="15" t="s">
        <v>1210</v>
      </c>
      <c r="C131" s="16">
        <v>2019.0</v>
      </c>
      <c r="D131" s="16">
        <v>28.0</v>
      </c>
      <c r="E131" s="16">
        <v>15.0</v>
      </c>
      <c r="F131" s="16">
        <v>5.0</v>
      </c>
      <c r="G131" s="16">
        <v>8.0</v>
      </c>
      <c r="H131" s="16">
        <v>38.0</v>
      </c>
      <c r="I131" s="16">
        <v>24.0</v>
      </c>
      <c r="J131" s="17">
        <f>+14</f>
        <v>14</v>
      </c>
      <c r="K131" s="16">
        <v>50.0</v>
      </c>
      <c r="L131" s="16">
        <v>1.79</v>
      </c>
      <c r="M131" s="16">
        <v>37.1</v>
      </c>
      <c r="N131" s="16">
        <v>30.2</v>
      </c>
      <c r="O131" s="17">
        <f>+6.9</f>
        <v>6.9</v>
      </c>
      <c r="P131" s="17">
        <f>+0.25</f>
        <v>0.25</v>
      </c>
      <c r="Q131" s="18">
        <v>25893.0</v>
      </c>
      <c r="R131" s="19" t="s">
        <v>1211</v>
      </c>
      <c r="S131" s="19" t="s">
        <v>1212</v>
      </c>
      <c r="T131" s="20" t="s">
        <v>853</v>
      </c>
    </row>
    <row r="132">
      <c r="A132" s="14">
        <v>4.0</v>
      </c>
      <c r="B132" s="15" t="s">
        <v>1213</v>
      </c>
      <c r="C132" s="16">
        <v>2019.0</v>
      </c>
      <c r="D132" s="16">
        <v>28.0</v>
      </c>
      <c r="E132" s="16">
        <v>15.0</v>
      </c>
      <c r="F132" s="16">
        <v>4.0</v>
      </c>
      <c r="G132" s="16">
        <v>9.0</v>
      </c>
      <c r="H132" s="16">
        <v>35.0</v>
      </c>
      <c r="I132" s="16">
        <v>27.0</v>
      </c>
      <c r="J132" s="17">
        <f>+8</f>
        <v>8</v>
      </c>
      <c r="K132" s="16">
        <v>49.0</v>
      </c>
      <c r="L132" s="16">
        <v>1.75</v>
      </c>
      <c r="M132" s="16">
        <v>40.3</v>
      </c>
      <c r="N132" s="16">
        <v>31.4</v>
      </c>
      <c r="O132" s="17">
        <f>+8.8</f>
        <v>8.8</v>
      </c>
      <c r="P132" s="17">
        <f>+0.32</f>
        <v>0.32</v>
      </c>
      <c r="Q132" s="18">
        <v>36404.0</v>
      </c>
      <c r="R132" s="19" t="s">
        <v>1214</v>
      </c>
      <c r="S132" s="19" t="s">
        <v>1215</v>
      </c>
      <c r="T132" s="20" t="s">
        <v>866</v>
      </c>
    </row>
    <row r="133">
      <c r="A133" s="14">
        <v>5.0</v>
      </c>
      <c r="B133" s="15" t="s">
        <v>1216</v>
      </c>
      <c r="C133" s="16">
        <v>2019.0</v>
      </c>
      <c r="D133" s="16">
        <v>28.0</v>
      </c>
      <c r="E133" s="16">
        <v>11.0</v>
      </c>
      <c r="F133" s="16">
        <v>8.0</v>
      </c>
      <c r="G133" s="16">
        <v>9.0</v>
      </c>
      <c r="H133" s="16">
        <v>41.0</v>
      </c>
      <c r="I133" s="16">
        <v>38.0</v>
      </c>
      <c r="J133" s="17">
        <f>+3</f>
        <v>3</v>
      </c>
      <c r="K133" s="16">
        <v>41.0</v>
      </c>
      <c r="L133" s="16">
        <v>1.46</v>
      </c>
      <c r="M133" s="16">
        <v>35.7</v>
      </c>
      <c r="N133" s="16">
        <v>43.9</v>
      </c>
      <c r="O133" s="16">
        <v>-8.2</v>
      </c>
      <c r="P133" s="16">
        <v>-0.29</v>
      </c>
      <c r="Q133" s="18">
        <v>19225.0</v>
      </c>
      <c r="R133" s="19" t="s">
        <v>1217</v>
      </c>
      <c r="S133" s="19" t="s">
        <v>1218</v>
      </c>
      <c r="T133" s="20" t="s">
        <v>866</v>
      </c>
    </row>
    <row r="134">
      <c r="A134" s="14">
        <v>6.0</v>
      </c>
      <c r="B134" s="15" t="s">
        <v>1219</v>
      </c>
      <c r="C134" s="16">
        <v>2019.0</v>
      </c>
      <c r="D134" s="16">
        <v>28.0</v>
      </c>
      <c r="E134" s="16">
        <v>10.0</v>
      </c>
      <c r="F134" s="16">
        <v>11.0</v>
      </c>
      <c r="G134" s="16">
        <v>7.0</v>
      </c>
      <c r="H134" s="16">
        <v>26.0</v>
      </c>
      <c r="I134" s="16">
        <v>21.0</v>
      </c>
      <c r="J134" s="17">
        <f>+5</f>
        <v>5</v>
      </c>
      <c r="K134" s="16">
        <v>41.0</v>
      </c>
      <c r="L134" s="16">
        <v>1.46</v>
      </c>
      <c r="M134" s="16">
        <v>30.6</v>
      </c>
      <c r="N134" s="16">
        <v>28.5</v>
      </c>
      <c r="O134" s="17">
        <f>+2.1</f>
        <v>2.1</v>
      </c>
      <c r="P134" s="17">
        <f>+0.08</f>
        <v>0.08</v>
      </c>
      <c r="Q134" s="18">
        <v>12932.0</v>
      </c>
      <c r="R134" s="19" t="s">
        <v>1220</v>
      </c>
      <c r="S134" s="19" t="s">
        <v>1221</v>
      </c>
      <c r="T134" s="20" t="s">
        <v>866</v>
      </c>
    </row>
    <row r="135">
      <c r="A135" s="14">
        <v>7.0</v>
      </c>
      <c r="B135" s="15" t="s">
        <v>1222</v>
      </c>
      <c r="C135" s="16">
        <v>2019.0</v>
      </c>
      <c r="D135" s="16">
        <v>28.0</v>
      </c>
      <c r="E135" s="16">
        <v>11.0</v>
      </c>
      <c r="F135" s="16">
        <v>7.0</v>
      </c>
      <c r="G135" s="16">
        <v>10.0</v>
      </c>
      <c r="H135" s="16">
        <v>42.0</v>
      </c>
      <c r="I135" s="16">
        <v>27.0</v>
      </c>
      <c r="J135" s="17">
        <f>+15</f>
        <v>15</v>
      </c>
      <c r="K135" s="16">
        <v>40.0</v>
      </c>
      <c r="L135" s="16">
        <v>1.43</v>
      </c>
      <c r="M135" s="16">
        <v>37.6</v>
      </c>
      <c r="N135" s="16">
        <v>27.1</v>
      </c>
      <c r="O135" s="17">
        <f>+10.6</f>
        <v>10.6</v>
      </c>
      <c r="P135" s="17">
        <f>+0.38</f>
        <v>0.38</v>
      </c>
      <c r="Q135" s="18">
        <v>47299.0</v>
      </c>
      <c r="R135" s="19" t="s">
        <v>1223</v>
      </c>
      <c r="S135" s="19" t="s">
        <v>1224</v>
      </c>
      <c r="T135" s="21"/>
    </row>
    <row r="136">
      <c r="A136" s="14">
        <v>8.0</v>
      </c>
      <c r="B136" s="15" t="s">
        <v>1225</v>
      </c>
      <c r="C136" s="16">
        <v>2019.0</v>
      </c>
      <c r="D136" s="16">
        <v>28.0</v>
      </c>
      <c r="E136" s="16">
        <v>11.0</v>
      </c>
      <c r="F136" s="16">
        <v>7.0</v>
      </c>
      <c r="G136" s="16">
        <v>10.0</v>
      </c>
      <c r="H136" s="16">
        <v>35.0</v>
      </c>
      <c r="I136" s="16">
        <v>34.0</v>
      </c>
      <c r="J136" s="17">
        <f>+1</f>
        <v>1</v>
      </c>
      <c r="K136" s="16">
        <v>40.0</v>
      </c>
      <c r="L136" s="16">
        <v>1.43</v>
      </c>
      <c r="M136" s="16">
        <v>35.3</v>
      </c>
      <c r="N136" s="16">
        <v>34.7</v>
      </c>
      <c r="O136" s="17">
        <f>+0.5</f>
        <v>0.5</v>
      </c>
      <c r="P136" s="17">
        <f>+0.02</f>
        <v>0.02</v>
      </c>
      <c r="Q136" s="18">
        <v>14147.0</v>
      </c>
      <c r="R136" s="19" t="s">
        <v>1226</v>
      </c>
      <c r="S136" s="19" t="s">
        <v>1227</v>
      </c>
      <c r="T136" s="21"/>
    </row>
    <row r="137">
      <c r="A137" s="14">
        <v>9.0</v>
      </c>
      <c r="B137" s="15" t="s">
        <v>1228</v>
      </c>
      <c r="C137" s="16">
        <v>2019.0</v>
      </c>
      <c r="D137" s="16">
        <v>28.0</v>
      </c>
      <c r="E137" s="16">
        <v>11.0</v>
      </c>
      <c r="F137" s="16">
        <v>7.0</v>
      </c>
      <c r="G137" s="16">
        <v>10.0</v>
      </c>
      <c r="H137" s="16">
        <v>44.0</v>
      </c>
      <c r="I137" s="16">
        <v>44.0</v>
      </c>
      <c r="J137" s="16">
        <v>0.0</v>
      </c>
      <c r="K137" s="16">
        <v>40.0</v>
      </c>
      <c r="L137" s="16">
        <v>1.43</v>
      </c>
      <c r="M137" s="16">
        <v>48.9</v>
      </c>
      <c r="N137" s="16">
        <v>42.7</v>
      </c>
      <c r="O137" s="17">
        <f>+6.1</f>
        <v>6.1</v>
      </c>
      <c r="P137" s="17">
        <f>+0.22</f>
        <v>0.22</v>
      </c>
      <c r="Q137" s="18">
        <v>6451.0</v>
      </c>
      <c r="R137" s="19" t="s">
        <v>1229</v>
      </c>
      <c r="S137" s="19" t="s">
        <v>1230</v>
      </c>
      <c r="T137" s="21"/>
    </row>
    <row r="138">
      <c r="A138" s="14">
        <v>10.0</v>
      </c>
      <c r="B138" s="15" t="s">
        <v>1231</v>
      </c>
      <c r="C138" s="16">
        <v>2019.0</v>
      </c>
      <c r="D138" s="16">
        <v>27.0</v>
      </c>
      <c r="E138" s="16">
        <v>11.0</v>
      </c>
      <c r="F138" s="16">
        <v>5.0</v>
      </c>
      <c r="G138" s="16">
        <v>11.0</v>
      </c>
      <c r="H138" s="16">
        <v>32.0</v>
      </c>
      <c r="I138" s="16">
        <v>32.0</v>
      </c>
      <c r="J138" s="16">
        <v>0.0</v>
      </c>
      <c r="K138" s="16">
        <v>38.0</v>
      </c>
      <c r="L138" s="16">
        <v>1.41</v>
      </c>
      <c r="M138" s="16">
        <v>34.2</v>
      </c>
      <c r="N138" s="16">
        <v>32.2</v>
      </c>
      <c r="O138" s="17">
        <f>+2</f>
        <v>2</v>
      </c>
      <c r="P138" s="17">
        <f>+0.07</f>
        <v>0.07</v>
      </c>
      <c r="Q138" s="18">
        <v>24985.0</v>
      </c>
      <c r="R138" s="19" t="s">
        <v>1232</v>
      </c>
      <c r="S138" s="19" t="s">
        <v>1233</v>
      </c>
      <c r="T138" s="21"/>
    </row>
    <row r="139">
      <c r="A139" s="14">
        <v>11.0</v>
      </c>
      <c r="B139" s="15" t="s">
        <v>1234</v>
      </c>
      <c r="C139" s="16">
        <v>2019.0</v>
      </c>
      <c r="D139" s="16">
        <v>28.0</v>
      </c>
      <c r="E139" s="16">
        <v>11.0</v>
      </c>
      <c r="F139" s="16">
        <v>6.0</v>
      </c>
      <c r="G139" s="16">
        <v>11.0</v>
      </c>
      <c r="H139" s="16">
        <v>28.0</v>
      </c>
      <c r="I139" s="16">
        <v>33.0</v>
      </c>
      <c r="J139" s="16">
        <v>-5.0</v>
      </c>
      <c r="K139" s="16">
        <v>39.0</v>
      </c>
      <c r="L139" s="16">
        <v>1.39</v>
      </c>
      <c r="M139" s="16">
        <v>29.3</v>
      </c>
      <c r="N139" s="16">
        <v>28.4</v>
      </c>
      <c r="O139" s="17">
        <f>+0.9</f>
        <v>0.9</v>
      </c>
      <c r="P139" s="17">
        <f>+0.03</f>
        <v>0.03</v>
      </c>
      <c r="Q139" s="18">
        <v>9825.0</v>
      </c>
      <c r="R139" s="19" t="s">
        <v>1235</v>
      </c>
      <c r="S139" s="19" t="s">
        <v>1236</v>
      </c>
      <c r="T139" s="21"/>
    </row>
    <row r="140">
      <c r="A140" s="14">
        <v>12.0</v>
      </c>
      <c r="B140" s="15" t="s">
        <v>1237</v>
      </c>
      <c r="C140" s="16">
        <v>2019.0</v>
      </c>
      <c r="D140" s="16">
        <v>28.0</v>
      </c>
      <c r="E140" s="16">
        <v>9.0</v>
      </c>
      <c r="F140" s="16">
        <v>10.0</v>
      </c>
      <c r="G140" s="16">
        <v>9.0</v>
      </c>
      <c r="H140" s="16">
        <v>40.0</v>
      </c>
      <c r="I140" s="16">
        <v>34.0</v>
      </c>
      <c r="J140" s="17">
        <f>+6</f>
        <v>6</v>
      </c>
      <c r="K140" s="16">
        <v>37.0</v>
      </c>
      <c r="L140" s="16">
        <v>1.32</v>
      </c>
      <c r="M140" s="16">
        <v>30.4</v>
      </c>
      <c r="N140" s="16">
        <v>36.9</v>
      </c>
      <c r="O140" s="16">
        <v>-6.6</v>
      </c>
      <c r="P140" s="16">
        <v>-0.23</v>
      </c>
      <c r="Q140" s="18">
        <v>23430.0</v>
      </c>
      <c r="R140" s="19" t="s">
        <v>1238</v>
      </c>
      <c r="S140" s="19" t="s">
        <v>1239</v>
      </c>
      <c r="T140" s="21"/>
    </row>
    <row r="141">
      <c r="A141" s="14">
        <v>13.0</v>
      </c>
      <c r="B141" s="15" t="s">
        <v>1240</v>
      </c>
      <c r="C141" s="16">
        <v>2019.0</v>
      </c>
      <c r="D141" s="16">
        <v>28.0</v>
      </c>
      <c r="E141" s="16">
        <v>11.0</v>
      </c>
      <c r="F141" s="16">
        <v>4.0</v>
      </c>
      <c r="G141" s="16">
        <v>13.0</v>
      </c>
      <c r="H141" s="16">
        <v>28.0</v>
      </c>
      <c r="I141" s="16">
        <v>31.0</v>
      </c>
      <c r="J141" s="16">
        <v>-3.0</v>
      </c>
      <c r="K141" s="16">
        <v>37.0</v>
      </c>
      <c r="L141" s="16">
        <v>1.32</v>
      </c>
      <c r="M141" s="16">
        <v>30.2</v>
      </c>
      <c r="N141" s="16">
        <v>31.5</v>
      </c>
      <c r="O141" s="16">
        <v>-1.2</v>
      </c>
      <c r="P141" s="16">
        <v>-0.04</v>
      </c>
      <c r="Q141" s="18">
        <v>24635.0</v>
      </c>
      <c r="R141" s="19" t="s">
        <v>1241</v>
      </c>
      <c r="S141" s="19" t="s">
        <v>1242</v>
      </c>
      <c r="T141" s="21"/>
    </row>
    <row r="142">
      <c r="A142" s="14">
        <v>14.0</v>
      </c>
      <c r="B142" s="15" t="s">
        <v>1243</v>
      </c>
      <c r="C142" s="16">
        <v>2019.0</v>
      </c>
      <c r="D142" s="16">
        <v>28.0</v>
      </c>
      <c r="E142" s="16">
        <v>8.0</v>
      </c>
      <c r="F142" s="16">
        <v>10.0</v>
      </c>
      <c r="G142" s="16">
        <v>10.0</v>
      </c>
      <c r="H142" s="16">
        <v>34.0</v>
      </c>
      <c r="I142" s="16">
        <v>37.0</v>
      </c>
      <c r="J142" s="16">
        <v>-3.0</v>
      </c>
      <c r="K142" s="16">
        <v>34.0</v>
      </c>
      <c r="L142" s="16">
        <v>1.21</v>
      </c>
      <c r="M142" s="16">
        <v>30.7</v>
      </c>
      <c r="N142" s="16">
        <v>45.5</v>
      </c>
      <c r="O142" s="16">
        <v>-14.8</v>
      </c>
      <c r="P142" s="16">
        <v>-0.53</v>
      </c>
      <c r="Q142" s="18">
        <v>13713.0</v>
      </c>
      <c r="R142" s="19" t="s">
        <v>1244</v>
      </c>
      <c r="S142" s="19" t="s">
        <v>1245</v>
      </c>
      <c r="T142" s="21"/>
    </row>
    <row r="143">
      <c r="A143" s="14">
        <v>15.0</v>
      </c>
      <c r="B143" s="15" t="s">
        <v>1246</v>
      </c>
      <c r="C143" s="16">
        <v>2019.0</v>
      </c>
      <c r="D143" s="16">
        <v>28.0</v>
      </c>
      <c r="E143" s="16">
        <v>8.0</v>
      </c>
      <c r="F143" s="16">
        <v>10.0</v>
      </c>
      <c r="G143" s="16">
        <v>10.0</v>
      </c>
      <c r="H143" s="16">
        <v>27.0</v>
      </c>
      <c r="I143" s="16">
        <v>35.0</v>
      </c>
      <c r="J143" s="16">
        <v>-8.0</v>
      </c>
      <c r="K143" s="16">
        <v>34.0</v>
      </c>
      <c r="L143" s="16">
        <v>1.21</v>
      </c>
      <c r="M143" s="16">
        <v>27.1</v>
      </c>
      <c r="N143" s="16">
        <v>38.1</v>
      </c>
      <c r="O143" s="16">
        <v>-11.0</v>
      </c>
      <c r="P143" s="16">
        <v>-0.39</v>
      </c>
      <c r="Q143" s="18">
        <v>16583.0</v>
      </c>
      <c r="R143" s="19" t="s">
        <v>1247</v>
      </c>
      <c r="S143" s="19" t="s">
        <v>1248</v>
      </c>
      <c r="T143" s="21"/>
    </row>
    <row r="144">
      <c r="A144" s="14">
        <v>16.0</v>
      </c>
      <c r="B144" s="15" t="s">
        <v>1249</v>
      </c>
      <c r="C144" s="16">
        <v>2019.0</v>
      </c>
      <c r="D144" s="16">
        <v>28.0</v>
      </c>
      <c r="E144" s="16">
        <v>7.0</v>
      </c>
      <c r="F144" s="16">
        <v>9.0</v>
      </c>
      <c r="G144" s="16">
        <v>12.0</v>
      </c>
      <c r="H144" s="16">
        <v>27.0</v>
      </c>
      <c r="I144" s="16">
        <v>37.0</v>
      </c>
      <c r="J144" s="16">
        <v>-10.0</v>
      </c>
      <c r="K144" s="16">
        <v>30.0</v>
      </c>
      <c r="L144" s="16">
        <v>1.07</v>
      </c>
      <c r="M144" s="16">
        <v>30.5</v>
      </c>
      <c r="N144" s="16">
        <v>38.4</v>
      </c>
      <c r="O144" s="16">
        <v>-8.0</v>
      </c>
      <c r="P144" s="16">
        <v>-0.28</v>
      </c>
      <c r="Q144" s="18">
        <v>12707.0</v>
      </c>
      <c r="R144" s="19" t="s">
        <v>1250</v>
      </c>
      <c r="S144" s="19" t="s">
        <v>1251</v>
      </c>
      <c r="T144" s="21"/>
    </row>
    <row r="145">
      <c r="A145" s="14">
        <v>17.0</v>
      </c>
      <c r="B145" s="15" t="s">
        <v>1252</v>
      </c>
      <c r="C145" s="16">
        <v>2019.0</v>
      </c>
      <c r="D145" s="16">
        <v>28.0</v>
      </c>
      <c r="E145" s="16">
        <v>8.0</v>
      </c>
      <c r="F145" s="16">
        <v>6.0</v>
      </c>
      <c r="G145" s="16">
        <v>14.0</v>
      </c>
      <c r="H145" s="16">
        <v>29.0</v>
      </c>
      <c r="I145" s="16">
        <v>45.0</v>
      </c>
      <c r="J145" s="16">
        <v>-16.0</v>
      </c>
      <c r="K145" s="16">
        <v>30.0</v>
      </c>
      <c r="L145" s="16">
        <v>1.07</v>
      </c>
      <c r="M145" s="16">
        <v>31.4</v>
      </c>
      <c r="N145" s="16">
        <v>38.8</v>
      </c>
      <c r="O145" s="16">
        <v>-7.4</v>
      </c>
      <c r="P145" s="16">
        <v>-0.26</v>
      </c>
      <c r="Q145" s="18">
        <v>23205.0</v>
      </c>
      <c r="R145" s="19" t="s">
        <v>1253</v>
      </c>
      <c r="S145" s="19" t="s">
        <v>1254</v>
      </c>
      <c r="T145" s="21"/>
    </row>
    <row r="146">
      <c r="A146" s="14">
        <v>18.0</v>
      </c>
      <c r="B146" s="15" t="s">
        <v>1255</v>
      </c>
      <c r="C146" s="16">
        <v>2019.0</v>
      </c>
      <c r="D146" s="16">
        <v>28.0</v>
      </c>
      <c r="E146" s="16">
        <v>7.0</v>
      </c>
      <c r="F146" s="16">
        <v>6.0</v>
      </c>
      <c r="G146" s="16">
        <v>15.0</v>
      </c>
      <c r="H146" s="16">
        <v>29.0</v>
      </c>
      <c r="I146" s="16">
        <v>44.0</v>
      </c>
      <c r="J146" s="16">
        <v>-15.0</v>
      </c>
      <c r="K146" s="16">
        <v>27.0</v>
      </c>
      <c r="L146" s="16">
        <v>0.96</v>
      </c>
      <c r="M146" s="16">
        <v>30.3</v>
      </c>
      <c r="N146" s="16">
        <v>40.9</v>
      </c>
      <c r="O146" s="16">
        <v>-10.6</v>
      </c>
      <c r="P146" s="16">
        <v>-0.38</v>
      </c>
      <c r="Q146" s="18">
        <v>12555.0</v>
      </c>
      <c r="R146" s="19" t="s">
        <v>1256</v>
      </c>
      <c r="S146" s="19" t="s">
        <v>1257</v>
      </c>
      <c r="T146" s="21"/>
    </row>
    <row r="147">
      <c r="A147" s="22">
        <v>19.0</v>
      </c>
      <c r="B147" s="15" t="s">
        <v>1258</v>
      </c>
      <c r="C147" s="16">
        <v>2019.0</v>
      </c>
      <c r="D147" s="16">
        <v>28.0</v>
      </c>
      <c r="E147" s="16">
        <v>4.0</v>
      </c>
      <c r="F147" s="16">
        <v>11.0</v>
      </c>
      <c r="G147" s="16">
        <v>13.0</v>
      </c>
      <c r="H147" s="16">
        <v>31.0</v>
      </c>
      <c r="I147" s="16">
        <v>50.0</v>
      </c>
      <c r="J147" s="16">
        <v>-19.0</v>
      </c>
      <c r="K147" s="16">
        <v>23.0</v>
      </c>
      <c r="L147" s="16">
        <v>0.82</v>
      </c>
      <c r="M147" s="16">
        <v>27.4</v>
      </c>
      <c r="N147" s="16">
        <v>39.3</v>
      </c>
      <c r="O147" s="16">
        <v>-11.9</v>
      </c>
      <c r="P147" s="16">
        <v>-0.43</v>
      </c>
      <c r="Q147" s="18">
        <v>11616.0</v>
      </c>
      <c r="R147" s="19" t="s">
        <v>1259</v>
      </c>
      <c r="S147" s="19" t="s">
        <v>1260</v>
      </c>
      <c r="T147" s="20" t="s">
        <v>905</v>
      </c>
    </row>
    <row r="148">
      <c r="A148" s="23">
        <v>20.0</v>
      </c>
      <c r="B148" s="24" t="s">
        <v>1261</v>
      </c>
      <c r="C148" s="16">
        <v>2019.0</v>
      </c>
      <c r="D148" s="25">
        <v>28.0</v>
      </c>
      <c r="E148" s="25">
        <v>3.0</v>
      </c>
      <c r="F148" s="25">
        <v>4.0</v>
      </c>
      <c r="G148" s="25">
        <v>21.0</v>
      </c>
      <c r="H148" s="25">
        <v>22.0</v>
      </c>
      <c r="I148" s="25">
        <v>58.0</v>
      </c>
      <c r="J148" s="25">
        <v>-36.0</v>
      </c>
      <c r="K148" s="25">
        <v>13.0</v>
      </c>
      <c r="L148" s="25">
        <v>0.46</v>
      </c>
      <c r="M148" s="25">
        <v>31.7</v>
      </c>
      <c r="N148" s="25">
        <v>45.6</v>
      </c>
      <c r="O148" s="25">
        <v>-13.9</v>
      </c>
      <c r="P148" s="25">
        <v>-0.5</v>
      </c>
      <c r="Q148" s="26">
        <v>14200.0</v>
      </c>
      <c r="R148" s="27" t="s">
        <v>1262</v>
      </c>
      <c r="S148" s="27" t="s">
        <v>1263</v>
      </c>
      <c r="T148" s="28" t="s">
        <v>905</v>
      </c>
    </row>
    <row r="149">
      <c r="A149" s="11">
        <v>2018.0</v>
      </c>
    </row>
    <row r="150">
      <c r="A150" s="12" t="s">
        <v>831</v>
      </c>
      <c r="B150" s="13" t="s">
        <v>832</v>
      </c>
      <c r="C150" s="13" t="s">
        <v>3</v>
      </c>
      <c r="D150" s="13" t="s">
        <v>833</v>
      </c>
      <c r="E150" s="13" t="s">
        <v>834</v>
      </c>
      <c r="F150" s="13" t="s">
        <v>835</v>
      </c>
      <c r="G150" s="13" t="s">
        <v>836</v>
      </c>
      <c r="H150" s="13" t="s">
        <v>837</v>
      </c>
      <c r="I150" s="13" t="s">
        <v>838</v>
      </c>
      <c r="J150" s="13" t="s">
        <v>839</v>
      </c>
      <c r="K150" s="13" t="s">
        <v>840</v>
      </c>
      <c r="L150" s="13" t="s">
        <v>841</v>
      </c>
      <c r="M150" s="13" t="s">
        <v>842</v>
      </c>
      <c r="N150" s="13" t="s">
        <v>843</v>
      </c>
      <c r="O150" s="13" t="s">
        <v>844</v>
      </c>
      <c r="P150" s="13" t="s">
        <v>845</v>
      </c>
      <c r="Q150" s="13" t="s">
        <v>846</v>
      </c>
      <c r="R150" s="13" t="s">
        <v>847</v>
      </c>
      <c r="S150" s="13" t="s">
        <v>848</v>
      </c>
      <c r="T150" s="13" t="s">
        <v>849</v>
      </c>
    </row>
    <row r="151">
      <c r="A151" s="14">
        <v>1.0</v>
      </c>
      <c r="B151" s="15" t="s">
        <v>1264</v>
      </c>
      <c r="C151" s="16">
        <v>2018.0</v>
      </c>
      <c r="D151" s="16">
        <v>38.0</v>
      </c>
      <c r="E151" s="16">
        <v>29.0</v>
      </c>
      <c r="F151" s="16">
        <v>4.0</v>
      </c>
      <c r="G151" s="16">
        <v>5.0</v>
      </c>
      <c r="H151" s="16">
        <v>105.0</v>
      </c>
      <c r="I151" s="16">
        <v>35.0</v>
      </c>
      <c r="J151" s="17">
        <f>+70</f>
        <v>70</v>
      </c>
      <c r="K151" s="16">
        <v>91.0</v>
      </c>
      <c r="L151" s="16">
        <v>2.39</v>
      </c>
      <c r="M151" s="16">
        <v>88.9</v>
      </c>
      <c r="N151" s="16">
        <v>37.6</v>
      </c>
      <c r="O151" s="17">
        <f>+51.3</f>
        <v>51.3</v>
      </c>
      <c r="P151" s="17">
        <f>+1.35</f>
        <v>1.35</v>
      </c>
      <c r="Q151" s="18">
        <v>46911.0</v>
      </c>
      <c r="R151" s="19" t="s">
        <v>1265</v>
      </c>
      <c r="S151" s="19" t="s">
        <v>1266</v>
      </c>
      <c r="T151" s="20" t="s">
        <v>853</v>
      </c>
    </row>
    <row r="152">
      <c r="A152" s="14">
        <v>2.0</v>
      </c>
      <c r="B152" s="15" t="s">
        <v>1267</v>
      </c>
      <c r="C152" s="16">
        <v>2018.0</v>
      </c>
      <c r="D152" s="16">
        <v>38.0</v>
      </c>
      <c r="E152" s="16">
        <v>22.0</v>
      </c>
      <c r="F152" s="16">
        <v>9.0</v>
      </c>
      <c r="G152" s="16">
        <v>7.0</v>
      </c>
      <c r="H152" s="16">
        <v>68.0</v>
      </c>
      <c r="I152" s="16">
        <v>33.0</v>
      </c>
      <c r="J152" s="17">
        <f>+35</f>
        <v>35</v>
      </c>
      <c r="K152" s="16">
        <v>75.0</v>
      </c>
      <c r="L152" s="16">
        <v>1.97</v>
      </c>
      <c r="M152" s="16">
        <v>59.5</v>
      </c>
      <c r="N152" s="16">
        <v>42.1</v>
      </c>
      <c r="O152" s="17">
        <f>+17.4</f>
        <v>17.4</v>
      </c>
      <c r="P152" s="17">
        <f>+0.46</f>
        <v>0.46</v>
      </c>
      <c r="Q152" s="18">
        <v>34079.0</v>
      </c>
      <c r="R152" s="19" t="s">
        <v>1268</v>
      </c>
      <c r="S152" s="19" t="s">
        <v>1269</v>
      </c>
      <c r="T152" s="20" t="s">
        <v>853</v>
      </c>
    </row>
    <row r="153">
      <c r="A153" s="14">
        <v>3.0</v>
      </c>
      <c r="B153" s="15" t="s">
        <v>1270</v>
      </c>
      <c r="C153" s="16">
        <v>2018.0</v>
      </c>
      <c r="D153" s="16">
        <v>38.0</v>
      </c>
      <c r="E153" s="16">
        <v>21.0</v>
      </c>
      <c r="F153" s="16">
        <v>9.0</v>
      </c>
      <c r="G153" s="16">
        <v>8.0</v>
      </c>
      <c r="H153" s="16">
        <v>70.0</v>
      </c>
      <c r="I153" s="16">
        <v>47.0</v>
      </c>
      <c r="J153" s="17">
        <f>+23</f>
        <v>23</v>
      </c>
      <c r="K153" s="16">
        <v>72.0</v>
      </c>
      <c r="L153" s="16">
        <v>1.89</v>
      </c>
      <c r="M153" s="16">
        <v>73.7</v>
      </c>
      <c r="N153" s="16">
        <v>43.9</v>
      </c>
      <c r="O153" s="17">
        <f>+29.8</f>
        <v>29.8</v>
      </c>
      <c r="P153" s="17">
        <f>+0.78</f>
        <v>0.78</v>
      </c>
      <c r="Q153" s="18">
        <v>49079.0</v>
      </c>
      <c r="R153" s="19" t="s">
        <v>1271</v>
      </c>
      <c r="S153" s="19" t="s">
        <v>1272</v>
      </c>
      <c r="T153" s="20" t="s">
        <v>853</v>
      </c>
    </row>
    <row r="154">
      <c r="A154" s="14">
        <v>4.0</v>
      </c>
      <c r="B154" s="15" t="s">
        <v>1273</v>
      </c>
      <c r="C154" s="16">
        <v>2018.0</v>
      </c>
      <c r="D154" s="16">
        <v>38.0</v>
      </c>
      <c r="E154" s="16">
        <v>19.0</v>
      </c>
      <c r="F154" s="16">
        <v>9.0</v>
      </c>
      <c r="G154" s="16">
        <v>10.0</v>
      </c>
      <c r="H154" s="16">
        <v>59.0</v>
      </c>
      <c r="I154" s="16">
        <v>41.0</v>
      </c>
      <c r="J154" s="17">
        <f>+18</f>
        <v>18</v>
      </c>
      <c r="K154" s="16">
        <v>66.0</v>
      </c>
      <c r="L154" s="16">
        <v>1.74</v>
      </c>
      <c r="M154" s="16">
        <v>56.7</v>
      </c>
      <c r="N154" s="16">
        <v>50.4</v>
      </c>
      <c r="O154" s="17">
        <f>+6.3</f>
        <v>6.3</v>
      </c>
      <c r="P154" s="17">
        <f>+0.17</f>
        <v>0.17</v>
      </c>
      <c r="Q154" s="18">
        <v>28400.0</v>
      </c>
      <c r="R154" s="19" t="s">
        <v>1274</v>
      </c>
      <c r="S154" s="19" t="s">
        <v>1275</v>
      </c>
      <c r="T154" s="20" t="s">
        <v>866</v>
      </c>
    </row>
    <row r="155">
      <c r="A155" s="14">
        <v>5.0</v>
      </c>
      <c r="B155" s="15" t="s">
        <v>1276</v>
      </c>
      <c r="C155" s="16">
        <v>2018.0</v>
      </c>
      <c r="D155" s="16">
        <v>38.0</v>
      </c>
      <c r="E155" s="16">
        <v>18.0</v>
      </c>
      <c r="F155" s="16">
        <v>7.0</v>
      </c>
      <c r="G155" s="16">
        <v>13.0</v>
      </c>
      <c r="H155" s="16">
        <v>60.0</v>
      </c>
      <c r="I155" s="16">
        <v>52.0</v>
      </c>
      <c r="J155" s="17">
        <f>+8</f>
        <v>8</v>
      </c>
      <c r="K155" s="16">
        <v>61.0</v>
      </c>
      <c r="L155" s="16">
        <v>1.61</v>
      </c>
      <c r="M155" s="16">
        <v>52.7</v>
      </c>
      <c r="N155" s="16">
        <v>45.6</v>
      </c>
      <c r="O155" s="17">
        <f>+7.1</f>
        <v>7.1</v>
      </c>
      <c r="P155" s="17">
        <f>+0.19</f>
        <v>0.19</v>
      </c>
      <c r="Q155" s="18">
        <v>50140.0</v>
      </c>
      <c r="R155" s="19" t="s">
        <v>1277</v>
      </c>
      <c r="S155" s="19" t="s">
        <v>1278</v>
      </c>
      <c r="T155" s="21"/>
    </row>
    <row r="156">
      <c r="A156" s="14">
        <v>6.0</v>
      </c>
      <c r="B156" s="15" t="s">
        <v>1279</v>
      </c>
      <c r="C156" s="16">
        <v>2018.0</v>
      </c>
      <c r="D156" s="16">
        <v>38.0</v>
      </c>
      <c r="E156" s="16">
        <v>15.0</v>
      </c>
      <c r="F156" s="16">
        <v>14.0</v>
      </c>
      <c r="G156" s="16">
        <v>9.0</v>
      </c>
      <c r="H156" s="16">
        <v>53.0</v>
      </c>
      <c r="I156" s="16">
        <v>42.0</v>
      </c>
      <c r="J156" s="17">
        <f>+11</f>
        <v>11</v>
      </c>
      <c r="K156" s="16">
        <v>59.0</v>
      </c>
      <c r="L156" s="16">
        <v>1.55</v>
      </c>
      <c r="M156" s="16">
        <v>50.1</v>
      </c>
      <c r="N156" s="16">
        <v>41.8</v>
      </c>
      <c r="O156" s="17">
        <f>+8.2</f>
        <v>8.2</v>
      </c>
      <c r="P156" s="17">
        <f>+0.22</f>
        <v>0.22</v>
      </c>
      <c r="Q156" s="18">
        <v>13829.0</v>
      </c>
      <c r="R156" s="19" t="s">
        <v>1280</v>
      </c>
      <c r="S156" s="19" t="s">
        <v>1281</v>
      </c>
      <c r="T156" s="21"/>
    </row>
    <row r="157">
      <c r="A157" s="14">
        <v>7.0</v>
      </c>
      <c r="B157" s="15" t="s">
        <v>1282</v>
      </c>
      <c r="C157" s="16">
        <v>2018.0</v>
      </c>
      <c r="D157" s="16">
        <v>38.0</v>
      </c>
      <c r="E157" s="16">
        <v>15.0</v>
      </c>
      <c r="F157" s="16">
        <v>11.0</v>
      </c>
      <c r="G157" s="16">
        <v>12.0</v>
      </c>
      <c r="H157" s="16">
        <v>30.0</v>
      </c>
      <c r="I157" s="16">
        <v>35.0</v>
      </c>
      <c r="J157" s="16">
        <v>-5.0</v>
      </c>
      <c r="K157" s="16">
        <v>56.0</v>
      </c>
      <c r="L157" s="16">
        <v>1.47</v>
      </c>
      <c r="M157" s="16">
        <v>46.3</v>
      </c>
      <c r="N157" s="16">
        <v>50.0</v>
      </c>
      <c r="O157" s="16">
        <v>-3.7</v>
      </c>
      <c r="P157" s="16">
        <v>-0.1</v>
      </c>
      <c r="Q157" s="18">
        <v>19126.0</v>
      </c>
      <c r="R157" s="19" t="s">
        <v>1283</v>
      </c>
      <c r="S157" s="19" t="s">
        <v>1284</v>
      </c>
      <c r="T157" s="21"/>
    </row>
    <row r="158">
      <c r="A158" s="14">
        <v>8.0</v>
      </c>
      <c r="B158" s="15" t="s">
        <v>1285</v>
      </c>
      <c r="C158" s="16">
        <v>2018.0</v>
      </c>
      <c r="D158" s="16">
        <v>38.0</v>
      </c>
      <c r="E158" s="16">
        <v>13.0</v>
      </c>
      <c r="F158" s="16">
        <v>16.0</v>
      </c>
      <c r="G158" s="16">
        <v>9.0</v>
      </c>
      <c r="H158" s="16">
        <v>39.0</v>
      </c>
      <c r="I158" s="16">
        <v>42.0</v>
      </c>
      <c r="J158" s="16">
        <v>-3.0</v>
      </c>
      <c r="K158" s="16">
        <v>55.0</v>
      </c>
      <c r="L158" s="16">
        <v>1.45</v>
      </c>
      <c r="M158" s="16">
        <v>38.1</v>
      </c>
      <c r="N158" s="16">
        <v>45.0</v>
      </c>
      <c r="O158" s="16">
        <v>-6.9</v>
      </c>
      <c r="P158" s="16">
        <v>-0.18</v>
      </c>
      <c r="Q158" s="18">
        <v>14342.0</v>
      </c>
      <c r="R158" s="19" t="s">
        <v>1286</v>
      </c>
      <c r="S158" s="19" t="s">
        <v>1287</v>
      </c>
      <c r="T158" s="21"/>
    </row>
    <row r="159">
      <c r="A159" s="14">
        <v>9.0</v>
      </c>
      <c r="B159" s="15" t="s">
        <v>1288</v>
      </c>
      <c r="C159" s="16">
        <v>2018.0</v>
      </c>
      <c r="D159" s="16">
        <v>38.0</v>
      </c>
      <c r="E159" s="16">
        <v>15.0</v>
      </c>
      <c r="F159" s="16">
        <v>8.0</v>
      </c>
      <c r="G159" s="16">
        <v>15.0</v>
      </c>
      <c r="H159" s="16">
        <v>57.0</v>
      </c>
      <c r="I159" s="16">
        <v>58.0</v>
      </c>
      <c r="J159" s="16">
        <v>-1.0</v>
      </c>
      <c r="K159" s="16">
        <v>53.0</v>
      </c>
      <c r="L159" s="16">
        <v>1.39</v>
      </c>
      <c r="M159" s="16">
        <v>50.0</v>
      </c>
      <c r="N159" s="16">
        <v>56.5</v>
      </c>
      <c r="O159" s="16">
        <v>-6.5</v>
      </c>
      <c r="P159" s="16">
        <v>-0.17</v>
      </c>
      <c r="Q159" s="18">
        <v>13994.0</v>
      </c>
      <c r="R159" s="19" t="s">
        <v>1289</v>
      </c>
      <c r="S159" s="19" t="s">
        <v>1290</v>
      </c>
      <c r="T159" s="21"/>
    </row>
    <row r="160">
      <c r="A160" s="14">
        <v>10.0</v>
      </c>
      <c r="B160" s="15" t="s">
        <v>1291</v>
      </c>
      <c r="C160" s="16">
        <v>2018.0</v>
      </c>
      <c r="D160" s="16">
        <v>38.0</v>
      </c>
      <c r="E160" s="16">
        <v>13.0</v>
      </c>
      <c r="F160" s="16">
        <v>13.0</v>
      </c>
      <c r="G160" s="16">
        <v>12.0</v>
      </c>
      <c r="H160" s="16">
        <v>55.0</v>
      </c>
      <c r="I160" s="16">
        <v>52.0</v>
      </c>
      <c r="J160" s="17">
        <f>+3</f>
        <v>3</v>
      </c>
      <c r="K160" s="16">
        <v>52.0</v>
      </c>
      <c r="L160" s="16">
        <v>1.37</v>
      </c>
      <c r="M160" s="16">
        <v>55.6</v>
      </c>
      <c r="N160" s="16">
        <v>47.6</v>
      </c>
      <c r="O160" s="17">
        <f>+8</f>
        <v>8</v>
      </c>
      <c r="P160" s="17">
        <f>+0.21</f>
        <v>0.21</v>
      </c>
      <c r="Q160" s="18">
        <v>23675.0</v>
      </c>
      <c r="R160" s="19" t="s">
        <v>1292</v>
      </c>
      <c r="S160" s="19" t="s">
        <v>1293</v>
      </c>
      <c r="T160" s="20" t="s">
        <v>1294</v>
      </c>
    </row>
    <row r="161">
      <c r="A161" s="14">
        <v>11.0</v>
      </c>
      <c r="B161" s="15" t="s">
        <v>1295</v>
      </c>
      <c r="C161" s="16">
        <v>2018.0</v>
      </c>
      <c r="D161" s="16">
        <v>38.0</v>
      </c>
      <c r="E161" s="16">
        <v>11.0</v>
      </c>
      <c r="F161" s="16">
        <v>16.0</v>
      </c>
      <c r="G161" s="16">
        <v>11.0</v>
      </c>
      <c r="H161" s="16">
        <v>58.0</v>
      </c>
      <c r="I161" s="16">
        <v>48.0</v>
      </c>
      <c r="J161" s="17">
        <f>+10</f>
        <v>10</v>
      </c>
      <c r="K161" s="16">
        <v>49.0</v>
      </c>
      <c r="L161" s="16">
        <v>1.29</v>
      </c>
      <c r="M161" s="16">
        <v>41.3</v>
      </c>
      <c r="N161" s="16">
        <v>51.2</v>
      </c>
      <c r="O161" s="16">
        <v>-9.9</v>
      </c>
      <c r="P161" s="16">
        <v>-0.26</v>
      </c>
      <c r="Q161" s="18">
        <v>25216.0</v>
      </c>
      <c r="R161" s="19" t="s">
        <v>1296</v>
      </c>
      <c r="S161" s="19" t="s">
        <v>1297</v>
      </c>
      <c r="T161" s="20" t="s">
        <v>1298</v>
      </c>
    </row>
    <row r="162">
      <c r="A162" s="14">
        <v>12.0</v>
      </c>
      <c r="B162" s="15" t="s">
        <v>1299</v>
      </c>
      <c r="C162" s="16">
        <v>2018.0</v>
      </c>
      <c r="D162" s="16">
        <v>38.0</v>
      </c>
      <c r="E162" s="16">
        <v>13.0</v>
      </c>
      <c r="F162" s="16">
        <v>9.0</v>
      </c>
      <c r="G162" s="16">
        <v>16.0</v>
      </c>
      <c r="H162" s="16">
        <v>48.0</v>
      </c>
      <c r="I162" s="16">
        <v>48.0</v>
      </c>
      <c r="J162" s="16">
        <v>0.0</v>
      </c>
      <c r="K162" s="16">
        <v>48.0</v>
      </c>
      <c r="L162" s="16">
        <v>1.26</v>
      </c>
      <c r="M162" s="16">
        <v>49.1</v>
      </c>
      <c r="N162" s="16">
        <v>47.0</v>
      </c>
      <c r="O162" s="17">
        <f>+2.1</f>
        <v>2.1</v>
      </c>
      <c r="P162" s="17">
        <f>+0.05</f>
        <v>0.05</v>
      </c>
      <c r="Q162" s="18">
        <v>25185.0</v>
      </c>
      <c r="R162" s="19" t="s">
        <v>1300</v>
      </c>
      <c r="S162" s="19" t="s">
        <v>1301</v>
      </c>
      <c r="T162" s="21"/>
    </row>
    <row r="163">
      <c r="A163" s="14">
        <v>13.0</v>
      </c>
      <c r="B163" s="15" t="s">
        <v>1302</v>
      </c>
      <c r="C163" s="16">
        <v>2018.0</v>
      </c>
      <c r="D163" s="16">
        <v>38.0</v>
      </c>
      <c r="E163" s="16">
        <v>10.0</v>
      </c>
      <c r="F163" s="16">
        <v>16.0</v>
      </c>
      <c r="G163" s="16">
        <v>12.0</v>
      </c>
      <c r="H163" s="16">
        <v>44.0</v>
      </c>
      <c r="I163" s="16">
        <v>49.0</v>
      </c>
      <c r="J163" s="16">
        <v>-5.0</v>
      </c>
      <c r="K163" s="16">
        <v>46.0</v>
      </c>
      <c r="L163" s="16">
        <v>1.21</v>
      </c>
      <c r="M163" s="16">
        <v>50.7</v>
      </c>
      <c r="N163" s="16">
        <v>47.9</v>
      </c>
      <c r="O163" s="17">
        <f>+2.8</f>
        <v>2.8</v>
      </c>
      <c r="P163" s="17">
        <f>+0.07</f>
        <v>0.07</v>
      </c>
      <c r="Q163" s="18">
        <v>11189.0</v>
      </c>
      <c r="R163" s="19" t="s">
        <v>1303</v>
      </c>
      <c r="S163" s="19" t="s">
        <v>1304</v>
      </c>
      <c r="T163" s="21"/>
    </row>
    <row r="164">
      <c r="A164" s="14">
        <v>14.0</v>
      </c>
      <c r="B164" s="15" t="s">
        <v>1305</v>
      </c>
      <c r="C164" s="16">
        <v>2018.0</v>
      </c>
      <c r="D164" s="16">
        <v>38.0</v>
      </c>
      <c r="E164" s="16">
        <v>10.0</v>
      </c>
      <c r="F164" s="16">
        <v>11.0</v>
      </c>
      <c r="G164" s="16">
        <v>17.0</v>
      </c>
      <c r="H164" s="16">
        <v>34.0</v>
      </c>
      <c r="I164" s="16">
        <v>42.0</v>
      </c>
      <c r="J164" s="16">
        <v>-8.0</v>
      </c>
      <c r="K164" s="16">
        <v>41.0</v>
      </c>
      <c r="L164" s="16">
        <v>1.08</v>
      </c>
      <c r="M164" s="16">
        <v>39.7</v>
      </c>
      <c r="N164" s="16">
        <v>53.5</v>
      </c>
      <c r="O164" s="16">
        <v>-13.7</v>
      </c>
      <c r="P164" s="16">
        <v>-0.36</v>
      </c>
      <c r="Q164" s="18">
        <v>20838.0</v>
      </c>
      <c r="R164" s="19" t="s">
        <v>1306</v>
      </c>
      <c r="S164" s="19" t="s">
        <v>1307</v>
      </c>
      <c r="T164" s="21"/>
    </row>
    <row r="165">
      <c r="A165" s="14">
        <v>15.0</v>
      </c>
      <c r="B165" s="15" t="s">
        <v>1308</v>
      </c>
      <c r="C165" s="16">
        <v>2018.0</v>
      </c>
      <c r="D165" s="16">
        <v>38.0</v>
      </c>
      <c r="E165" s="16">
        <v>9.0</v>
      </c>
      <c r="F165" s="16">
        <v>11.0</v>
      </c>
      <c r="G165" s="16">
        <v>18.0</v>
      </c>
      <c r="H165" s="16">
        <v>31.0</v>
      </c>
      <c r="I165" s="16">
        <v>52.0</v>
      </c>
      <c r="J165" s="16">
        <v>-21.0</v>
      </c>
      <c r="K165" s="16">
        <v>38.0</v>
      </c>
      <c r="L165" s="16">
        <v>1.0</v>
      </c>
      <c r="M165" s="16">
        <v>35.4</v>
      </c>
      <c r="N165" s="16">
        <v>49.8</v>
      </c>
      <c r="O165" s="16">
        <v>-14.5</v>
      </c>
      <c r="P165" s="16">
        <v>-0.38</v>
      </c>
      <c r="Q165" s="18">
        <v>11043.0</v>
      </c>
      <c r="R165" s="19" t="s">
        <v>1309</v>
      </c>
      <c r="S165" s="19" t="s">
        <v>1310</v>
      </c>
      <c r="T165" s="21"/>
    </row>
    <row r="166">
      <c r="A166" s="14">
        <v>16.0</v>
      </c>
      <c r="B166" s="15" t="s">
        <v>1311</v>
      </c>
      <c r="C166" s="16">
        <v>2018.0</v>
      </c>
      <c r="D166" s="16">
        <v>38.0</v>
      </c>
      <c r="E166" s="16">
        <v>8.0</v>
      </c>
      <c r="F166" s="16">
        <v>14.0</v>
      </c>
      <c r="G166" s="16">
        <v>16.0</v>
      </c>
      <c r="H166" s="16">
        <v>35.0</v>
      </c>
      <c r="I166" s="16">
        <v>57.0</v>
      </c>
      <c r="J166" s="16">
        <v>-22.0</v>
      </c>
      <c r="K166" s="16">
        <v>38.0</v>
      </c>
      <c r="L166" s="16">
        <v>1.0</v>
      </c>
      <c r="M166" s="16">
        <v>45.7</v>
      </c>
      <c r="N166" s="16">
        <v>56.4</v>
      </c>
      <c r="O166" s="16">
        <v>-10.7</v>
      </c>
      <c r="P166" s="16">
        <v>-0.28</v>
      </c>
      <c r="Q166" s="18">
        <v>16224.0</v>
      </c>
      <c r="R166" s="19" t="s">
        <v>1312</v>
      </c>
      <c r="S166" s="19" t="s">
        <v>1313</v>
      </c>
      <c r="T166" s="21"/>
    </row>
    <row r="167">
      <c r="A167" s="14">
        <v>17.0</v>
      </c>
      <c r="B167" s="15" t="s">
        <v>1314</v>
      </c>
      <c r="C167" s="16">
        <v>2018.0</v>
      </c>
      <c r="D167" s="16">
        <v>38.0</v>
      </c>
      <c r="E167" s="16">
        <v>8.0</v>
      </c>
      <c r="F167" s="16">
        <v>12.0</v>
      </c>
      <c r="G167" s="16">
        <v>18.0</v>
      </c>
      <c r="H167" s="16">
        <v>38.0</v>
      </c>
      <c r="I167" s="16">
        <v>57.0</v>
      </c>
      <c r="J167" s="16">
        <v>-19.0</v>
      </c>
      <c r="K167" s="16">
        <v>36.0</v>
      </c>
      <c r="L167" s="16">
        <v>0.95</v>
      </c>
      <c r="M167" s="16">
        <v>47.4</v>
      </c>
      <c r="N167" s="16">
        <v>50.2</v>
      </c>
      <c r="O167" s="16">
        <v>-2.8</v>
      </c>
      <c r="P167" s="16">
        <v>-0.07</v>
      </c>
      <c r="Q167" s="18">
        <v>8447.0</v>
      </c>
      <c r="R167" s="19" t="s">
        <v>1315</v>
      </c>
      <c r="S167" s="19" t="s">
        <v>1316</v>
      </c>
      <c r="T167" s="21"/>
    </row>
    <row r="168">
      <c r="A168" s="22">
        <v>18.0</v>
      </c>
      <c r="B168" s="15" t="s">
        <v>1317</v>
      </c>
      <c r="C168" s="16">
        <v>2018.0</v>
      </c>
      <c r="D168" s="16">
        <v>38.0</v>
      </c>
      <c r="E168" s="16">
        <v>9.0</v>
      </c>
      <c r="F168" s="16">
        <v>7.0</v>
      </c>
      <c r="G168" s="16">
        <v>22.0</v>
      </c>
      <c r="H168" s="16">
        <v>31.0</v>
      </c>
      <c r="I168" s="16">
        <v>60.0</v>
      </c>
      <c r="J168" s="16">
        <v>-29.0</v>
      </c>
      <c r="K168" s="16">
        <v>34.0</v>
      </c>
      <c r="L168" s="16">
        <v>0.89</v>
      </c>
      <c r="M168" s="16">
        <v>39.8</v>
      </c>
      <c r="N168" s="16">
        <v>58.2</v>
      </c>
      <c r="O168" s="16">
        <v>-18.5</v>
      </c>
      <c r="P168" s="16">
        <v>-0.49</v>
      </c>
      <c r="Q168" s="18">
        <v>13044.0</v>
      </c>
      <c r="R168" s="19" t="s">
        <v>1318</v>
      </c>
      <c r="S168" s="19" t="s">
        <v>1319</v>
      </c>
      <c r="T168" s="20" t="s">
        <v>901</v>
      </c>
    </row>
    <row r="169">
      <c r="A169" s="22">
        <v>19.0</v>
      </c>
      <c r="B169" s="15" t="s">
        <v>1320</v>
      </c>
      <c r="C169" s="16">
        <v>2018.0</v>
      </c>
      <c r="D169" s="16">
        <v>38.0</v>
      </c>
      <c r="E169" s="16">
        <v>7.0</v>
      </c>
      <c r="F169" s="16">
        <v>12.0</v>
      </c>
      <c r="G169" s="16">
        <v>19.0</v>
      </c>
      <c r="H169" s="16">
        <v>29.0</v>
      </c>
      <c r="I169" s="16">
        <v>54.0</v>
      </c>
      <c r="J169" s="16">
        <v>-25.0</v>
      </c>
      <c r="K169" s="16">
        <v>33.0</v>
      </c>
      <c r="L169" s="16">
        <v>0.87</v>
      </c>
      <c r="M169" s="16">
        <v>31.0</v>
      </c>
      <c r="N169" s="16">
        <v>63.8</v>
      </c>
      <c r="O169" s="16">
        <v>-32.8</v>
      </c>
      <c r="P169" s="16">
        <v>-0.86</v>
      </c>
      <c r="Q169" s="18">
        <v>16654.0</v>
      </c>
      <c r="R169" s="19" t="s">
        <v>1321</v>
      </c>
      <c r="S169" s="19" t="s">
        <v>1322</v>
      </c>
      <c r="T169" s="20" t="s">
        <v>905</v>
      </c>
    </row>
    <row r="170">
      <c r="A170" s="23">
        <v>20.0</v>
      </c>
      <c r="B170" s="24" t="s">
        <v>1323</v>
      </c>
      <c r="C170" s="16">
        <v>2018.0</v>
      </c>
      <c r="D170" s="25">
        <v>38.0</v>
      </c>
      <c r="E170" s="25">
        <v>5.0</v>
      </c>
      <c r="F170" s="25">
        <v>12.0</v>
      </c>
      <c r="G170" s="25">
        <v>21.0</v>
      </c>
      <c r="H170" s="25">
        <v>28.0</v>
      </c>
      <c r="I170" s="25">
        <v>68.0</v>
      </c>
      <c r="J170" s="25">
        <v>-40.0</v>
      </c>
      <c r="K170" s="25">
        <v>27.0</v>
      </c>
      <c r="L170" s="25">
        <v>0.71</v>
      </c>
      <c r="M170" s="25">
        <v>40.4</v>
      </c>
      <c r="N170" s="25">
        <v>53.4</v>
      </c>
      <c r="O170" s="25">
        <v>-12.9</v>
      </c>
      <c r="P170" s="25">
        <v>-0.34</v>
      </c>
      <c r="Q170" s="26">
        <v>14731.0</v>
      </c>
      <c r="R170" s="27" t="s">
        <v>1324</v>
      </c>
      <c r="S170" s="27" t="s">
        <v>1325</v>
      </c>
      <c r="T170" s="28" t="s">
        <v>1326</v>
      </c>
    </row>
    <row r="171">
      <c r="A171" s="11">
        <v>2017.0</v>
      </c>
    </row>
    <row r="172">
      <c r="A172" s="12" t="s">
        <v>831</v>
      </c>
      <c r="B172" s="13" t="s">
        <v>832</v>
      </c>
      <c r="C172" s="13" t="s">
        <v>3</v>
      </c>
      <c r="D172" s="13" t="s">
        <v>833</v>
      </c>
      <c r="E172" s="13" t="s">
        <v>834</v>
      </c>
      <c r="F172" s="13" t="s">
        <v>835</v>
      </c>
      <c r="G172" s="13" t="s">
        <v>836</v>
      </c>
      <c r="H172" s="13" t="s">
        <v>837</v>
      </c>
      <c r="I172" s="13" t="s">
        <v>838</v>
      </c>
      <c r="J172" s="13" t="s">
        <v>839</v>
      </c>
      <c r="K172" s="13" t="s">
        <v>840</v>
      </c>
      <c r="L172" s="13" t="s">
        <v>841</v>
      </c>
      <c r="M172" s="13" t="s">
        <v>842</v>
      </c>
      <c r="N172" s="13" t="s">
        <v>843</v>
      </c>
      <c r="O172" s="13" t="s">
        <v>844</v>
      </c>
      <c r="P172" s="13" t="s">
        <v>845</v>
      </c>
      <c r="Q172" s="13" t="s">
        <v>846</v>
      </c>
      <c r="R172" s="13" t="s">
        <v>847</v>
      </c>
      <c r="S172" s="13" t="s">
        <v>848</v>
      </c>
      <c r="T172" s="13" t="s">
        <v>849</v>
      </c>
    </row>
    <row r="173">
      <c r="A173" s="14">
        <v>1.0</v>
      </c>
      <c r="B173" s="15" t="s">
        <v>1327</v>
      </c>
      <c r="C173" s="16">
        <v>2017.0</v>
      </c>
      <c r="D173" s="16">
        <v>38.0</v>
      </c>
      <c r="E173" s="16">
        <v>29.0</v>
      </c>
      <c r="F173" s="16">
        <v>6.0</v>
      </c>
      <c r="G173" s="16">
        <v>3.0</v>
      </c>
      <c r="H173" s="16">
        <v>108.0</v>
      </c>
      <c r="I173" s="16">
        <v>29.0</v>
      </c>
      <c r="J173" s="17">
        <f>+79</f>
        <v>79</v>
      </c>
      <c r="K173" s="16">
        <v>93.0</v>
      </c>
      <c r="L173" s="16">
        <v>2.45</v>
      </c>
      <c r="M173" s="16">
        <v>86.1</v>
      </c>
      <c r="N173" s="16">
        <v>34.3</v>
      </c>
      <c r="O173" s="17">
        <f>+51.7</f>
        <v>51.7</v>
      </c>
      <c r="P173" s="17">
        <f>+1.36</f>
        <v>1.36</v>
      </c>
      <c r="Q173" s="18">
        <v>46930.0</v>
      </c>
      <c r="R173" s="19" t="s">
        <v>1328</v>
      </c>
      <c r="S173" s="19" t="s">
        <v>1329</v>
      </c>
      <c r="T173" s="20" t="s">
        <v>853</v>
      </c>
    </row>
    <row r="174">
      <c r="A174" s="14">
        <v>2.0</v>
      </c>
      <c r="B174" s="15" t="s">
        <v>1330</v>
      </c>
      <c r="C174" s="16">
        <v>2017.0</v>
      </c>
      <c r="D174" s="16">
        <v>38.0</v>
      </c>
      <c r="E174" s="16">
        <v>24.0</v>
      </c>
      <c r="F174" s="16">
        <v>8.0</v>
      </c>
      <c r="G174" s="16">
        <v>6.0</v>
      </c>
      <c r="H174" s="16">
        <v>85.0</v>
      </c>
      <c r="I174" s="16">
        <v>45.0</v>
      </c>
      <c r="J174" s="17">
        <f>+40</f>
        <v>40</v>
      </c>
      <c r="K174" s="16">
        <v>80.0</v>
      </c>
      <c r="L174" s="16">
        <v>2.11</v>
      </c>
      <c r="M174" s="16">
        <v>62.3</v>
      </c>
      <c r="N174" s="16">
        <v>48.5</v>
      </c>
      <c r="O174" s="17">
        <f>+13.8</f>
        <v>13.8</v>
      </c>
      <c r="P174" s="17">
        <f>+0.36</f>
        <v>0.36</v>
      </c>
      <c r="Q174" s="18">
        <v>9243.0</v>
      </c>
      <c r="R174" s="19" t="s">
        <v>1331</v>
      </c>
      <c r="S174" s="19" t="s">
        <v>1332</v>
      </c>
      <c r="T174" s="20" t="s">
        <v>853</v>
      </c>
    </row>
    <row r="175">
      <c r="A175" s="14">
        <v>3.0</v>
      </c>
      <c r="B175" s="15" t="s">
        <v>1333</v>
      </c>
      <c r="C175" s="16">
        <v>2017.0</v>
      </c>
      <c r="D175" s="16">
        <v>38.0</v>
      </c>
      <c r="E175" s="16">
        <v>23.0</v>
      </c>
      <c r="F175" s="16">
        <v>9.0</v>
      </c>
      <c r="G175" s="16">
        <v>6.0</v>
      </c>
      <c r="H175" s="16">
        <v>87.0</v>
      </c>
      <c r="I175" s="16">
        <v>43.0</v>
      </c>
      <c r="J175" s="17">
        <f>+44</f>
        <v>44</v>
      </c>
      <c r="K175" s="16">
        <v>78.0</v>
      </c>
      <c r="L175" s="16">
        <v>2.05</v>
      </c>
      <c r="M175" s="16">
        <v>63.4</v>
      </c>
      <c r="N175" s="16">
        <v>40.1</v>
      </c>
      <c r="O175" s="17">
        <f>+23.3</f>
        <v>23.3</v>
      </c>
      <c r="P175" s="17">
        <f>+0.61</f>
        <v>0.61</v>
      </c>
      <c r="Q175" s="18">
        <v>44047.0</v>
      </c>
      <c r="R175" s="19" t="s">
        <v>1334</v>
      </c>
      <c r="S175" s="19" t="s">
        <v>1335</v>
      </c>
      <c r="T175" s="20" t="s">
        <v>853</v>
      </c>
    </row>
    <row r="176">
      <c r="A176" s="14">
        <v>4.0</v>
      </c>
      <c r="B176" s="15" t="s">
        <v>1336</v>
      </c>
      <c r="C176" s="16">
        <v>2017.0</v>
      </c>
      <c r="D176" s="16">
        <v>38.0</v>
      </c>
      <c r="E176" s="16">
        <v>22.0</v>
      </c>
      <c r="F176" s="16">
        <v>11.0</v>
      </c>
      <c r="G176" s="16">
        <v>5.0</v>
      </c>
      <c r="H176" s="16">
        <v>80.0</v>
      </c>
      <c r="I176" s="16">
        <v>47.0</v>
      </c>
      <c r="J176" s="17">
        <f>+33</f>
        <v>33</v>
      </c>
      <c r="K176" s="16">
        <v>77.0</v>
      </c>
      <c r="L176" s="16">
        <v>2.03</v>
      </c>
      <c r="M176" s="16">
        <v>78.1</v>
      </c>
      <c r="N176" s="16">
        <v>41.8</v>
      </c>
      <c r="O176" s="17">
        <f>+36.3</f>
        <v>36.3</v>
      </c>
      <c r="P176" s="17">
        <f>+0.96</f>
        <v>0.96</v>
      </c>
      <c r="Q176" s="18">
        <v>46616.0</v>
      </c>
      <c r="R176" s="19" t="s">
        <v>1337</v>
      </c>
      <c r="S176" s="19" t="s">
        <v>1338</v>
      </c>
      <c r="T176" s="20" t="s">
        <v>866</v>
      </c>
    </row>
    <row r="177">
      <c r="A177" s="14">
        <v>5.0</v>
      </c>
      <c r="B177" s="15" t="s">
        <v>1339</v>
      </c>
      <c r="C177" s="16">
        <v>2017.0</v>
      </c>
      <c r="D177" s="16">
        <v>38.0</v>
      </c>
      <c r="E177" s="16">
        <v>16.0</v>
      </c>
      <c r="F177" s="16">
        <v>10.0</v>
      </c>
      <c r="G177" s="16">
        <v>12.0</v>
      </c>
      <c r="H177" s="16">
        <v>50.0</v>
      </c>
      <c r="I177" s="16">
        <v>44.0</v>
      </c>
      <c r="J177" s="17">
        <f>+6</f>
        <v>6</v>
      </c>
      <c r="K177" s="16">
        <v>58.0</v>
      </c>
      <c r="L177" s="16">
        <v>1.53</v>
      </c>
      <c r="M177" s="16">
        <v>49.8</v>
      </c>
      <c r="N177" s="16">
        <v>49.3</v>
      </c>
      <c r="O177" s="17">
        <f>+0.5</f>
        <v>0.5</v>
      </c>
      <c r="P177" s="17">
        <f>+0.01</f>
        <v>0.01</v>
      </c>
      <c r="Q177" s="18">
        <v>23111.0</v>
      </c>
      <c r="R177" s="19" t="s">
        <v>1340</v>
      </c>
      <c r="S177" s="19" t="s">
        <v>1341</v>
      </c>
      <c r="T177" s="20" t="s">
        <v>1157</v>
      </c>
    </row>
    <row r="178">
      <c r="A178" s="14">
        <v>6.0</v>
      </c>
      <c r="B178" s="15" t="s">
        <v>1342</v>
      </c>
      <c r="C178" s="16">
        <v>2017.0</v>
      </c>
      <c r="D178" s="16">
        <v>38.0</v>
      </c>
      <c r="E178" s="16">
        <v>16.0</v>
      </c>
      <c r="F178" s="16">
        <v>7.0</v>
      </c>
      <c r="G178" s="16">
        <v>15.0</v>
      </c>
      <c r="H178" s="16">
        <v>53.0</v>
      </c>
      <c r="I178" s="16">
        <v>48.0</v>
      </c>
      <c r="J178" s="17">
        <f>+5</f>
        <v>5</v>
      </c>
      <c r="K178" s="16">
        <v>55.0</v>
      </c>
      <c r="L178" s="16">
        <v>1.45</v>
      </c>
      <c r="M178" s="16">
        <v>51.0</v>
      </c>
      <c r="N178" s="16">
        <v>43.6</v>
      </c>
      <c r="O178" s="17">
        <f>+7.5</f>
        <v>7.5</v>
      </c>
      <c r="P178" s="17">
        <f>+0.2</f>
        <v>0.2</v>
      </c>
      <c r="Q178" s="18">
        <v>26048.0</v>
      </c>
      <c r="R178" s="19" t="s">
        <v>1343</v>
      </c>
      <c r="S178" s="19" t="s">
        <v>1344</v>
      </c>
      <c r="T178" s="20" t="s">
        <v>1345</v>
      </c>
    </row>
    <row r="179">
      <c r="A179" s="14">
        <v>7.0</v>
      </c>
      <c r="B179" s="15" t="s">
        <v>1346</v>
      </c>
      <c r="C179" s="16">
        <v>2017.0</v>
      </c>
      <c r="D179" s="16">
        <v>38.0</v>
      </c>
      <c r="E179" s="16">
        <v>15.0</v>
      </c>
      <c r="F179" s="16">
        <v>10.0</v>
      </c>
      <c r="G179" s="16">
        <v>13.0</v>
      </c>
      <c r="H179" s="16">
        <v>47.0</v>
      </c>
      <c r="I179" s="16">
        <v>50.0</v>
      </c>
      <c r="J179" s="16">
        <v>-3.0</v>
      </c>
      <c r="K179" s="16">
        <v>55.0</v>
      </c>
      <c r="L179" s="16">
        <v>1.45</v>
      </c>
      <c r="M179" s="16">
        <v>51.0</v>
      </c>
      <c r="N179" s="16">
        <v>54.1</v>
      </c>
      <c r="O179" s="16">
        <v>-3.1</v>
      </c>
      <c r="P179" s="16">
        <v>-0.08</v>
      </c>
      <c r="Q179" s="18">
        <v>27563.0</v>
      </c>
      <c r="R179" s="19" t="s">
        <v>1347</v>
      </c>
      <c r="S179" s="19" t="s">
        <v>1348</v>
      </c>
      <c r="T179" s="21"/>
    </row>
    <row r="180">
      <c r="A180" s="14">
        <v>8.0</v>
      </c>
      <c r="B180" s="15" t="s">
        <v>1349</v>
      </c>
      <c r="C180" s="16">
        <v>2017.0</v>
      </c>
      <c r="D180" s="16">
        <v>38.0</v>
      </c>
      <c r="E180" s="16">
        <v>15.0</v>
      </c>
      <c r="F180" s="16">
        <v>9.0</v>
      </c>
      <c r="G180" s="16">
        <v>14.0</v>
      </c>
      <c r="H180" s="16">
        <v>53.0</v>
      </c>
      <c r="I180" s="16">
        <v>52.0</v>
      </c>
      <c r="J180" s="17">
        <f>+1</f>
        <v>1</v>
      </c>
      <c r="K180" s="16">
        <v>54.0</v>
      </c>
      <c r="L180" s="16">
        <v>1.42</v>
      </c>
      <c r="M180" s="16">
        <v>49.2</v>
      </c>
      <c r="N180" s="16">
        <v>49.5</v>
      </c>
      <c r="O180" s="16">
        <v>-0.3</v>
      </c>
      <c r="P180" s="16">
        <v>-0.01</v>
      </c>
      <c r="Q180" s="18">
        <v>22876.0</v>
      </c>
      <c r="R180" s="19" t="s">
        <v>1350</v>
      </c>
      <c r="S180" s="19" t="s">
        <v>1351</v>
      </c>
      <c r="T180" s="21"/>
    </row>
    <row r="181">
      <c r="A181" s="14">
        <v>9.0</v>
      </c>
      <c r="B181" s="15" t="s">
        <v>1352</v>
      </c>
      <c r="C181" s="16">
        <v>2017.0</v>
      </c>
      <c r="D181" s="16">
        <v>38.0</v>
      </c>
      <c r="E181" s="16">
        <v>14.0</v>
      </c>
      <c r="F181" s="16">
        <v>10.0</v>
      </c>
      <c r="G181" s="16">
        <v>14.0</v>
      </c>
      <c r="H181" s="16">
        <v>36.0</v>
      </c>
      <c r="I181" s="16">
        <v>41.0</v>
      </c>
      <c r="J181" s="16">
        <v>-5.0</v>
      </c>
      <c r="K181" s="16">
        <v>52.0</v>
      </c>
      <c r="L181" s="16">
        <v>1.37</v>
      </c>
      <c r="M181" s="16">
        <v>41.8</v>
      </c>
      <c r="N181" s="16">
        <v>38.1</v>
      </c>
      <c r="O181" s="17">
        <f>+3.7</f>
        <v>3.7</v>
      </c>
      <c r="P181" s="17">
        <f t="shared" ref="P181:P182" si="2">+0.1</f>
        <v>0.1</v>
      </c>
      <c r="Q181" s="18">
        <v>24559.0</v>
      </c>
      <c r="R181" s="19" t="s">
        <v>1353</v>
      </c>
      <c r="S181" s="19" t="s">
        <v>1354</v>
      </c>
      <c r="T181" s="21"/>
    </row>
    <row r="182">
      <c r="A182" s="14">
        <v>10.0</v>
      </c>
      <c r="B182" s="15" t="s">
        <v>1355</v>
      </c>
      <c r="C182" s="16">
        <v>2017.0</v>
      </c>
      <c r="D182" s="16">
        <v>38.0</v>
      </c>
      <c r="E182" s="16">
        <v>11.0</v>
      </c>
      <c r="F182" s="16">
        <v>18.0</v>
      </c>
      <c r="G182" s="16">
        <v>9.0</v>
      </c>
      <c r="H182" s="16">
        <v>36.0</v>
      </c>
      <c r="I182" s="16">
        <v>33.0</v>
      </c>
      <c r="J182" s="17">
        <f>+3</f>
        <v>3</v>
      </c>
      <c r="K182" s="16">
        <v>51.0</v>
      </c>
      <c r="L182" s="16">
        <v>1.34</v>
      </c>
      <c r="M182" s="16">
        <v>42.6</v>
      </c>
      <c r="N182" s="16">
        <v>39.0</v>
      </c>
      <c r="O182" s="17">
        <f>+3.6</f>
        <v>3.6</v>
      </c>
      <c r="P182" s="17">
        <f t="shared" si="2"/>
        <v>0.1</v>
      </c>
      <c r="Q182" s="18">
        <v>13458.0</v>
      </c>
      <c r="R182" s="19" t="s">
        <v>1356</v>
      </c>
      <c r="S182" s="19" t="s">
        <v>1357</v>
      </c>
      <c r="T182" s="21"/>
    </row>
    <row r="183">
      <c r="A183" s="14">
        <v>11.0</v>
      </c>
      <c r="B183" s="15" t="s">
        <v>1358</v>
      </c>
      <c r="C183" s="16">
        <v>2017.0</v>
      </c>
      <c r="D183" s="16">
        <v>38.0</v>
      </c>
      <c r="E183" s="16">
        <v>13.0</v>
      </c>
      <c r="F183" s="16">
        <v>9.0</v>
      </c>
      <c r="G183" s="16">
        <v>16.0</v>
      </c>
      <c r="H183" s="16">
        <v>55.0</v>
      </c>
      <c r="I183" s="16">
        <v>73.0</v>
      </c>
      <c r="J183" s="16">
        <v>-18.0</v>
      </c>
      <c r="K183" s="16">
        <v>48.0</v>
      </c>
      <c r="L183" s="16">
        <v>1.26</v>
      </c>
      <c r="M183" s="16">
        <v>41.6</v>
      </c>
      <c r="N183" s="16">
        <v>63.8</v>
      </c>
      <c r="O183" s="16">
        <v>-22.2</v>
      </c>
      <c r="P183" s="16">
        <v>-0.58</v>
      </c>
      <c r="Q183" s="18">
        <v>12228.0</v>
      </c>
      <c r="R183" s="19" t="s">
        <v>1359</v>
      </c>
      <c r="S183" s="19" t="s">
        <v>1360</v>
      </c>
      <c r="T183" s="21"/>
    </row>
    <row r="184">
      <c r="A184" s="14">
        <v>12.0</v>
      </c>
      <c r="B184" s="15" t="s">
        <v>1361</v>
      </c>
      <c r="C184" s="16">
        <v>2017.0</v>
      </c>
      <c r="D184" s="16">
        <v>38.0</v>
      </c>
      <c r="E184" s="16">
        <v>12.0</v>
      </c>
      <c r="F184" s="16">
        <v>11.0</v>
      </c>
      <c r="G184" s="16">
        <v>15.0</v>
      </c>
      <c r="H184" s="16">
        <v>48.0</v>
      </c>
      <c r="I184" s="16">
        <v>59.0</v>
      </c>
      <c r="J184" s="16">
        <v>-11.0</v>
      </c>
      <c r="K184" s="16">
        <v>47.0</v>
      </c>
      <c r="L184" s="16">
        <v>1.24</v>
      </c>
      <c r="M184" s="16">
        <v>45.5</v>
      </c>
      <c r="N184" s="16">
        <v>49.0</v>
      </c>
      <c r="O184" s="16">
        <v>-3.5</v>
      </c>
      <c r="P184" s="16">
        <v>-0.09</v>
      </c>
      <c r="Q184" s="18">
        <v>14502.0</v>
      </c>
      <c r="R184" s="19" t="s">
        <v>1362</v>
      </c>
      <c r="S184" s="19" t="s">
        <v>1363</v>
      </c>
      <c r="T184" s="21"/>
    </row>
    <row r="185">
      <c r="A185" s="14">
        <v>13.0</v>
      </c>
      <c r="B185" s="15" t="s">
        <v>1364</v>
      </c>
      <c r="C185" s="16">
        <v>2017.0</v>
      </c>
      <c r="D185" s="16">
        <v>38.0</v>
      </c>
      <c r="E185" s="16">
        <v>12.0</v>
      </c>
      <c r="F185" s="16">
        <v>9.0</v>
      </c>
      <c r="G185" s="16">
        <v>17.0</v>
      </c>
      <c r="H185" s="16">
        <v>37.0</v>
      </c>
      <c r="I185" s="16">
        <v>42.0</v>
      </c>
      <c r="J185" s="16">
        <v>-5.0</v>
      </c>
      <c r="K185" s="16">
        <v>45.0</v>
      </c>
      <c r="L185" s="16">
        <v>1.18</v>
      </c>
      <c r="M185" s="16">
        <v>32.8</v>
      </c>
      <c r="N185" s="16">
        <v>54.9</v>
      </c>
      <c r="O185" s="16">
        <v>-22.1</v>
      </c>
      <c r="P185" s="16">
        <v>-0.58</v>
      </c>
      <c r="Q185" s="18">
        <v>9521.0</v>
      </c>
      <c r="R185" s="19" t="s">
        <v>1365</v>
      </c>
      <c r="S185" s="19" t="s">
        <v>1366</v>
      </c>
      <c r="T185" s="21"/>
    </row>
    <row r="186">
      <c r="A186" s="14">
        <v>14.0</v>
      </c>
      <c r="B186" s="15" t="s">
        <v>1367</v>
      </c>
      <c r="C186" s="16">
        <v>2017.0</v>
      </c>
      <c r="D186" s="16">
        <v>38.0</v>
      </c>
      <c r="E186" s="16">
        <v>9.0</v>
      </c>
      <c r="F186" s="16">
        <v>14.0</v>
      </c>
      <c r="G186" s="16">
        <v>15.0</v>
      </c>
      <c r="H186" s="16">
        <v>42.0</v>
      </c>
      <c r="I186" s="16">
        <v>52.0</v>
      </c>
      <c r="J186" s="16">
        <v>-10.0</v>
      </c>
      <c r="K186" s="16">
        <v>41.0</v>
      </c>
      <c r="L186" s="16">
        <v>1.08</v>
      </c>
      <c r="M186" s="16">
        <v>47.6</v>
      </c>
      <c r="N186" s="16">
        <v>45.8</v>
      </c>
      <c r="O186" s="17">
        <f>+1.8</f>
        <v>1.8</v>
      </c>
      <c r="P186" s="17">
        <f>+0.05</f>
        <v>0.05</v>
      </c>
      <c r="Q186" s="18">
        <v>11065.0</v>
      </c>
      <c r="R186" s="19" t="s">
        <v>1368</v>
      </c>
      <c r="S186" s="19" t="s">
        <v>1369</v>
      </c>
      <c r="T186" s="21"/>
    </row>
    <row r="187">
      <c r="A187" s="14">
        <v>15.0</v>
      </c>
      <c r="B187" s="15" t="s">
        <v>1370</v>
      </c>
      <c r="C187" s="16">
        <v>2017.0</v>
      </c>
      <c r="D187" s="16">
        <v>38.0</v>
      </c>
      <c r="E187" s="16">
        <v>9.0</v>
      </c>
      <c r="F187" s="16">
        <v>11.0</v>
      </c>
      <c r="G187" s="16">
        <v>18.0</v>
      </c>
      <c r="H187" s="16">
        <v>44.0</v>
      </c>
      <c r="I187" s="16">
        <v>67.0</v>
      </c>
      <c r="J187" s="16">
        <v>-23.0</v>
      </c>
      <c r="K187" s="16">
        <v>38.0</v>
      </c>
      <c r="L187" s="16">
        <v>1.0</v>
      </c>
      <c r="M187" s="16">
        <v>45.5</v>
      </c>
      <c r="N187" s="16">
        <v>58.4</v>
      </c>
      <c r="O187" s="16">
        <v>-12.9</v>
      </c>
      <c r="P187" s="16">
        <v>-0.34</v>
      </c>
      <c r="Q187" s="18">
        <v>24064.0</v>
      </c>
      <c r="R187" s="19" t="s">
        <v>1371</v>
      </c>
      <c r="S187" s="19" t="s">
        <v>1372</v>
      </c>
      <c r="T187" s="21"/>
    </row>
    <row r="188">
      <c r="A188" s="14">
        <v>16.0</v>
      </c>
      <c r="B188" s="15" t="s">
        <v>1373</v>
      </c>
      <c r="C188" s="16">
        <v>2017.0</v>
      </c>
      <c r="D188" s="16">
        <v>38.0</v>
      </c>
      <c r="E188" s="16">
        <v>10.0</v>
      </c>
      <c r="F188" s="16">
        <v>8.0</v>
      </c>
      <c r="G188" s="16">
        <v>20.0</v>
      </c>
      <c r="H188" s="16">
        <v>27.0</v>
      </c>
      <c r="I188" s="16">
        <v>52.0</v>
      </c>
      <c r="J188" s="16">
        <v>-25.0</v>
      </c>
      <c r="K188" s="16">
        <v>38.0</v>
      </c>
      <c r="L188" s="16">
        <v>1.0</v>
      </c>
      <c r="M188" s="16">
        <v>42.8</v>
      </c>
      <c r="N188" s="16">
        <v>48.0</v>
      </c>
      <c r="O188" s="16">
        <v>-5.2</v>
      </c>
      <c r="P188" s="16">
        <v>-0.14</v>
      </c>
      <c r="Q188" s="18">
        <v>17187.0</v>
      </c>
      <c r="R188" s="19" t="s">
        <v>1374</v>
      </c>
      <c r="S188" s="19" t="s">
        <v>1375</v>
      </c>
      <c r="T188" s="21"/>
    </row>
    <row r="189">
      <c r="A189" s="14">
        <v>17.0</v>
      </c>
      <c r="B189" s="15" t="s">
        <v>1376</v>
      </c>
      <c r="C189" s="16">
        <v>2017.0</v>
      </c>
      <c r="D189" s="16">
        <v>38.0</v>
      </c>
      <c r="E189" s="16">
        <v>10.0</v>
      </c>
      <c r="F189" s="16">
        <v>8.0</v>
      </c>
      <c r="G189" s="16">
        <v>20.0</v>
      </c>
      <c r="H189" s="16">
        <v>41.0</v>
      </c>
      <c r="I189" s="16">
        <v>67.0</v>
      </c>
      <c r="J189" s="16">
        <v>-26.0</v>
      </c>
      <c r="K189" s="16">
        <v>38.0</v>
      </c>
      <c r="L189" s="16">
        <v>1.0</v>
      </c>
      <c r="M189" s="16">
        <v>36.4</v>
      </c>
      <c r="N189" s="16">
        <v>57.9</v>
      </c>
      <c r="O189" s="16">
        <v>-21.5</v>
      </c>
      <c r="P189" s="16">
        <v>-0.57</v>
      </c>
      <c r="Q189" s="18">
        <v>31453.0</v>
      </c>
      <c r="R189" s="19" t="s">
        <v>1377</v>
      </c>
      <c r="S189" s="19" t="s">
        <v>1378</v>
      </c>
      <c r="T189" s="21"/>
    </row>
    <row r="190">
      <c r="A190" s="22">
        <v>18.0</v>
      </c>
      <c r="B190" s="15" t="s">
        <v>1379</v>
      </c>
      <c r="C190" s="16">
        <v>2017.0</v>
      </c>
      <c r="D190" s="16">
        <v>38.0</v>
      </c>
      <c r="E190" s="16">
        <v>9.0</v>
      </c>
      <c r="F190" s="16">
        <v>10.0</v>
      </c>
      <c r="G190" s="16">
        <v>19.0</v>
      </c>
      <c r="H190" s="16">
        <v>38.0</v>
      </c>
      <c r="I190" s="16">
        <v>54.0</v>
      </c>
      <c r="J190" s="16">
        <v>-16.0</v>
      </c>
      <c r="K190" s="16">
        <v>37.0</v>
      </c>
      <c r="L190" s="16">
        <v>0.97</v>
      </c>
      <c r="M190" s="16">
        <v>45.5</v>
      </c>
      <c r="N190" s="16">
        <v>52.1</v>
      </c>
      <c r="O190" s="16">
        <v>-6.6</v>
      </c>
      <c r="P190" s="16">
        <v>-0.17</v>
      </c>
      <c r="Q190" s="18">
        <v>16929.0</v>
      </c>
      <c r="R190" s="19" t="s">
        <v>1380</v>
      </c>
      <c r="S190" s="19" t="s">
        <v>1381</v>
      </c>
      <c r="T190" s="20" t="s">
        <v>901</v>
      </c>
    </row>
    <row r="191">
      <c r="A191" s="22">
        <v>19.0</v>
      </c>
      <c r="B191" s="15" t="s">
        <v>1382</v>
      </c>
      <c r="C191" s="16">
        <v>2017.0</v>
      </c>
      <c r="D191" s="16">
        <v>38.0</v>
      </c>
      <c r="E191" s="16">
        <v>9.0</v>
      </c>
      <c r="F191" s="16">
        <v>6.0</v>
      </c>
      <c r="G191" s="16">
        <v>23.0</v>
      </c>
      <c r="H191" s="16">
        <v>32.0</v>
      </c>
      <c r="I191" s="16">
        <v>59.0</v>
      </c>
      <c r="J191" s="16">
        <v>-27.0</v>
      </c>
      <c r="K191" s="16">
        <v>33.0</v>
      </c>
      <c r="L191" s="16">
        <v>0.87</v>
      </c>
      <c r="M191" s="16">
        <v>38.0</v>
      </c>
      <c r="N191" s="16">
        <v>52.0</v>
      </c>
      <c r="O191" s="16">
        <v>-14.0</v>
      </c>
      <c r="P191" s="16">
        <v>-0.37</v>
      </c>
      <c r="Q191" s="18">
        <v>11723.0</v>
      </c>
      <c r="R191" s="19" t="s">
        <v>1383</v>
      </c>
      <c r="S191" s="19" t="s">
        <v>1384</v>
      </c>
      <c r="T191" s="20" t="s">
        <v>905</v>
      </c>
    </row>
    <row r="192">
      <c r="A192" s="23">
        <v>20.0</v>
      </c>
      <c r="B192" s="24" t="s">
        <v>1385</v>
      </c>
      <c r="C192" s="16">
        <v>2017.0</v>
      </c>
      <c r="D192" s="25">
        <v>38.0</v>
      </c>
      <c r="E192" s="25">
        <v>6.0</v>
      </c>
      <c r="F192" s="25">
        <v>8.0</v>
      </c>
      <c r="G192" s="25">
        <v>24.0</v>
      </c>
      <c r="H192" s="25">
        <v>34.0</v>
      </c>
      <c r="I192" s="25">
        <v>76.0</v>
      </c>
      <c r="J192" s="25">
        <v>-42.0</v>
      </c>
      <c r="K192" s="25">
        <v>26.0</v>
      </c>
      <c r="L192" s="25">
        <v>0.68</v>
      </c>
      <c r="M192" s="25">
        <v>40.3</v>
      </c>
      <c r="N192" s="25">
        <v>71.3</v>
      </c>
      <c r="O192" s="25">
        <v>-31.0</v>
      </c>
      <c r="P192" s="25">
        <v>-0.81</v>
      </c>
      <c r="Q192" s="26">
        <v>14844.0</v>
      </c>
      <c r="R192" s="27" t="s">
        <v>1386</v>
      </c>
      <c r="S192" s="27" t="s">
        <v>1387</v>
      </c>
      <c r="T192" s="28" t="s">
        <v>905</v>
      </c>
    </row>
    <row r="193">
      <c r="A193" s="11">
        <v>2016.0</v>
      </c>
    </row>
    <row r="194">
      <c r="A194" s="12" t="s">
        <v>831</v>
      </c>
      <c r="B194" s="13" t="s">
        <v>832</v>
      </c>
      <c r="C194" s="13" t="s">
        <v>3</v>
      </c>
      <c r="D194" s="13" t="s">
        <v>833</v>
      </c>
      <c r="E194" s="13" t="s">
        <v>834</v>
      </c>
      <c r="F194" s="13" t="s">
        <v>835</v>
      </c>
      <c r="G194" s="13" t="s">
        <v>836</v>
      </c>
      <c r="H194" s="13" t="s">
        <v>837</v>
      </c>
      <c r="I194" s="13" t="s">
        <v>838</v>
      </c>
      <c r="J194" s="13" t="s">
        <v>839</v>
      </c>
      <c r="K194" s="13" t="s">
        <v>840</v>
      </c>
      <c r="L194" s="13" t="s">
        <v>841</v>
      </c>
      <c r="M194" s="13" t="s">
        <v>846</v>
      </c>
      <c r="N194" s="13" t="s">
        <v>847</v>
      </c>
      <c r="O194" s="13" t="s">
        <v>848</v>
      </c>
      <c r="P194" s="13" t="s">
        <v>849</v>
      </c>
    </row>
    <row r="195">
      <c r="A195" s="14">
        <v>1.0</v>
      </c>
      <c r="B195" s="15" t="s">
        <v>1388</v>
      </c>
      <c r="C195" s="16">
        <v>2016.0</v>
      </c>
      <c r="D195" s="16">
        <v>38.0</v>
      </c>
      <c r="E195" s="16">
        <v>30.0</v>
      </c>
      <c r="F195" s="16">
        <v>5.0</v>
      </c>
      <c r="G195" s="16">
        <v>3.0</v>
      </c>
      <c r="H195" s="16">
        <v>107.0</v>
      </c>
      <c r="I195" s="16">
        <v>31.0</v>
      </c>
      <c r="J195" s="17">
        <f>+76</f>
        <v>76</v>
      </c>
      <c r="K195" s="16">
        <v>95.0</v>
      </c>
      <c r="L195" s="16">
        <v>2.5</v>
      </c>
      <c r="M195" s="18">
        <v>9315.0</v>
      </c>
      <c r="N195" s="19" t="s">
        <v>1389</v>
      </c>
      <c r="O195" s="19" t="s">
        <v>1390</v>
      </c>
      <c r="P195" s="20" t="s">
        <v>853</v>
      </c>
    </row>
    <row r="196">
      <c r="A196" s="14">
        <v>2.0</v>
      </c>
      <c r="B196" s="15" t="s">
        <v>1391</v>
      </c>
      <c r="C196" s="16">
        <v>2016.0</v>
      </c>
      <c r="D196" s="16">
        <v>38.0</v>
      </c>
      <c r="E196" s="16">
        <v>27.0</v>
      </c>
      <c r="F196" s="16">
        <v>6.0</v>
      </c>
      <c r="G196" s="16">
        <v>5.0</v>
      </c>
      <c r="H196" s="16">
        <v>83.0</v>
      </c>
      <c r="I196" s="16">
        <v>27.0</v>
      </c>
      <c r="J196" s="17">
        <f>+56</f>
        <v>56</v>
      </c>
      <c r="K196" s="16">
        <v>87.0</v>
      </c>
      <c r="L196" s="16">
        <v>2.29</v>
      </c>
      <c r="M196" s="18">
        <v>45159.0</v>
      </c>
      <c r="N196" s="19" t="s">
        <v>1392</v>
      </c>
      <c r="O196" s="19" t="s">
        <v>1393</v>
      </c>
      <c r="P196" s="20" t="s">
        <v>853</v>
      </c>
    </row>
    <row r="197">
      <c r="A197" s="14">
        <v>3.0</v>
      </c>
      <c r="B197" s="15" t="s">
        <v>1394</v>
      </c>
      <c r="C197" s="16">
        <v>2016.0</v>
      </c>
      <c r="D197" s="16">
        <v>38.0</v>
      </c>
      <c r="E197" s="16">
        <v>22.0</v>
      </c>
      <c r="F197" s="16">
        <v>12.0</v>
      </c>
      <c r="G197" s="16">
        <v>4.0</v>
      </c>
      <c r="H197" s="16">
        <v>63.0</v>
      </c>
      <c r="I197" s="16">
        <v>36.0</v>
      </c>
      <c r="J197" s="17">
        <f>+27</f>
        <v>27</v>
      </c>
      <c r="K197" s="16">
        <v>78.0</v>
      </c>
      <c r="L197" s="16">
        <v>2.05</v>
      </c>
      <c r="M197" s="18">
        <v>22949.0</v>
      </c>
      <c r="N197" s="19" t="s">
        <v>1395</v>
      </c>
      <c r="O197" s="19" t="s">
        <v>1396</v>
      </c>
      <c r="P197" s="20" t="s">
        <v>853</v>
      </c>
    </row>
    <row r="198">
      <c r="A198" s="14">
        <v>4.0</v>
      </c>
      <c r="B198" s="15" t="s">
        <v>1397</v>
      </c>
      <c r="C198" s="16">
        <v>2016.0</v>
      </c>
      <c r="D198" s="16">
        <v>38.0</v>
      </c>
      <c r="E198" s="16">
        <v>21.0</v>
      </c>
      <c r="F198" s="16">
        <v>4.0</v>
      </c>
      <c r="G198" s="16">
        <v>13.0</v>
      </c>
      <c r="H198" s="16">
        <v>77.0</v>
      </c>
      <c r="I198" s="16">
        <v>48.0</v>
      </c>
      <c r="J198" s="17">
        <f>+29</f>
        <v>29</v>
      </c>
      <c r="K198" s="16">
        <v>67.0</v>
      </c>
      <c r="L198" s="16">
        <v>1.76</v>
      </c>
      <c r="M198" s="18">
        <v>39171.0</v>
      </c>
      <c r="N198" s="19" t="s">
        <v>1398</v>
      </c>
      <c r="O198" s="19" t="s">
        <v>1399</v>
      </c>
      <c r="P198" s="20" t="s">
        <v>1157</v>
      </c>
    </row>
    <row r="199">
      <c r="A199" s="14">
        <v>5.0</v>
      </c>
      <c r="B199" s="15" t="s">
        <v>1400</v>
      </c>
      <c r="C199" s="16">
        <v>2016.0</v>
      </c>
      <c r="D199" s="16">
        <v>38.0</v>
      </c>
      <c r="E199" s="16">
        <v>17.0</v>
      </c>
      <c r="F199" s="16">
        <v>11.0</v>
      </c>
      <c r="G199" s="16">
        <v>10.0</v>
      </c>
      <c r="H199" s="16">
        <v>57.0</v>
      </c>
      <c r="I199" s="16">
        <v>41.0</v>
      </c>
      <c r="J199" s="17">
        <f>+16</f>
        <v>16</v>
      </c>
      <c r="K199" s="16">
        <v>62.0</v>
      </c>
      <c r="L199" s="16">
        <v>1.63</v>
      </c>
      <c r="M199" s="18">
        <v>39898.0</v>
      </c>
      <c r="N199" s="19" t="s">
        <v>1401</v>
      </c>
      <c r="O199" s="19" t="s">
        <v>1402</v>
      </c>
      <c r="P199" s="20" t="s">
        <v>1345</v>
      </c>
    </row>
    <row r="200">
      <c r="A200" s="14">
        <v>6.0</v>
      </c>
      <c r="B200" s="15" t="s">
        <v>1403</v>
      </c>
      <c r="C200" s="16">
        <v>2016.0</v>
      </c>
      <c r="D200" s="16">
        <v>38.0</v>
      </c>
      <c r="E200" s="16">
        <v>15.0</v>
      </c>
      <c r="F200" s="16">
        <v>14.0</v>
      </c>
      <c r="G200" s="16">
        <v>9.0</v>
      </c>
      <c r="H200" s="16">
        <v>53.0</v>
      </c>
      <c r="I200" s="16">
        <v>43.0</v>
      </c>
      <c r="J200" s="17">
        <f>+10</f>
        <v>10</v>
      </c>
      <c r="K200" s="16">
        <v>59.0</v>
      </c>
      <c r="L200" s="16">
        <v>1.55</v>
      </c>
      <c r="M200" s="18">
        <v>24217.0</v>
      </c>
      <c r="N200" s="19" t="s">
        <v>1404</v>
      </c>
      <c r="O200" s="19" t="s">
        <v>1405</v>
      </c>
      <c r="P200" s="20" t="s">
        <v>866</v>
      </c>
    </row>
    <row r="201">
      <c r="A201" s="14">
        <v>7.0</v>
      </c>
      <c r="B201" s="15" t="s">
        <v>1406</v>
      </c>
      <c r="C201" s="16">
        <v>2016.0</v>
      </c>
      <c r="D201" s="16">
        <v>38.0</v>
      </c>
      <c r="E201" s="16">
        <v>14.0</v>
      </c>
      <c r="F201" s="16">
        <v>9.0</v>
      </c>
      <c r="G201" s="16">
        <v>15.0</v>
      </c>
      <c r="H201" s="16">
        <v>40.0</v>
      </c>
      <c r="I201" s="16">
        <v>54.0</v>
      </c>
      <c r="J201" s="16">
        <v>-14.0</v>
      </c>
      <c r="K201" s="16">
        <v>51.0</v>
      </c>
      <c r="L201" s="16">
        <v>1.34</v>
      </c>
      <c r="M201" s="18">
        <v>23152.0</v>
      </c>
      <c r="N201" s="19" t="s">
        <v>1407</v>
      </c>
      <c r="O201" s="19" t="s">
        <v>1408</v>
      </c>
      <c r="P201" s="21"/>
    </row>
    <row r="202">
      <c r="A202" s="14">
        <v>8.0</v>
      </c>
      <c r="B202" s="15" t="s">
        <v>1409</v>
      </c>
      <c r="C202" s="16">
        <v>2016.0</v>
      </c>
      <c r="D202" s="16">
        <v>38.0</v>
      </c>
      <c r="E202" s="16">
        <v>12.0</v>
      </c>
      <c r="F202" s="16">
        <v>14.0</v>
      </c>
      <c r="G202" s="16">
        <v>12.0</v>
      </c>
      <c r="H202" s="16">
        <v>41.0</v>
      </c>
      <c r="I202" s="16">
        <v>42.0</v>
      </c>
      <c r="J202" s="16">
        <v>-1.0</v>
      </c>
      <c r="K202" s="16">
        <v>50.0</v>
      </c>
      <c r="L202" s="16">
        <v>1.32</v>
      </c>
      <c r="M202" s="18">
        <v>25794.0</v>
      </c>
      <c r="N202" s="19" t="s">
        <v>1410</v>
      </c>
      <c r="O202" s="19" t="s">
        <v>1411</v>
      </c>
      <c r="P202" s="21"/>
    </row>
    <row r="203">
      <c r="A203" s="14">
        <v>9.0</v>
      </c>
      <c r="B203" s="15" t="s">
        <v>1412</v>
      </c>
      <c r="C203" s="16">
        <v>2016.0</v>
      </c>
      <c r="D203" s="16">
        <v>38.0</v>
      </c>
      <c r="E203" s="16">
        <v>12.0</v>
      </c>
      <c r="F203" s="16">
        <v>14.0</v>
      </c>
      <c r="G203" s="16">
        <v>12.0</v>
      </c>
      <c r="H203" s="16">
        <v>36.0</v>
      </c>
      <c r="I203" s="16">
        <v>42.0</v>
      </c>
      <c r="J203" s="16">
        <v>-6.0</v>
      </c>
      <c r="K203" s="16">
        <v>50.0</v>
      </c>
      <c r="L203" s="16">
        <v>1.32</v>
      </c>
      <c r="M203" s="18">
        <v>22689.0</v>
      </c>
      <c r="N203" s="19" t="s">
        <v>1413</v>
      </c>
      <c r="O203" s="19" t="s">
        <v>1414</v>
      </c>
      <c r="P203" s="21"/>
    </row>
    <row r="204">
      <c r="A204" s="14">
        <v>10.0</v>
      </c>
      <c r="B204" s="15" t="s">
        <v>1415</v>
      </c>
      <c r="C204" s="16">
        <v>2016.0</v>
      </c>
      <c r="D204" s="16">
        <v>38.0</v>
      </c>
      <c r="E204" s="16">
        <v>14.0</v>
      </c>
      <c r="F204" s="16">
        <v>8.0</v>
      </c>
      <c r="G204" s="16">
        <v>16.0</v>
      </c>
      <c r="H204" s="16">
        <v>46.0</v>
      </c>
      <c r="I204" s="16">
        <v>53.0</v>
      </c>
      <c r="J204" s="16">
        <v>-7.0</v>
      </c>
      <c r="K204" s="16">
        <v>50.0</v>
      </c>
      <c r="L204" s="16">
        <v>1.32</v>
      </c>
      <c r="M204" s="18">
        <v>14790.0</v>
      </c>
      <c r="N204" s="19" t="s">
        <v>1416</v>
      </c>
      <c r="O204" s="19" t="s">
        <v>1417</v>
      </c>
      <c r="P204" s="21"/>
    </row>
    <row r="205">
      <c r="A205" s="14">
        <v>11.0</v>
      </c>
      <c r="B205" s="15" t="s">
        <v>1418</v>
      </c>
      <c r="C205" s="16">
        <v>2016.0</v>
      </c>
      <c r="D205" s="16">
        <v>38.0</v>
      </c>
      <c r="E205" s="16">
        <v>13.0</v>
      </c>
      <c r="F205" s="16">
        <v>7.0</v>
      </c>
      <c r="G205" s="16">
        <v>18.0</v>
      </c>
      <c r="H205" s="16">
        <v>40.0</v>
      </c>
      <c r="I205" s="16">
        <v>47.0</v>
      </c>
      <c r="J205" s="16">
        <v>-7.0</v>
      </c>
      <c r="K205" s="16">
        <v>46.0</v>
      </c>
      <c r="L205" s="16">
        <v>1.21</v>
      </c>
      <c r="M205" s="18">
        <v>29487.0</v>
      </c>
      <c r="N205" s="19" t="s">
        <v>1419</v>
      </c>
      <c r="O205" s="19" t="s">
        <v>1420</v>
      </c>
      <c r="P205" s="21"/>
    </row>
    <row r="206">
      <c r="A206" s="14">
        <v>12.0</v>
      </c>
      <c r="B206" s="15" t="s">
        <v>1421</v>
      </c>
      <c r="C206" s="16">
        <v>2016.0</v>
      </c>
      <c r="D206" s="16">
        <v>38.0</v>
      </c>
      <c r="E206" s="16">
        <v>13.0</v>
      </c>
      <c r="F206" s="16">
        <v>7.0</v>
      </c>
      <c r="G206" s="16">
        <v>18.0</v>
      </c>
      <c r="H206" s="16">
        <v>40.0</v>
      </c>
      <c r="I206" s="16">
        <v>49.0</v>
      </c>
      <c r="J206" s="16">
        <v>-9.0</v>
      </c>
      <c r="K206" s="16">
        <v>46.0</v>
      </c>
      <c r="L206" s="16">
        <v>1.21</v>
      </c>
      <c r="M206" s="18">
        <v>11954.0</v>
      </c>
      <c r="N206" s="19" t="s">
        <v>1422</v>
      </c>
      <c r="O206" s="19" t="s">
        <v>1423</v>
      </c>
      <c r="P206" s="21"/>
    </row>
    <row r="207">
      <c r="A207" s="14">
        <v>13.0</v>
      </c>
      <c r="B207" s="15" t="s">
        <v>1424</v>
      </c>
      <c r="C207" s="16">
        <v>2016.0</v>
      </c>
      <c r="D207" s="16">
        <v>38.0</v>
      </c>
      <c r="E207" s="16">
        <v>10.0</v>
      </c>
      <c r="F207" s="16">
        <v>14.0</v>
      </c>
      <c r="G207" s="16">
        <v>14.0</v>
      </c>
      <c r="H207" s="16">
        <v>37.0</v>
      </c>
      <c r="I207" s="16">
        <v>41.0</v>
      </c>
      <c r="J207" s="16">
        <v>-4.0</v>
      </c>
      <c r="K207" s="16">
        <v>44.0</v>
      </c>
      <c r="L207" s="16">
        <v>1.16</v>
      </c>
      <c r="M207" s="18">
        <v>17068.0</v>
      </c>
      <c r="N207" s="19" t="s">
        <v>1425</v>
      </c>
      <c r="O207" s="19" t="s">
        <v>1426</v>
      </c>
      <c r="P207" s="21"/>
    </row>
    <row r="208">
      <c r="A208" s="14">
        <v>14.0</v>
      </c>
      <c r="B208" s="15" t="s">
        <v>1427</v>
      </c>
      <c r="C208" s="16">
        <v>2016.0</v>
      </c>
      <c r="D208" s="16">
        <v>38.0</v>
      </c>
      <c r="E208" s="16">
        <v>11.0</v>
      </c>
      <c r="F208" s="16">
        <v>10.0</v>
      </c>
      <c r="G208" s="16">
        <v>17.0</v>
      </c>
      <c r="H208" s="16">
        <v>39.0</v>
      </c>
      <c r="I208" s="16">
        <v>72.0</v>
      </c>
      <c r="J208" s="16">
        <v>-33.0</v>
      </c>
      <c r="K208" s="16">
        <v>43.0</v>
      </c>
      <c r="L208" s="16">
        <v>1.13</v>
      </c>
      <c r="M208" s="18">
        <v>15344.0</v>
      </c>
      <c r="N208" s="19" t="s">
        <v>1428</v>
      </c>
      <c r="O208" s="19" t="s">
        <v>1429</v>
      </c>
      <c r="P208" s="21"/>
    </row>
    <row r="209">
      <c r="A209" s="14">
        <v>15.0</v>
      </c>
      <c r="B209" s="15" t="s">
        <v>1430</v>
      </c>
      <c r="C209" s="16">
        <v>2016.0</v>
      </c>
      <c r="D209" s="16">
        <v>38.0</v>
      </c>
      <c r="E209" s="16">
        <v>10.0</v>
      </c>
      <c r="F209" s="16">
        <v>9.0</v>
      </c>
      <c r="G209" s="16">
        <v>19.0</v>
      </c>
      <c r="H209" s="16">
        <v>48.0</v>
      </c>
      <c r="I209" s="16">
        <v>66.0</v>
      </c>
      <c r="J209" s="16">
        <v>-18.0</v>
      </c>
      <c r="K209" s="16">
        <v>39.0</v>
      </c>
      <c r="L209" s="16">
        <v>1.03</v>
      </c>
      <c r="M209" s="18">
        <v>12356.0</v>
      </c>
      <c r="N209" s="19" t="s">
        <v>1431</v>
      </c>
      <c r="O209" s="19" t="s">
        <v>1432</v>
      </c>
      <c r="P209" s="21"/>
    </row>
    <row r="210">
      <c r="A210" s="14">
        <v>16.0</v>
      </c>
      <c r="B210" s="15" t="s">
        <v>1433</v>
      </c>
      <c r="C210" s="16">
        <v>2016.0</v>
      </c>
      <c r="D210" s="16">
        <v>38.0</v>
      </c>
      <c r="E210" s="16">
        <v>8.0</v>
      </c>
      <c r="F210" s="16">
        <v>13.0</v>
      </c>
      <c r="G210" s="16">
        <v>17.0</v>
      </c>
      <c r="H210" s="16">
        <v>46.0</v>
      </c>
      <c r="I210" s="16">
        <v>58.0</v>
      </c>
      <c r="J210" s="16">
        <v>-12.0</v>
      </c>
      <c r="K210" s="16">
        <v>37.0</v>
      </c>
      <c r="L210" s="16">
        <v>0.97</v>
      </c>
      <c r="M210" s="18">
        <v>10128.0</v>
      </c>
      <c r="N210" s="19" t="s">
        <v>1434</v>
      </c>
      <c r="O210" s="19" t="s">
        <v>1435</v>
      </c>
      <c r="P210" s="21"/>
    </row>
    <row r="211">
      <c r="A211" s="14">
        <v>17.0</v>
      </c>
      <c r="B211" s="15" t="s">
        <v>1436</v>
      </c>
      <c r="C211" s="16">
        <v>2016.0</v>
      </c>
      <c r="D211" s="16">
        <v>38.0</v>
      </c>
      <c r="E211" s="16">
        <v>10.0</v>
      </c>
      <c r="F211" s="16">
        <v>7.0</v>
      </c>
      <c r="G211" s="16">
        <v>21.0</v>
      </c>
      <c r="H211" s="16">
        <v>36.0</v>
      </c>
      <c r="I211" s="16">
        <v>65.0</v>
      </c>
      <c r="J211" s="16">
        <v>-29.0</v>
      </c>
      <c r="K211" s="16">
        <v>37.0</v>
      </c>
      <c r="L211" s="16">
        <v>0.97</v>
      </c>
      <c r="M211" s="18">
        <v>15796.0</v>
      </c>
      <c r="N211" s="19" t="s">
        <v>1437</v>
      </c>
      <c r="O211" s="19" t="s">
        <v>1438</v>
      </c>
      <c r="P211" s="21"/>
    </row>
    <row r="212">
      <c r="A212" s="22">
        <v>18.0</v>
      </c>
      <c r="B212" s="15" t="s">
        <v>1439</v>
      </c>
      <c r="C212" s="16">
        <v>2016.0</v>
      </c>
      <c r="D212" s="16">
        <v>38.0</v>
      </c>
      <c r="E212" s="16">
        <v>10.0</v>
      </c>
      <c r="F212" s="16">
        <v>6.0</v>
      </c>
      <c r="G212" s="16">
        <v>22.0</v>
      </c>
      <c r="H212" s="16">
        <v>44.0</v>
      </c>
      <c r="I212" s="16">
        <v>70.0</v>
      </c>
      <c r="J212" s="16">
        <v>-26.0</v>
      </c>
      <c r="K212" s="16">
        <v>36.0</v>
      </c>
      <c r="L212" s="16">
        <v>0.95</v>
      </c>
      <c r="M212" s="18">
        <v>11832.0</v>
      </c>
      <c r="N212" s="19" t="s">
        <v>1440</v>
      </c>
      <c r="O212" s="19" t="s">
        <v>1441</v>
      </c>
      <c r="P212" s="20" t="s">
        <v>901</v>
      </c>
    </row>
    <row r="213">
      <c r="A213" s="22">
        <v>19.0</v>
      </c>
      <c r="B213" s="15" t="s">
        <v>1442</v>
      </c>
      <c r="C213" s="16">
        <v>2016.0</v>
      </c>
      <c r="D213" s="16">
        <v>38.0</v>
      </c>
      <c r="E213" s="16">
        <v>9.0</v>
      </c>
      <c r="F213" s="16">
        <v>8.0</v>
      </c>
      <c r="G213" s="16">
        <v>21.0</v>
      </c>
      <c r="H213" s="16">
        <v>29.0</v>
      </c>
      <c r="I213" s="16">
        <v>52.0</v>
      </c>
      <c r="J213" s="16">
        <v>-23.0</v>
      </c>
      <c r="K213" s="16">
        <v>35.0</v>
      </c>
      <c r="L213" s="16">
        <v>0.92</v>
      </c>
      <c r="M213" s="18">
        <v>17516.0</v>
      </c>
      <c r="N213" s="19" t="s">
        <v>1443</v>
      </c>
      <c r="O213" s="19" t="s">
        <v>1444</v>
      </c>
      <c r="P213" s="20" t="s">
        <v>905</v>
      </c>
    </row>
    <row r="214">
      <c r="A214" s="23">
        <v>20.0</v>
      </c>
      <c r="B214" s="24" t="s">
        <v>1445</v>
      </c>
      <c r="C214" s="16">
        <v>2016.0</v>
      </c>
      <c r="D214" s="25">
        <v>38.0</v>
      </c>
      <c r="E214" s="25">
        <v>8.0</v>
      </c>
      <c r="F214" s="25">
        <v>10.0</v>
      </c>
      <c r="G214" s="25">
        <v>20.0</v>
      </c>
      <c r="H214" s="25">
        <v>29.0</v>
      </c>
      <c r="I214" s="25">
        <v>54.0</v>
      </c>
      <c r="J214" s="25">
        <v>-25.0</v>
      </c>
      <c r="K214" s="25">
        <v>34.0</v>
      </c>
      <c r="L214" s="25">
        <v>0.89</v>
      </c>
      <c r="M214" s="26">
        <v>9405.0</v>
      </c>
      <c r="N214" s="27" t="s">
        <v>1446</v>
      </c>
      <c r="O214" s="27" t="s">
        <v>1447</v>
      </c>
      <c r="P214" s="28" t="s">
        <v>1141</v>
      </c>
    </row>
    <row r="215">
      <c r="A215" s="11">
        <v>2015.0</v>
      </c>
    </row>
    <row r="216">
      <c r="A216" s="12" t="s">
        <v>831</v>
      </c>
      <c r="B216" s="13" t="s">
        <v>832</v>
      </c>
      <c r="C216" s="13" t="s">
        <v>3</v>
      </c>
      <c r="D216" s="13" t="s">
        <v>833</v>
      </c>
      <c r="E216" s="13" t="s">
        <v>834</v>
      </c>
      <c r="F216" s="13" t="s">
        <v>835</v>
      </c>
      <c r="G216" s="13" t="s">
        <v>836</v>
      </c>
      <c r="H216" s="13" t="s">
        <v>837</v>
      </c>
      <c r="I216" s="13" t="s">
        <v>838</v>
      </c>
      <c r="J216" s="13" t="s">
        <v>839</v>
      </c>
      <c r="K216" s="13" t="s">
        <v>840</v>
      </c>
      <c r="L216" s="13" t="s">
        <v>841</v>
      </c>
      <c r="M216" s="13" t="s">
        <v>846</v>
      </c>
      <c r="N216" s="13" t="s">
        <v>847</v>
      </c>
      <c r="O216" s="13" t="s">
        <v>848</v>
      </c>
      <c r="P216" s="13" t="s">
        <v>849</v>
      </c>
    </row>
    <row r="217">
      <c r="A217" s="14">
        <v>1.0</v>
      </c>
      <c r="B217" s="15" t="s">
        <v>1448</v>
      </c>
      <c r="C217" s="16">
        <v>2015.0</v>
      </c>
      <c r="D217" s="16">
        <v>38.0</v>
      </c>
      <c r="E217" s="16">
        <v>30.0</v>
      </c>
      <c r="F217" s="16">
        <v>6.0</v>
      </c>
      <c r="G217" s="16">
        <v>2.0</v>
      </c>
      <c r="H217" s="16">
        <v>102.0</v>
      </c>
      <c r="I217" s="16">
        <v>19.0</v>
      </c>
      <c r="J217" s="17">
        <f>+83</f>
        <v>83</v>
      </c>
      <c r="K217" s="16">
        <v>96.0</v>
      </c>
      <c r="L217" s="16">
        <v>2.53</v>
      </c>
      <c r="M217" s="18">
        <v>46160.0</v>
      </c>
      <c r="N217" s="19" t="s">
        <v>1449</v>
      </c>
      <c r="O217" s="19" t="s">
        <v>1450</v>
      </c>
      <c r="P217" s="20" t="s">
        <v>853</v>
      </c>
    </row>
    <row r="218">
      <c r="A218" s="14">
        <v>2.0</v>
      </c>
      <c r="B218" s="15" t="s">
        <v>1451</v>
      </c>
      <c r="C218" s="16">
        <v>2015.0</v>
      </c>
      <c r="D218" s="16">
        <v>38.0</v>
      </c>
      <c r="E218" s="16">
        <v>19.0</v>
      </c>
      <c r="F218" s="16">
        <v>8.0</v>
      </c>
      <c r="G218" s="16">
        <v>11.0</v>
      </c>
      <c r="H218" s="16">
        <v>67.0</v>
      </c>
      <c r="I218" s="16">
        <v>43.0</v>
      </c>
      <c r="J218" s="17">
        <f>+24</f>
        <v>24</v>
      </c>
      <c r="K218" s="16">
        <v>65.0</v>
      </c>
      <c r="L218" s="16">
        <v>1.71</v>
      </c>
      <c r="M218" s="18">
        <v>40325.0</v>
      </c>
      <c r="N218" s="19" t="s">
        <v>1452</v>
      </c>
      <c r="O218" s="19" t="s">
        <v>1453</v>
      </c>
      <c r="P218" s="20" t="s">
        <v>853</v>
      </c>
    </row>
    <row r="219">
      <c r="A219" s="14">
        <v>3.0</v>
      </c>
      <c r="B219" s="15" t="s">
        <v>1454</v>
      </c>
      <c r="C219" s="16">
        <v>2015.0</v>
      </c>
      <c r="D219" s="16">
        <v>38.0</v>
      </c>
      <c r="E219" s="16">
        <v>17.0</v>
      </c>
      <c r="F219" s="16">
        <v>14.0</v>
      </c>
      <c r="G219" s="16">
        <v>7.0</v>
      </c>
      <c r="H219" s="16">
        <v>57.0</v>
      </c>
      <c r="I219" s="16">
        <v>50.0</v>
      </c>
      <c r="J219" s="17">
        <f>+7</f>
        <v>7</v>
      </c>
      <c r="K219" s="16">
        <v>65.0</v>
      </c>
      <c r="L219" s="16">
        <v>1.71</v>
      </c>
      <c r="M219" s="18">
        <v>7846.0</v>
      </c>
      <c r="N219" s="19" t="s">
        <v>1455</v>
      </c>
      <c r="O219" s="19" t="s">
        <v>1456</v>
      </c>
      <c r="P219" s="20" t="s">
        <v>853</v>
      </c>
    </row>
    <row r="220">
      <c r="A220" s="14">
        <v>4.0</v>
      </c>
      <c r="B220" s="15" t="s">
        <v>1457</v>
      </c>
      <c r="C220" s="16">
        <v>2015.0</v>
      </c>
      <c r="D220" s="16">
        <v>38.0</v>
      </c>
      <c r="E220" s="16">
        <v>18.0</v>
      </c>
      <c r="F220" s="16">
        <v>9.0</v>
      </c>
      <c r="G220" s="16">
        <v>11.0</v>
      </c>
      <c r="H220" s="16">
        <v>58.0</v>
      </c>
      <c r="I220" s="16">
        <v>41.0</v>
      </c>
      <c r="J220" s="17">
        <f>+17</f>
        <v>17</v>
      </c>
      <c r="K220" s="16">
        <v>63.0</v>
      </c>
      <c r="L220" s="16">
        <v>1.66</v>
      </c>
      <c r="M220" s="18">
        <v>19187.0</v>
      </c>
      <c r="N220" s="19" t="s">
        <v>1458</v>
      </c>
      <c r="O220" s="19" t="s">
        <v>1459</v>
      </c>
      <c r="P220" s="20" t="s">
        <v>1157</v>
      </c>
    </row>
    <row r="221">
      <c r="A221" s="14">
        <v>5.0</v>
      </c>
      <c r="B221" s="15" t="s">
        <v>1460</v>
      </c>
      <c r="C221" s="16">
        <v>2015.0</v>
      </c>
      <c r="D221" s="16">
        <v>38.0</v>
      </c>
      <c r="E221" s="16">
        <v>15.0</v>
      </c>
      <c r="F221" s="16">
        <v>15.0</v>
      </c>
      <c r="G221" s="16">
        <v>8.0</v>
      </c>
      <c r="H221" s="16">
        <v>39.0</v>
      </c>
      <c r="I221" s="16">
        <v>27.0</v>
      </c>
      <c r="J221" s="17">
        <f>+12</f>
        <v>12</v>
      </c>
      <c r="K221" s="16">
        <v>60.0</v>
      </c>
      <c r="L221" s="16">
        <v>1.58</v>
      </c>
      <c r="M221" s="18">
        <v>30274.0</v>
      </c>
      <c r="N221" s="19" t="s">
        <v>1461</v>
      </c>
      <c r="O221" s="19" t="s">
        <v>1462</v>
      </c>
      <c r="P221" s="20" t="s">
        <v>1345</v>
      </c>
    </row>
    <row r="222">
      <c r="A222" s="14">
        <v>6.0</v>
      </c>
      <c r="B222" s="15" t="s">
        <v>1463</v>
      </c>
      <c r="C222" s="16">
        <v>2015.0</v>
      </c>
      <c r="D222" s="16">
        <v>38.0</v>
      </c>
      <c r="E222" s="16">
        <v>17.0</v>
      </c>
      <c r="F222" s="16">
        <v>7.0</v>
      </c>
      <c r="G222" s="16">
        <v>14.0</v>
      </c>
      <c r="H222" s="16">
        <v>42.0</v>
      </c>
      <c r="I222" s="16">
        <v>37.0</v>
      </c>
      <c r="J222" s="17">
        <f>+5</f>
        <v>5</v>
      </c>
      <c r="K222" s="16">
        <v>58.0</v>
      </c>
      <c r="L222" s="16">
        <v>1.53</v>
      </c>
      <c r="M222" s="18">
        <v>30328.0</v>
      </c>
      <c r="N222" s="19" t="s">
        <v>1464</v>
      </c>
      <c r="O222" s="19" t="s">
        <v>1465</v>
      </c>
      <c r="P222" s="20" t="s">
        <v>866</v>
      </c>
    </row>
    <row r="223">
      <c r="A223" s="14">
        <v>7.0</v>
      </c>
      <c r="B223" s="15" t="s">
        <v>1466</v>
      </c>
      <c r="C223" s="16">
        <v>2015.0</v>
      </c>
      <c r="D223" s="16">
        <v>38.0</v>
      </c>
      <c r="E223" s="16">
        <v>16.0</v>
      </c>
      <c r="F223" s="16">
        <v>6.0</v>
      </c>
      <c r="G223" s="16">
        <v>16.0</v>
      </c>
      <c r="H223" s="16">
        <v>39.0</v>
      </c>
      <c r="I223" s="16">
        <v>52.0</v>
      </c>
      <c r="J223" s="16">
        <v>-13.0</v>
      </c>
      <c r="K223" s="16">
        <v>54.0</v>
      </c>
      <c r="L223" s="16">
        <v>1.42</v>
      </c>
      <c r="M223" s="18">
        <v>17661.0</v>
      </c>
      <c r="N223" s="19" t="s">
        <v>1467</v>
      </c>
      <c r="O223" s="19" t="s">
        <v>1468</v>
      </c>
      <c r="P223" s="21"/>
    </row>
    <row r="224">
      <c r="A224" s="14">
        <v>8.0</v>
      </c>
      <c r="B224" s="15" t="s">
        <v>1469</v>
      </c>
      <c r="C224" s="16">
        <v>2015.0</v>
      </c>
      <c r="D224" s="16">
        <v>38.0</v>
      </c>
      <c r="E224" s="16">
        <v>13.0</v>
      </c>
      <c r="F224" s="16">
        <v>13.0</v>
      </c>
      <c r="G224" s="16">
        <v>12.0</v>
      </c>
      <c r="H224" s="16">
        <v>52.0</v>
      </c>
      <c r="I224" s="16">
        <v>54.0</v>
      </c>
      <c r="J224" s="16">
        <v>-2.0</v>
      </c>
      <c r="K224" s="16">
        <v>52.0</v>
      </c>
      <c r="L224" s="16">
        <v>1.37</v>
      </c>
      <c r="M224" s="18">
        <v>23180.0</v>
      </c>
      <c r="N224" s="19" t="s">
        <v>1470</v>
      </c>
      <c r="O224" s="19" t="s">
        <v>1471</v>
      </c>
      <c r="P224" s="21"/>
    </row>
    <row r="225">
      <c r="A225" s="14">
        <v>9.0</v>
      </c>
      <c r="B225" s="15" t="s">
        <v>1472</v>
      </c>
      <c r="C225" s="16">
        <v>2015.0</v>
      </c>
      <c r="D225" s="16">
        <v>38.0</v>
      </c>
      <c r="E225" s="16">
        <v>13.0</v>
      </c>
      <c r="F225" s="16">
        <v>11.0</v>
      </c>
      <c r="G225" s="16">
        <v>14.0</v>
      </c>
      <c r="H225" s="16">
        <v>40.0</v>
      </c>
      <c r="I225" s="16">
        <v>38.0</v>
      </c>
      <c r="J225" s="17">
        <f>+2</f>
        <v>2</v>
      </c>
      <c r="K225" s="16">
        <v>50.0</v>
      </c>
      <c r="L225" s="16">
        <v>1.32</v>
      </c>
      <c r="M225" s="18">
        <v>13502.0</v>
      </c>
      <c r="N225" s="19" t="s">
        <v>1473</v>
      </c>
      <c r="O225" s="19" t="s">
        <v>1474</v>
      </c>
      <c r="P225" s="21"/>
    </row>
    <row r="226">
      <c r="A226" s="14">
        <v>10.0</v>
      </c>
      <c r="B226" s="15" t="s">
        <v>1475</v>
      </c>
      <c r="C226" s="16">
        <v>2015.0</v>
      </c>
      <c r="D226" s="16">
        <v>38.0</v>
      </c>
      <c r="E226" s="16">
        <v>14.0</v>
      </c>
      <c r="F226" s="16">
        <v>8.0</v>
      </c>
      <c r="G226" s="16">
        <v>16.0</v>
      </c>
      <c r="H226" s="16">
        <v>36.0</v>
      </c>
      <c r="I226" s="16">
        <v>42.0</v>
      </c>
      <c r="J226" s="16">
        <v>-6.0</v>
      </c>
      <c r="K226" s="16">
        <v>50.0</v>
      </c>
      <c r="L226" s="16">
        <v>1.32</v>
      </c>
      <c r="M226" s="18">
        <v>11559.0</v>
      </c>
      <c r="N226" s="19" t="s">
        <v>1476</v>
      </c>
      <c r="O226" s="19" t="s">
        <v>1477</v>
      </c>
      <c r="P226" s="21"/>
    </row>
    <row r="227">
      <c r="A227" s="14">
        <v>11.0</v>
      </c>
      <c r="B227" s="15" t="s">
        <v>1478</v>
      </c>
      <c r="C227" s="16">
        <v>2015.0</v>
      </c>
      <c r="D227" s="16">
        <v>38.0</v>
      </c>
      <c r="E227" s="16">
        <v>12.0</v>
      </c>
      <c r="F227" s="16">
        <v>14.0</v>
      </c>
      <c r="G227" s="16">
        <v>12.0</v>
      </c>
      <c r="H227" s="16">
        <v>50.0</v>
      </c>
      <c r="I227" s="16">
        <v>57.0</v>
      </c>
      <c r="J227" s="16">
        <v>-7.0</v>
      </c>
      <c r="K227" s="16">
        <v>50.0</v>
      </c>
      <c r="L227" s="16">
        <v>1.32</v>
      </c>
      <c r="M227" s="18">
        <v>25089.0</v>
      </c>
      <c r="N227" s="19" t="s">
        <v>1479</v>
      </c>
      <c r="O227" s="19" t="s">
        <v>1480</v>
      </c>
      <c r="P227" s="21"/>
    </row>
    <row r="228">
      <c r="A228" s="14">
        <v>12.0</v>
      </c>
      <c r="B228" s="15" t="s">
        <v>1481</v>
      </c>
      <c r="C228" s="16">
        <v>2015.0</v>
      </c>
      <c r="D228" s="16">
        <v>38.0</v>
      </c>
      <c r="E228" s="16">
        <v>14.0</v>
      </c>
      <c r="F228" s="16">
        <v>7.0</v>
      </c>
      <c r="G228" s="16">
        <v>17.0</v>
      </c>
      <c r="H228" s="16">
        <v>49.0</v>
      </c>
      <c r="I228" s="16">
        <v>47.0</v>
      </c>
      <c r="J228" s="17">
        <f>+2</f>
        <v>2</v>
      </c>
      <c r="K228" s="16">
        <v>49.0</v>
      </c>
      <c r="L228" s="16">
        <v>1.29</v>
      </c>
      <c r="M228" s="18">
        <v>12808.0</v>
      </c>
      <c r="N228" s="19" t="s">
        <v>1482</v>
      </c>
      <c r="O228" s="19" t="s">
        <v>1483</v>
      </c>
      <c r="P228" s="21"/>
    </row>
    <row r="229">
      <c r="A229" s="14">
        <v>13.0</v>
      </c>
      <c r="B229" s="15" t="s">
        <v>1484</v>
      </c>
      <c r="C229" s="16">
        <v>2015.0</v>
      </c>
      <c r="D229" s="16">
        <v>38.0</v>
      </c>
      <c r="E229" s="16">
        <v>10.0</v>
      </c>
      <c r="F229" s="16">
        <v>18.0</v>
      </c>
      <c r="G229" s="16">
        <v>10.0</v>
      </c>
      <c r="H229" s="16">
        <v>48.0</v>
      </c>
      <c r="I229" s="16">
        <v>42.0</v>
      </c>
      <c r="J229" s="17">
        <f>+6</f>
        <v>6</v>
      </c>
      <c r="K229" s="16">
        <v>48.0</v>
      </c>
      <c r="L229" s="16">
        <v>1.26</v>
      </c>
      <c r="M229" s="18">
        <v>43976.0</v>
      </c>
      <c r="N229" s="19" t="s">
        <v>1485</v>
      </c>
      <c r="O229" s="19" t="s">
        <v>1486</v>
      </c>
      <c r="P229" s="21"/>
    </row>
    <row r="230">
      <c r="A230" s="14">
        <v>14.0</v>
      </c>
      <c r="B230" s="15" t="s">
        <v>1487</v>
      </c>
      <c r="C230" s="16">
        <v>2015.0</v>
      </c>
      <c r="D230" s="16">
        <v>38.0</v>
      </c>
      <c r="E230" s="16">
        <v>12.0</v>
      </c>
      <c r="F230" s="16">
        <v>12.0</v>
      </c>
      <c r="G230" s="16">
        <v>14.0</v>
      </c>
      <c r="H230" s="16">
        <v>33.0</v>
      </c>
      <c r="I230" s="16">
        <v>44.0</v>
      </c>
      <c r="J230" s="16">
        <v>-11.0</v>
      </c>
      <c r="K230" s="16">
        <v>48.0</v>
      </c>
      <c r="L230" s="16">
        <v>1.26</v>
      </c>
      <c r="M230" s="18">
        <v>25226.0</v>
      </c>
      <c r="N230" s="19" t="s">
        <v>1488</v>
      </c>
      <c r="O230" s="19" t="s">
        <v>1489</v>
      </c>
      <c r="P230" s="21"/>
    </row>
    <row r="231">
      <c r="A231" s="14">
        <v>15.0</v>
      </c>
      <c r="B231" s="15" t="s">
        <v>1490</v>
      </c>
      <c r="C231" s="16">
        <v>2015.0</v>
      </c>
      <c r="D231" s="16">
        <v>38.0</v>
      </c>
      <c r="E231" s="16">
        <v>11.0</v>
      </c>
      <c r="F231" s="16">
        <v>13.0</v>
      </c>
      <c r="G231" s="16">
        <v>14.0</v>
      </c>
      <c r="H231" s="16">
        <v>47.0</v>
      </c>
      <c r="I231" s="16">
        <v>58.0</v>
      </c>
      <c r="J231" s="16">
        <v>-11.0</v>
      </c>
      <c r="K231" s="16">
        <v>46.0</v>
      </c>
      <c r="L231" s="16">
        <v>1.21</v>
      </c>
      <c r="M231" s="18">
        <v>11993.0</v>
      </c>
      <c r="N231" s="19" t="s">
        <v>1491</v>
      </c>
      <c r="O231" s="19" t="s">
        <v>1492</v>
      </c>
      <c r="P231" s="21"/>
    </row>
    <row r="232">
      <c r="A232" s="14">
        <v>16.0</v>
      </c>
      <c r="B232" s="15" t="s">
        <v>1493</v>
      </c>
      <c r="C232" s="16">
        <v>2015.0</v>
      </c>
      <c r="D232" s="16">
        <v>38.0</v>
      </c>
      <c r="E232" s="16">
        <v>11.0</v>
      </c>
      <c r="F232" s="16">
        <v>11.0</v>
      </c>
      <c r="G232" s="16">
        <v>16.0</v>
      </c>
      <c r="H232" s="16">
        <v>47.0</v>
      </c>
      <c r="I232" s="16">
        <v>56.0</v>
      </c>
      <c r="J232" s="16">
        <v>-9.0</v>
      </c>
      <c r="K232" s="16">
        <v>44.0</v>
      </c>
      <c r="L232" s="16">
        <v>1.16</v>
      </c>
      <c r="M232" s="18">
        <v>14804.0</v>
      </c>
      <c r="N232" s="19" t="s">
        <v>1494</v>
      </c>
      <c r="O232" s="19" t="s">
        <v>1495</v>
      </c>
      <c r="P232" s="21"/>
    </row>
    <row r="233">
      <c r="A233" s="14">
        <v>17.0</v>
      </c>
      <c r="B233" s="15" t="s">
        <v>1496</v>
      </c>
      <c r="C233" s="16">
        <v>2015.0</v>
      </c>
      <c r="D233" s="16">
        <v>38.0</v>
      </c>
      <c r="E233" s="16">
        <v>9.0</v>
      </c>
      <c r="F233" s="16">
        <v>13.0</v>
      </c>
      <c r="G233" s="16">
        <v>16.0</v>
      </c>
      <c r="H233" s="16">
        <v>45.0</v>
      </c>
      <c r="I233" s="16">
        <v>55.0</v>
      </c>
      <c r="J233" s="16">
        <v>-10.0</v>
      </c>
      <c r="K233" s="16">
        <v>40.0</v>
      </c>
      <c r="L233" s="16">
        <v>1.05</v>
      </c>
      <c r="M233" s="18">
        <v>16318.0</v>
      </c>
      <c r="N233" s="19" t="s">
        <v>1497</v>
      </c>
      <c r="O233" s="19" t="s">
        <v>1498</v>
      </c>
      <c r="P233" s="21"/>
    </row>
    <row r="234">
      <c r="A234" s="22">
        <v>18.0</v>
      </c>
      <c r="B234" s="15" t="s">
        <v>1499</v>
      </c>
      <c r="C234" s="16">
        <v>2015.0</v>
      </c>
      <c r="D234" s="16">
        <v>38.0</v>
      </c>
      <c r="E234" s="16">
        <v>10.0</v>
      </c>
      <c r="F234" s="16">
        <v>9.0</v>
      </c>
      <c r="G234" s="16">
        <v>19.0</v>
      </c>
      <c r="H234" s="16">
        <v>44.0</v>
      </c>
      <c r="I234" s="16">
        <v>57.0</v>
      </c>
      <c r="J234" s="16">
        <v>-13.0</v>
      </c>
      <c r="K234" s="16">
        <v>39.0</v>
      </c>
      <c r="L234" s="16">
        <v>1.03</v>
      </c>
      <c r="M234" s="18">
        <v>13483.0</v>
      </c>
      <c r="N234" s="19" t="s">
        <v>1500</v>
      </c>
      <c r="O234" s="19" t="s">
        <v>1501</v>
      </c>
      <c r="P234" s="20" t="s">
        <v>905</v>
      </c>
    </row>
    <row r="235">
      <c r="A235" s="22">
        <v>19.0</v>
      </c>
      <c r="B235" s="15" t="s">
        <v>1502</v>
      </c>
      <c r="C235" s="16">
        <v>2015.0</v>
      </c>
      <c r="D235" s="16">
        <v>38.0</v>
      </c>
      <c r="E235" s="16">
        <v>8.0</v>
      </c>
      <c r="F235" s="16">
        <v>13.0</v>
      </c>
      <c r="G235" s="16">
        <v>17.0</v>
      </c>
      <c r="H235" s="16">
        <v>37.0</v>
      </c>
      <c r="I235" s="16">
        <v>58.0</v>
      </c>
      <c r="J235" s="16">
        <v>-21.0</v>
      </c>
      <c r="K235" s="16">
        <v>37.0</v>
      </c>
      <c r="L235" s="16">
        <v>0.97</v>
      </c>
      <c r="M235" s="18">
        <v>3719.0</v>
      </c>
      <c r="N235" s="19" t="s">
        <v>1503</v>
      </c>
      <c r="O235" s="19" t="s">
        <v>1504</v>
      </c>
      <c r="P235" s="20" t="s">
        <v>905</v>
      </c>
    </row>
    <row r="236">
      <c r="A236" s="23">
        <v>20.0</v>
      </c>
      <c r="B236" s="24" t="s">
        <v>1505</v>
      </c>
      <c r="C236" s="16">
        <v>2015.0</v>
      </c>
      <c r="D236" s="25">
        <v>38.0</v>
      </c>
      <c r="E236" s="25">
        <v>3.0</v>
      </c>
      <c r="F236" s="25">
        <v>9.0</v>
      </c>
      <c r="G236" s="25">
        <v>26.0</v>
      </c>
      <c r="H236" s="25">
        <v>28.0</v>
      </c>
      <c r="I236" s="25">
        <v>83.0</v>
      </c>
      <c r="J236" s="25">
        <v>-55.0</v>
      </c>
      <c r="K236" s="25">
        <v>18.0</v>
      </c>
      <c r="L236" s="25">
        <v>0.47</v>
      </c>
      <c r="M236" s="26">
        <v>12472.0</v>
      </c>
      <c r="N236" s="27" t="s">
        <v>1506</v>
      </c>
      <c r="O236" s="27" t="s">
        <v>1507</v>
      </c>
      <c r="P236" s="28" t="s">
        <v>905</v>
      </c>
    </row>
  </sheetData>
  <hyperlinks>
    <hyperlink r:id="rId1" ref="B3"/>
    <hyperlink r:id="rId2" ref="R3"/>
    <hyperlink r:id="rId3" ref="S3"/>
    <hyperlink r:id="rId4" ref="B4"/>
    <hyperlink r:id="rId5" ref="R4"/>
    <hyperlink r:id="rId6" ref="S4"/>
    <hyperlink r:id="rId7" ref="B5"/>
    <hyperlink r:id="rId8" ref="R5"/>
    <hyperlink r:id="rId9" ref="S5"/>
    <hyperlink r:id="rId10" ref="B6"/>
    <hyperlink r:id="rId11" ref="R6"/>
    <hyperlink r:id="rId12" ref="S6"/>
    <hyperlink r:id="rId13" ref="B7"/>
    <hyperlink r:id="rId14" ref="R7"/>
    <hyperlink r:id="rId15" ref="S7"/>
    <hyperlink r:id="rId16" ref="B8"/>
    <hyperlink r:id="rId17" ref="R8"/>
    <hyperlink r:id="rId18" ref="S8"/>
    <hyperlink r:id="rId19" ref="B9"/>
    <hyperlink r:id="rId20" ref="R9"/>
    <hyperlink r:id="rId21" ref="S9"/>
    <hyperlink r:id="rId22" ref="B10"/>
    <hyperlink r:id="rId23" ref="R10"/>
    <hyperlink r:id="rId24" ref="S10"/>
    <hyperlink r:id="rId25" ref="B11"/>
    <hyperlink r:id="rId26" ref="R11"/>
    <hyperlink r:id="rId27" ref="S11"/>
    <hyperlink r:id="rId28" ref="B12"/>
    <hyperlink r:id="rId29" ref="R12"/>
    <hyperlink r:id="rId30" ref="S12"/>
    <hyperlink r:id="rId31" ref="B13"/>
    <hyperlink r:id="rId32" ref="R13"/>
    <hyperlink r:id="rId33" ref="S13"/>
    <hyperlink r:id="rId34" ref="B14"/>
    <hyperlink r:id="rId35" ref="R14"/>
    <hyperlink r:id="rId36" ref="S14"/>
    <hyperlink r:id="rId37" ref="B15"/>
    <hyperlink r:id="rId38" ref="R15"/>
    <hyperlink r:id="rId39" ref="S15"/>
    <hyperlink r:id="rId40" ref="B16"/>
    <hyperlink r:id="rId41" ref="R16"/>
    <hyperlink r:id="rId42" ref="S16"/>
    <hyperlink r:id="rId43" ref="B17"/>
    <hyperlink r:id="rId44" ref="R17"/>
    <hyperlink r:id="rId45" ref="S17"/>
    <hyperlink r:id="rId46" ref="B18"/>
    <hyperlink r:id="rId47" ref="R18"/>
    <hyperlink r:id="rId48" ref="S18"/>
    <hyperlink r:id="rId49" ref="B19"/>
    <hyperlink r:id="rId50" ref="R19"/>
    <hyperlink r:id="rId51" ref="S19"/>
    <hyperlink r:id="rId52" ref="B20"/>
    <hyperlink r:id="rId53" ref="R20"/>
    <hyperlink r:id="rId54" ref="S20"/>
    <hyperlink r:id="rId55" ref="B23"/>
    <hyperlink r:id="rId56" ref="R23"/>
    <hyperlink r:id="rId57" ref="S23"/>
    <hyperlink r:id="rId58" ref="B24"/>
    <hyperlink r:id="rId59" ref="R24"/>
    <hyperlink r:id="rId60" ref="S24"/>
    <hyperlink r:id="rId61" ref="B25"/>
    <hyperlink r:id="rId62" ref="R25"/>
    <hyperlink r:id="rId63" ref="S25"/>
    <hyperlink r:id="rId64" ref="B26"/>
    <hyperlink r:id="rId65" ref="R26"/>
    <hyperlink r:id="rId66" ref="S26"/>
    <hyperlink r:id="rId67" ref="B27"/>
    <hyperlink r:id="rId68" ref="R27"/>
    <hyperlink r:id="rId69" ref="S27"/>
    <hyperlink r:id="rId70" ref="B28"/>
    <hyperlink r:id="rId71" ref="R28"/>
    <hyperlink r:id="rId72" ref="S28"/>
    <hyperlink r:id="rId73" ref="B29"/>
    <hyperlink r:id="rId74" ref="R29"/>
    <hyperlink r:id="rId75" ref="S29"/>
    <hyperlink r:id="rId76" ref="B30"/>
    <hyperlink r:id="rId77" ref="R30"/>
    <hyperlink r:id="rId78" ref="S30"/>
    <hyperlink r:id="rId79" ref="B31"/>
    <hyperlink r:id="rId80" ref="R31"/>
    <hyperlink r:id="rId81" ref="S31"/>
    <hyperlink r:id="rId82" ref="B32"/>
    <hyperlink r:id="rId83" ref="R32"/>
    <hyperlink r:id="rId84" ref="S32"/>
    <hyperlink r:id="rId85" ref="B33"/>
    <hyperlink r:id="rId86" ref="R33"/>
    <hyperlink r:id="rId87" ref="S33"/>
    <hyperlink r:id="rId88" ref="B34"/>
    <hyperlink r:id="rId89" ref="R34"/>
    <hyperlink r:id="rId90" ref="S34"/>
    <hyperlink r:id="rId91" ref="B35"/>
    <hyperlink r:id="rId92" ref="R35"/>
    <hyperlink r:id="rId93" ref="S35"/>
    <hyperlink r:id="rId94" ref="B36"/>
    <hyperlink r:id="rId95" ref="R36"/>
    <hyperlink r:id="rId96" ref="S36"/>
    <hyperlink r:id="rId97" ref="B37"/>
    <hyperlink r:id="rId98" ref="R37"/>
    <hyperlink r:id="rId99" ref="S37"/>
    <hyperlink r:id="rId100" ref="B38"/>
    <hyperlink r:id="rId101" ref="R38"/>
    <hyperlink r:id="rId102" ref="S38"/>
    <hyperlink r:id="rId103" ref="B39"/>
    <hyperlink r:id="rId104" ref="R39"/>
    <hyperlink r:id="rId105" ref="S39"/>
    <hyperlink r:id="rId106" ref="B40"/>
    <hyperlink r:id="rId107" ref="R40"/>
    <hyperlink r:id="rId108" ref="S40"/>
    <hyperlink r:id="rId109" ref="B43"/>
    <hyperlink r:id="rId110" ref="R43"/>
    <hyperlink r:id="rId111" ref="S43"/>
    <hyperlink r:id="rId112" ref="B44"/>
    <hyperlink r:id="rId113" ref="R44"/>
    <hyperlink r:id="rId114" ref="S44"/>
    <hyperlink r:id="rId115" ref="B45"/>
    <hyperlink r:id="rId116" ref="R45"/>
    <hyperlink r:id="rId117" ref="S45"/>
    <hyperlink r:id="rId118" ref="B46"/>
    <hyperlink r:id="rId119" ref="R46"/>
    <hyperlink r:id="rId120" ref="S46"/>
    <hyperlink r:id="rId121" ref="B47"/>
    <hyperlink r:id="rId122" ref="R47"/>
    <hyperlink r:id="rId123" ref="S47"/>
    <hyperlink r:id="rId124" ref="B48"/>
    <hyperlink r:id="rId125" ref="R48"/>
    <hyperlink r:id="rId126" ref="S48"/>
    <hyperlink r:id="rId127" ref="B49"/>
    <hyperlink r:id="rId128" ref="R49"/>
    <hyperlink r:id="rId129" ref="S49"/>
    <hyperlink r:id="rId130" ref="B50"/>
    <hyperlink r:id="rId131" ref="R50"/>
    <hyperlink r:id="rId132" ref="S50"/>
    <hyperlink r:id="rId133" ref="B51"/>
    <hyperlink r:id="rId134" ref="R51"/>
    <hyperlink r:id="rId135" ref="S51"/>
    <hyperlink r:id="rId136" ref="B52"/>
    <hyperlink r:id="rId137" ref="R52"/>
    <hyperlink r:id="rId138" ref="S52"/>
    <hyperlink r:id="rId139" ref="B53"/>
    <hyperlink r:id="rId140" ref="R53"/>
    <hyperlink r:id="rId141" ref="S53"/>
    <hyperlink r:id="rId142" ref="B54"/>
    <hyperlink r:id="rId143" ref="R54"/>
    <hyperlink r:id="rId144" ref="S54"/>
    <hyperlink r:id="rId145" ref="B55"/>
    <hyperlink r:id="rId146" ref="R55"/>
    <hyperlink r:id="rId147" ref="S55"/>
    <hyperlink r:id="rId148" ref="B56"/>
    <hyperlink r:id="rId149" ref="R56"/>
    <hyperlink r:id="rId150" ref="S56"/>
    <hyperlink r:id="rId151" ref="B57"/>
    <hyperlink r:id="rId152" ref="R57"/>
    <hyperlink r:id="rId153" ref="S57"/>
    <hyperlink r:id="rId154" ref="B58"/>
    <hyperlink r:id="rId155" ref="R58"/>
    <hyperlink r:id="rId156" ref="S58"/>
    <hyperlink r:id="rId157" ref="B59"/>
    <hyperlink r:id="rId158" ref="R59"/>
    <hyperlink r:id="rId159" ref="S59"/>
    <hyperlink r:id="rId160" ref="B60"/>
    <hyperlink r:id="rId161" ref="R60"/>
    <hyperlink r:id="rId162" ref="S60"/>
    <hyperlink r:id="rId163" ref="B63"/>
    <hyperlink r:id="rId164" ref="R63"/>
    <hyperlink r:id="rId165" ref="S63"/>
    <hyperlink r:id="rId166" ref="B64"/>
    <hyperlink r:id="rId167" ref="R64"/>
    <hyperlink r:id="rId168" ref="S64"/>
    <hyperlink r:id="rId169" ref="B65"/>
    <hyperlink r:id="rId170" ref="R65"/>
    <hyperlink r:id="rId171" ref="S65"/>
    <hyperlink r:id="rId172" ref="B66"/>
    <hyperlink r:id="rId173" ref="R66"/>
    <hyperlink r:id="rId174" ref="S66"/>
    <hyperlink r:id="rId175" ref="B67"/>
    <hyperlink r:id="rId176" ref="R67"/>
    <hyperlink r:id="rId177" ref="S67"/>
    <hyperlink r:id="rId178" ref="B68"/>
    <hyperlink r:id="rId179" ref="R68"/>
    <hyperlink r:id="rId180" ref="S68"/>
    <hyperlink r:id="rId181" ref="B69"/>
    <hyperlink r:id="rId182" ref="R69"/>
    <hyperlink r:id="rId183" ref="S69"/>
    <hyperlink r:id="rId184" ref="B70"/>
    <hyperlink r:id="rId185" ref="R70"/>
    <hyperlink r:id="rId186" ref="S70"/>
    <hyperlink r:id="rId187" ref="B71"/>
    <hyperlink r:id="rId188" ref="R71"/>
    <hyperlink r:id="rId189" ref="S71"/>
    <hyperlink r:id="rId190" ref="B72"/>
    <hyperlink r:id="rId191" ref="R72"/>
    <hyperlink r:id="rId192" ref="S72"/>
    <hyperlink r:id="rId193" ref="B73"/>
    <hyperlink r:id="rId194" ref="R73"/>
    <hyperlink r:id="rId195" ref="S73"/>
    <hyperlink r:id="rId196" ref="B74"/>
    <hyperlink r:id="rId197" ref="R74"/>
    <hyperlink r:id="rId198" ref="S74"/>
    <hyperlink r:id="rId199" ref="B75"/>
    <hyperlink r:id="rId200" ref="R75"/>
    <hyperlink r:id="rId201" ref="S75"/>
    <hyperlink r:id="rId202" ref="B76"/>
    <hyperlink r:id="rId203" ref="R76"/>
    <hyperlink r:id="rId204" ref="S76"/>
    <hyperlink r:id="rId205" ref="B77"/>
    <hyperlink r:id="rId206" ref="R77"/>
    <hyperlink r:id="rId207" ref="S77"/>
    <hyperlink r:id="rId208" ref="B78"/>
    <hyperlink r:id="rId209" ref="R78"/>
    <hyperlink r:id="rId210" ref="S78"/>
    <hyperlink r:id="rId211" ref="B79"/>
    <hyperlink r:id="rId212" ref="R79"/>
    <hyperlink r:id="rId213" ref="S79"/>
    <hyperlink r:id="rId214" ref="B80"/>
    <hyperlink r:id="rId215" ref="R80"/>
    <hyperlink r:id="rId216" ref="S80"/>
    <hyperlink r:id="rId217" ref="B81"/>
    <hyperlink r:id="rId218" ref="R81"/>
    <hyperlink r:id="rId219" ref="S81"/>
    <hyperlink r:id="rId220" ref="B82"/>
    <hyperlink r:id="rId221" ref="R82"/>
    <hyperlink r:id="rId222" ref="S82"/>
    <hyperlink r:id="rId223" ref="B85"/>
    <hyperlink r:id="rId224" ref="R85"/>
    <hyperlink r:id="rId225" ref="S85"/>
    <hyperlink r:id="rId226" ref="B86"/>
    <hyperlink r:id="rId227" ref="R86"/>
    <hyperlink r:id="rId228" ref="S86"/>
    <hyperlink r:id="rId229" ref="B87"/>
    <hyperlink r:id="rId230" ref="R87"/>
    <hyperlink r:id="rId231" ref="S87"/>
    <hyperlink r:id="rId232" ref="B88"/>
    <hyperlink r:id="rId233" ref="R88"/>
    <hyperlink r:id="rId234" ref="S88"/>
    <hyperlink r:id="rId235" ref="B89"/>
    <hyperlink r:id="rId236" ref="R89"/>
    <hyperlink r:id="rId237" ref="S89"/>
    <hyperlink r:id="rId238" ref="B90"/>
    <hyperlink r:id="rId239" ref="R90"/>
    <hyperlink r:id="rId240" ref="S90"/>
    <hyperlink r:id="rId241" ref="B91"/>
    <hyperlink r:id="rId242" ref="R91"/>
    <hyperlink r:id="rId243" ref="S91"/>
    <hyperlink r:id="rId244" ref="B92"/>
    <hyperlink r:id="rId245" ref="R92"/>
    <hyperlink r:id="rId246" ref="S92"/>
    <hyperlink r:id="rId247" ref="B93"/>
    <hyperlink r:id="rId248" ref="R93"/>
    <hyperlink r:id="rId249" ref="S93"/>
    <hyperlink r:id="rId250" ref="B94"/>
    <hyperlink r:id="rId251" ref="R94"/>
    <hyperlink r:id="rId252" ref="S94"/>
    <hyperlink r:id="rId253" ref="B95"/>
    <hyperlink r:id="rId254" ref="R95"/>
    <hyperlink r:id="rId255" ref="S95"/>
    <hyperlink r:id="rId256" ref="B96"/>
    <hyperlink r:id="rId257" ref="R96"/>
    <hyperlink r:id="rId258" ref="S96"/>
    <hyperlink r:id="rId259" ref="B97"/>
    <hyperlink r:id="rId260" ref="R97"/>
    <hyperlink r:id="rId261" ref="S97"/>
    <hyperlink r:id="rId262" ref="B98"/>
    <hyperlink r:id="rId263" ref="R98"/>
    <hyperlink r:id="rId264" ref="S98"/>
    <hyperlink r:id="rId265" ref="B99"/>
    <hyperlink r:id="rId266" ref="R99"/>
    <hyperlink r:id="rId267" ref="S99"/>
    <hyperlink r:id="rId268" ref="B100"/>
    <hyperlink r:id="rId269" ref="R100"/>
    <hyperlink r:id="rId270" ref="S100"/>
    <hyperlink r:id="rId271" ref="B101"/>
    <hyperlink r:id="rId272" ref="R101"/>
    <hyperlink r:id="rId273" ref="S101"/>
    <hyperlink r:id="rId274" ref="B102"/>
    <hyperlink r:id="rId275" ref="R102"/>
    <hyperlink r:id="rId276" ref="S102"/>
    <hyperlink r:id="rId277" ref="B103"/>
    <hyperlink r:id="rId278" ref="R103"/>
    <hyperlink r:id="rId279" ref="S103"/>
    <hyperlink r:id="rId280" ref="B104"/>
    <hyperlink r:id="rId281" ref="R104"/>
    <hyperlink r:id="rId282" ref="S104"/>
    <hyperlink r:id="rId283" ref="B107"/>
    <hyperlink r:id="rId284" ref="R107"/>
    <hyperlink r:id="rId285" ref="S107"/>
    <hyperlink r:id="rId286" ref="B108"/>
    <hyperlink r:id="rId287" ref="R108"/>
    <hyperlink r:id="rId288" ref="S108"/>
    <hyperlink r:id="rId289" ref="B109"/>
    <hyperlink r:id="rId290" ref="R109"/>
    <hyperlink r:id="rId291" ref="S109"/>
    <hyperlink r:id="rId292" ref="B110"/>
    <hyperlink r:id="rId293" ref="R110"/>
    <hyperlink r:id="rId294" ref="S110"/>
    <hyperlink r:id="rId295" ref="B111"/>
    <hyperlink r:id="rId296" ref="R111"/>
    <hyperlink r:id="rId297" ref="S111"/>
    <hyperlink r:id="rId298" ref="B112"/>
    <hyperlink r:id="rId299" ref="R112"/>
    <hyperlink r:id="rId300" ref="S112"/>
    <hyperlink r:id="rId301" ref="B113"/>
    <hyperlink r:id="rId302" ref="R113"/>
    <hyperlink r:id="rId303" ref="S113"/>
    <hyperlink r:id="rId304" ref="B114"/>
    <hyperlink r:id="rId305" ref="R114"/>
    <hyperlink r:id="rId306" ref="S114"/>
    <hyperlink r:id="rId307" ref="B115"/>
    <hyperlink r:id="rId308" ref="R115"/>
    <hyperlink r:id="rId309" ref="S115"/>
    <hyperlink r:id="rId310" ref="B116"/>
    <hyperlink r:id="rId311" ref="R116"/>
    <hyperlink r:id="rId312" ref="S116"/>
    <hyperlink r:id="rId313" ref="B117"/>
    <hyperlink r:id="rId314" ref="R117"/>
    <hyperlink r:id="rId315" ref="S117"/>
    <hyperlink r:id="rId316" ref="B118"/>
    <hyperlink r:id="rId317" ref="R118"/>
    <hyperlink r:id="rId318" ref="S118"/>
    <hyperlink r:id="rId319" ref="B119"/>
    <hyperlink r:id="rId320" ref="R119"/>
    <hyperlink r:id="rId321" ref="S119"/>
    <hyperlink r:id="rId322" ref="B120"/>
    <hyperlink r:id="rId323" ref="R120"/>
    <hyperlink r:id="rId324" ref="S120"/>
    <hyperlink r:id="rId325" ref="B121"/>
    <hyperlink r:id="rId326" ref="R121"/>
    <hyperlink r:id="rId327" ref="S121"/>
    <hyperlink r:id="rId328" ref="B122"/>
    <hyperlink r:id="rId329" ref="R122"/>
    <hyperlink r:id="rId330" ref="S122"/>
    <hyperlink r:id="rId331" ref="B123"/>
    <hyperlink r:id="rId332" ref="R123"/>
    <hyperlink r:id="rId333" ref="S123"/>
    <hyperlink r:id="rId334" ref="B124"/>
    <hyperlink r:id="rId335" ref="R124"/>
    <hyperlink r:id="rId336" ref="S124"/>
    <hyperlink r:id="rId337" ref="B125"/>
    <hyperlink r:id="rId338" ref="R125"/>
    <hyperlink r:id="rId339" ref="S125"/>
    <hyperlink r:id="rId340" ref="B126"/>
    <hyperlink r:id="rId341" ref="R126"/>
    <hyperlink r:id="rId342" ref="S126"/>
    <hyperlink r:id="rId343" ref="B129"/>
    <hyperlink r:id="rId344" ref="R129"/>
    <hyperlink r:id="rId345" ref="S129"/>
    <hyperlink r:id="rId346" ref="B130"/>
    <hyperlink r:id="rId347" ref="R130"/>
    <hyperlink r:id="rId348" ref="S130"/>
    <hyperlink r:id="rId349" ref="B131"/>
    <hyperlink r:id="rId350" ref="R131"/>
    <hyperlink r:id="rId351" ref="S131"/>
    <hyperlink r:id="rId352" ref="B132"/>
    <hyperlink r:id="rId353" ref="R132"/>
    <hyperlink r:id="rId354" ref="S132"/>
    <hyperlink r:id="rId355" ref="B133"/>
    <hyperlink r:id="rId356" ref="R133"/>
    <hyperlink r:id="rId357" ref="S133"/>
    <hyperlink r:id="rId358" ref="B134"/>
    <hyperlink r:id="rId359" ref="R134"/>
    <hyperlink r:id="rId360" ref="S134"/>
    <hyperlink r:id="rId361" ref="B135"/>
    <hyperlink r:id="rId362" ref="R135"/>
    <hyperlink r:id="rId363" ref="S135"/>
    <hyperlink r:id="rId364" ref="B136"/>
    <hyperlink r:id="rId365" ref="R136"/>
    <hyperlink r:id="rId366" ref="S136"/>
    <hyperlink r:id="rId367" ref="B137"/>
    <hyperlink r:id="rId368" ref="R137"/>
    <hyperlink r:id="rId369" ref="S137"/>
    <hyperlink r:id="rId370" ref="B138"/>
    <hyperlink r:id="rId371" ref="R138"/>
    <hyperlink r:id="rId372" ref="S138"/>
    <hyperlink r:id="rId373" ref="B139"/>
    <hyperlink r:id="rId374" ref="R139"/>
    <hyperlink r:id="rId375" ref="S139"/>
    <hyperlink r:id="rId376" ref="B140"/>
    <hyperlink r:id="rId377" ref="R140"/>
    <hyperlink r:id="rId378" ref="S140"/>
    <hyperlink r:id="rId379" ref="B141"/>
    <hyperlink r:id="rId380" ref="R141"/>
    <hyperlink r:id="rId381" ref="S141"/>
    <hyperlink r:id="rId382" ref="B142"/>
    <hyperlink r:id="rId383" ref="R142"/>
    <hyperlink r:id="rId384" ref="S142"/>
    <hyperlink r:id="rId385" ref="B143"/>
    <hyperlink r:id="rId386" ref="R143"/>
    <hyperlink r:id="rId387" ref="S143"/>
    <hyperlink r:id="rId388" ref="B144"/>
    <hyperlink r:id="rId389" ref="R144"/>
    <hyperlink r:id="rId390" ref="S144"/>
    <hyperlink r:id="rId391" ref="B145"/>
    <hyperlink r:id="rId392" ref="R145"/>
    <hyperlink r:id="rId393" ref="S145"/>
    <hyperlink r:id="rId394" ref="B146"/>
    <hyperlink r:id="rId395" ref="R146"/>
    <hyperlink r:id="rId396" ref="S146"/>
    <hyperlink r:id="rId397" ref="B147"/>
    <hyperlink r:id="rId398" ref="R147"/>
    <hyperlink r:id="rId399" ref="S147"/>
    <hyperlink r:id="rId400" ref="B148"/>
    <hyperlink r:id="rId401" ref="R148"/>
    <hyperlink r:id="rId402" ref="S148"/>
    <hyperlink r:id="rId403" ref="B151"/>
    <hyperlink r:id="rId404" ref="R151"/>
    <hyperlink r:id="rId405" ref="S151"/>
    <hyperlink r:id="rId406" ref="B152"/>
    <hyperlink r:id="rId407" ref="R152"/>
    <hyperlink r:id="rId408" ref="S152"/>
    <hyperlink r:id="rId409" ref="B153"/>
    <hyperlink r:id="rId410" ref="R153"/>
    <hyperlink r:id="rId411" ref="S153"/>
    <hyperlink r:id="rId412" ref="B154"/>
    <hyperlink r:id="rId413" ref="R154"/>
    <hyperlink r:id="rId414" ref="S154"/>
    <hyperlink r:id="rId415" ref="B155"/>
    <hyperlink r:id="rId416" ref="R155"/>
    <hyperlink r:id="rId417" ref="S155"/>
    <hyperlink r:id="rId418" ref="B156"/>
    <hyperlink r:id="rId419" ref="R156"/>
    <hyperlink r:id="rId420" ref="S156"/>
    <hyperlink r:id="rId421" ref="B157"/>
    <hyperlink r:id="rId422" ref="R157"/>
    <hyperlink r:id="rId423" ref="S157"/>
    <hyperlink r:id="rId424" ref="B158"/>
    <hyperlink r:id="rId425" ref="R158"/>
    <hyperlink r:id="rId426" ref="S158"/>
    <hyperlink r:id="rId427" ref="B159"/>
    <hyperlink r:id="rId428" ref="R159"/>
    <hyperlink r:id="rId429" ref="S159"/>
    <hyperlink r:id="rId430" ref="B160"/>
    <hyperlink r:id="rId431" ref="R160"/>
    <hyperlink r:id="rId432" ref="S160"/>
    <hyperlink r:id="rId433" ref="B161"/>
    <hyperlink r:id="rId434" ref="R161"/>
    <hyperlink r:id="rId435" ref="S161"/>
    <hyperlink r:id="rId436" ref="B162"/>
    <hyperlink r:id="rId437" ref="R162"/>
    <hyperlink r:id="rId438" ref="S162"/>
    <hyperlink r:id="rId439" ref="B163"/>
    <hyperlink r:id="rId440" ref="R163"/>
    <hyperlink r:id="rId441" ref="S163"/>
    <hyperlink r:id="rId442" ref="B164"/>
    <hyperlink r:id="rId443" ref="R164"/>
    <hyperlink r:id="rId444" ref="S164"/>
    <hyperlink r:id="rId445" ref="B165"/>
    <hyperlink r:id="rId446" ref="R165"/>
    <hyperlink r:id="rId447" ref="S165"/>
    <hyperlink r:id="rId448" ref="B166"/>
    <hyperlink r:id="rId449" ref="R166"/>
    <hyperlink r:id="rId450" ref="S166"/>
    <hyperlink r:id="rId451" ref="B167"/>
    <hyperlink r:id="rId452" ref="R167"/>
    <hyperlink r:id="rId453" ref="S167"/>
    <hyperlink r:id="rId454" ref="B168"/>
    <hyperlink r:id="rId455" ref="R168"/>
    <hyperlink r:id="rId456" ref="S168"/>
    <hyperlink r:id="rId457" ref="B169"/>
    <hyperlink r:id="rId458" ref="R169"/>
    <hyperlink r:id="rId459" ref="S169"/>
    <hyperlink r:id="rId460" ref="B170"/>
    <hyperlink r:id="rId461" ref="R170"/>
    <hyperlink r:id="rId462" ref="S170"/>
    <hyperlink r:id="rId463" ref="B173"/>
    <hyperlink r:id="rId464" ref="R173"/>
    <hyperlink r:id="rId465" ref="S173"/>
    <hyperlink r:id="rId466" ref="B174"/>
    <hyperlink r:id="rId467" ref="R174"/>
    <hyperlink r:id="rId468" ref="S174"/>
    <hyperlink r:id="rId469" ref="B175"/>
    <hyperlink r:id="rId470" ref="R175"/>
    <hyperlink r:id="rId471" ref="S175"/>
    <hyperlink r:id="rId472" ref="B176"/>
    <hyperlink r:id="rId473" ref="R176"/>
    <hyperlink r:id="rId474" ref="S176"/>
    <hyperlink r:id="rId475" ref="B177"/>
    <hyperlink r:id="rId476" ref="R177"/>
    <hyperlink r:id="rId477" ref="S177"/>
    <hyperlink r:id="rId478" ref="B178"/>
    <hyperlink r:id="rId479" ref="R178"/>
    <hyperlink r:id="rId480" ref="S178"/>
    <hyperlink r:id="rId481" ref="B179"/>
    <hyperlink r:id="rId482" ref="R179"/>
    <hyperlink r:id="rId483" ref="S179"/>
    <hyperlink r:id="rId484" ref="B180"/>
    <hyperlink r:id="rId485" ref="R180"/>
    <hyperlink r:id="rId486" ref="S180"/>
    <hyperlink r:id="rId487" ref="B181"/>
    <hyperlink r:id="rId488" ref="R181"/>
    <hyperlink r:id="rId489" ref="S181"/>
    <hyperlink r:id="rId490" ref="B182"/>
    <hyperlink r:id="rId491" ref="R182"/>
    <hyperlink r:id="rId492" ref="S182"/>
    <hyperlink r:id="rId493" ref="B183"/>
    <hyperlink r:id="rId494" ref="R183"/>
    <hyperlink r:id="rId495" ref="S183"/>
    <hyperlink r:id="rId496" ref="B184"/>
    <hyperlink r:id="rId497" ref="R184"/>
    <hyperlink r:id="rId498" ref="S184"/>
    <hyperlink r:id="rId499" ref="B185"/>
    <hyperlink r:id="rId500" ref="R185"/>
    <hyperlink r:id="rId501" ref="S185"/>
    <hyperlink r:id="rId502" ref="B186"/>
    <hyperlink r:id="rId503" ref="R186"/>
    <hyperlink r:id="rId504" ref="S186"/>
    <hyperlink r:id="rId505" ref="B187"/>
    <hyperlink r:id="rId506" ref="R187"/>
    <hyperlink r:id="rId507" ref="S187"/>
    <hyperlink r:id="rId508" ref="B188"/>
    <hyperlink r:id="rId509" ref="R188"/>
    <hyperlink r:id="rId510" ref="S188"/>
    <hyperlink r:id="rId511" ref="B189"/>
    <hyperlink r:id="rId512" ref="R189"/>
    <hyperlink r:id="rId513" ref="S189"/>
    <hyperlink r:id="rId514" ref="B190"/>
    <hyperlink r:id="rId515" ref="R190"/>
    <hyperlink r:id="rId516" ref="S190"/>
    <hyperlink r:id="rId517" ref="B191"/>
    <hyperlink r:id="rId518" ref="R191"/>
    <hyperlink r:id="rId519" ref="S191"/>
    <hyperlink r:id="rId520" ref="B192"/>
    <hyperlink r:id="rId521" ref="R192"/>
    <hyperlink r:id="rId522" ref="S192"/>
    <hyperlink r:id="rId523" ref="B195"/>
    <hyperlink r:id="rId524" ref="N195"/>
    <hyperlink r:id="rId525" ref="O195"/>
    <hyperlink r:id="rId526" ref="B196"/>
    <hyperlink r:id="rId527" ref="N196"/>
    <hyperlink r:id="rId528" ref="O196"/>
    <hyperlink r:id="rId529" ref="B197"/>
    <hyperlink r:id="rId530" ref="N197"/>
    <hyperlink r:id="rId531" ref="O197"/>
    <hyperlink r:id="rId532" ref="B198"/>
    <hyperlink r:id="rId533" ref="N198"/>
    <hyperlink r:id="rId534" ref="O198"/>
    <hyperlink r:id="rId535" ref="B199"/>
    <hyperlink r:id="rId536" ref="N199"/>
    <hyperlink r:id="rId537" ref="O199"/>
    <hyperlink r:id="rId538" ref="B200"/>
    <hyperlink r:id="rId539" ref="N200"/>
    <hyperlink r:id="rId540" ref="O200"/>
    <hyperlink r:id="rId541" ref="B201"/>
    <hyperlink r:id="rId542" ref="N201"/>
    <hyperlink r:id="rId543" ref="O201"/>
    <hyperlink r:id="rId544" ref="B202"/>
    <hyperlink r:id="rId545" ref="N202"/>
    <hyperlink r:id="rId546" ref="O202"/>
    <hyperlink r:id="rId547" ref="B203"/>
    <hyperlink r:id="rId548" ref="N203"/>
    <hyperlink r:id="rId549" ref="O203"/>
    <hyperlink r:id="rId550" ref="B204"/>
    <hyperlink r:id="rId551" ref="N204"/>
    <hyperlink r:id="rId552" ref="O204"/>
    <hyperlink r:id="rId553" ref="B205"/>
    <hyperlink r:id="rId554" ref="N205"/>
    <hyperlink r:id="rId555" ref="O205"/>
    <hyperlink r:id="rId556" ref="B206"/>
    <hyperlink r:id="rId557" ref="N206"/>
    <hyperlink r:id="rId558" ref="O206"/>
    <hyperlink r:id="rId559" ref="B207"/>
    <hyperlink r:id="rId560" ref="N207"/>
    <hyperlink r:id="rId561" ref="O207"/>
    <hyperlink r:id="rId562" ref="B208"/>
    <hyperlink r:id="rId563" ref="N208"/>
    <hyperlink r:id="rId564" ref="O208"/>
    <hyperlink r:id="rId565" ref="B209"/>
    <hyperlink r:id="rId566" ref="N209"/>
    <hyperlink r:id="rId567" ref="O209"/>
    <hyperlink r:id="rId568" ref="B210"/>
    <hyperlink r:id="rId569" ref="N210"/>
    <hyperlink r:id="rId570" ref="O210"/>
    <hyperlink r:id="rId571" ref="B211"/>
    <hyperlink r:id="rId572" ref="N211"/>
    <hyperlink r:id="rId573" ref="O211"/>
    <hyperlink r:id="rId574" ref="B212"/>
    <hyperlink r:id="rId575" ref="N212"/>
    <hyperlink r:id="rId576" ref="O212"/>
    <hyperlink r:id="rId577" ref="B213"/>
    <hyperlink r:id="rId578" ref="N213"/>
    <hyperlink r:id="rId579" ref="O213"/>
    <hyperlink r:id="rId580" ref="B214"/>
    <hyperlink r:id="rId581" ref="N214"/>
    <hyperlink r:id="rId582" ref="O214"/>
    <hyperlink r:id="rId583" ref="B217"/>
    <hyperlink r:id="rId584" ref="N217"/>
    <hyperlink r:id="rId585" ref="O217"/>
    <hyperlink r:id="rId586" ref="B218"/>
    <hyperlink r:id="rId587" ref="N218"/>
    <hyperlink r:id="rId588" ref="O218"/>
    <hyperlink r:id="rId589" ref="B219"/>
    <hyperlink r:id="rId590" ref="N219"/>
    <hyperlink r:id="rId591" ref="O219"/>
    <hyperlink r:id="rId592" ref="B220"/>
    <hyperlink r:id="rId593" ref="N220"/>
    <hyperlink r:id="rId594" ref="O220"/>
    <hyperlink r:id="rId595" ref="B221"/>
    <hyperlink r:id="rId596" ref="N221"/>
    <hyperlink r:id="rId597" ref="O221"/>
    <hyperlink r:id="rId598" ref="B222"/>
    <hyperlink r:id="rId599" ref="N222"/>
    <hyperlink r:id="rId600" ref="O222"/>
    <hyperlink r:id="rId601" ref="B223"/>
    <hyperlink r:id="rId602" ref="N223"/>
    <hyperlink r:id="rId603" ref="O223"/>
    <hyperlink r:id="rId604" ref="B224"/>
    <hyperlink r:id="rId605" ref="N224"/>
    <hyperlink r:id="rId606" ref="O224"/>
    <hyperlink r:id="rId607" ref="B225"/>
    <hyperlink r:id="rId608" ref="N225"/>
    <hyperlink r:id="rId609" ref="O225"/>
    <hyperlink r:id="rId610" ref="B226"/>
    <hyperlink r:id="rId611" ref="N226"/>
    <hyperlink r:id="rId612" ref="O226"/>
    <hyperlink r:id="rId613" ref="B227"/>
    <hyperlink r:id="rId614" ref="N227"/>
    <hyperlink r:id="rId615" ref="O227"/>
    <hyperlink r:id="rId616" ref="B228"/>
    <hyperlink r:id="rId617" ref="N228"/>
    <hyperlink r:id="rId618" ref="O228"/>
    <hyperlink r:id="rId619" ref="B229"/>
    <hyperlink r:id="rId620" ref="N229"/>
    <hyperlink r:id="rId621" ref="O229"/>
    <hyperlink r:id="rId622" ref="B230"/>
    <hyperlink r:id="rId623" ref="N230"/>
    <hyperlink r:id="rId624" ref="O230"/>
    <hyperlink r:id="rId625" ref="B231"/>
    <hyperlink r:id="rId626" ref="N231"/>
    <hyperlink r:id="rId627" ref="O231"/>
    <hyperlink r:id="rId628" ref="B232"/>
    <hyperlink r:id="rId629" ref="N232"/>
    <hyperlink r:id="rId630" ref="O232"/>
    <hyperlink r:id="rId631" ref="B233"/>
    <hyperlink r:id="rId632" ref="N233"/>
    <hyperlink r:id="rId633" ref="O233"/>
    <hyperlink r:id="rId634" ref="B234"/>
    <hyperlink r:id="rId635" ref="N234"/>
    <hyperlink r:id="rId636" ref="O234"/>
    <hyperlink r:id="rId637" ref="B235"/>
    <hyperlink r:id="rId638" ref="N235"/>
    <hyperlink r:id="rId639" ref="O235"/>
    <hyperlink r:id="rId640" ref="B236"/>
    <hyperlink r:id="rId641" ref="N236"/>
    <hyperlink r:id="rId642" ref="O236"/>
  </hyperlinks>
  <drawing r:id="rId64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831</v>
      </c>
      <c r="B1" s="13" t="s">
        <v>832</v>
      </c>
      <c r="C1" s="13" t="s">
        <v>3</v>
      </c>
      <c r="D1" s="13" t="s">
        <v>833</v>
      </c>
      <c r="E1" s="13" t="s">
        <v>834</v>
      </c>
      <c r="F1" s="13" t="s">
        <v>835</v>
      </c>
      <c r="G1" s="13" t="s">
        <v>836</v>
      </c>
      <c r="H1" s="13" t="s">
        <v>837</v>
      </c>
      <c r="I1" s="13" t="s">
        <v>838</v>
      </c>
      <c r="J1" s="13" t="s">
        <v>839</v>
      </c>
      <c r="K1" s="13" t="s">
        <v>840</v>
      </c>
      <c r="L1" s="13" t="s">
        <v>841</v>
      </c>
      <c r="M1" s="13" t="s">
        <v>842</v>
      </c>
      <c r="N1" s="13" t="s">
        <v>843</v>
      </c>
      <c r="O1" s="13" t="s">
        <v>844</v>
      </c>
      <c r="P1" s="13" t="s">
        <v>845</v>
      </c>
      <c r="Q1" s="13" t="s">
        <v>846</v>
      </c>
      <c r="R1" s="13" t="s">
        <v>847</v>
      </c>
      <c r="S1" s="13" t="s">
        <v>848</v>
      </c>
      <c r="T1" s="13" t="s">
        <v>849</v>
      </c>
    </row>
    <row r="2">
      <c r="A2" s="14">
        <v>1.0</v>
      </c>
      <c r="B2" s="15" t="s">
        <v>1508</v>
      </c>
      <c r="C2" s="16">
        <v>2025.0</v>
      </c>
      <c r="D2" s="16">
        <v>38.0</v>
      </c>
      <c r="E2" s="16">
        <v>25.0</v>
      </c>
      <c r="F2" s="16">
        <v>9.0</v>
      </c>
      <c r="G2" s="16">
        <v>4.0</v>
      </c>
      <c r="H2" s="16">
        <v>86.0</v>
      </c>
      <c r="I2" s="16">
        <v>41.0</v>
      </c>
      <c r="J2" s="17">
        <f>+45</f>
        <v>45</v>
      </c>
      <c r="K2" s="16">
        <v>84.0</v>
      </c>
      <c r="L2" s="16">
        <v>2.21</v>
      </c>
      <c r="M2" s="16">
        <v>82.2</v>
      </c>
      <c r="N2" s="16">
        <v>38.6</v>
      </c>
      <c r="O2" s="17">
        <f>+43.6</f>
        <v>43.6</v>
      </c>
      <c r="P2" s="17">
        <f>+1.15</f>
        <v>1.15</v>
      </c>
      <c r="Q2" s="18">
        <v>60324.0</v>
      </c>
      <c r="R2" s="19" t="s">
        <v>1509</v>
      </c>
      <c r="S2" s="19" t="s">
        <v>1510</v>
      </c>
      <c r="T2" s="20" t="s">
        <v>853</v>
      </c>
    </row>
    <row r="3">
      <c r="A3" s="14">
        <v>2.0</v>
      </c>
      <c r="B3" s="15" t="s">
        <v>1511</v>
      </c>
      <c r="C3" s="16">
        <v>2025.0</v>
      </c>
      <c r="D3" s="16">
        <v>38.0</v>
      </c>
      <c r="E3" s="16">
        <v>20.0</v>
      </c>
      <c r="F3" s="16">
        <v>14.0</v>
      </c>
      <c r="G3" s="16">
        <v>4.0</v>
      </c>
      <c r="H3" s="16">
        <v>69.0</v>
      </c>
      <c r="I3" s="16">
        <v>34.0</v>
      </c>
      <c r="J3" s="17">
        <f>+35</f>
        <v>35</v>
      </c>
      <c r="K3" s="16">
        <v>74.0</v>
      </c>
      <c r="L3" s="16">
        <v>1.95</v>
      </c>
      <c r="M3" s="16">
        <v>59.9</v>
      </c>
      <c r="N3" s="16">
        <v>34.4</v>
      </c>
      <c r="O3" s="17">
        <f>+25.5</f>
        <v>25.5</v>
      </c>
      <c r="P3" s="17">
        <f>+0.67</f>
        <v>0.67</v>
      </c>
      <c r="Q3" s="18">
        <v>60251.0</v>
      </c>
      <c r="R3" s="19" t="s">
        <v>1512</v>
      </c>
      <c r="S3" s="19" t="s">
        <v>1513</v>
      </c>
      <c r="T3" s="20" t="s">
        <v>853</v>
      </c>
    </row>
    <row r="4">
      <c r="A4" s="14">
        <v>3.0</v>
      </c>
      <c r="B4" s="15" t="s">
        <v>1514</v>
      </c>
      <c r="C4" s="16">
        <v>2025.0</v>
      </c>
      <c r="D4" s="16">
        <v>38.0</v>
      </c>
      <c r="E4" s="16">
        <v>21.0</v>
      </c>
      <c r="F4" s="16">
        <v>8.0</v>
      </c>
      <c r="G4" s="16">
        <v>9.0</v>
      </c>
      <c r="H4" s="16">
        <v>72.0</v>
      </c>
      <c r="I4" s="16">
        <v>44.0</v>
      </c>
      <c r="J4" s="17">
        <f>+28</f>
        <v>28</v>
      </c>
      <c r="K4" s="16">
        <v>71.0</v>
      </c>
      <c r="L4" s="16">
        <v>1.87</v>
      </c>
      <c r="M4" s="16">
        <v>68.1</v>
      </c>
      <c r="N4" s="16">
        <v>47.7</v>
      </c>
      <c r="O4" s="17">
        <f>+20.4</f>
        <v>20.4</v>
      </c>
      <c r="P4" s="17">
        <f t="shared" ref="P4:P5" si="1">+0.54</f>
        <v>0.54</v>
      </c>
      <c r="Q4" s="18">
        <v>52756.0</v>
      </c>
      <c r="R4" s="19" t="s">
        <v>1515</v>
      </c>
      <c r="S4" s="19" t="s">
        <v>1516</v>
      </c>
      <c r="T4" s="20" t="s">
        <v>853</v>
      </c>
    </row>
    <row r="5">
      <c r="A5" s="14">
        <v>4.0</v>
      </c>
      <c r="B5" s="15" t="s">
        <v>1517</v>
      </c>
      <c r="C5" s="16">
        <v>2025.0</v>
      </c>
      <c r="D5" s="16">
        <v>38.0</v>
      </c>
      <c r="E5" s="16">
        <v>20.0</v>
      </c>
      <c r="F5" s="16">
        <v>9.0</v>
      </c>
      <c r="G5" s="16">
        <v>9.0</v>
      </c>
      <c r="H5" s="16">
        <v>64.0</v>
      </c>
      <c r="I5" s="16">
        <v>43.0</v>
      </c>
      <c r="J5" s="17">
        <f t="shared" ref="J5:J6" si="2">+21</f>
        <v>21</v>
      </c>
      <c r="K5" s="16">
        <v>69.0</v>
      </c>
      <c r="L5" s="16">
        <v>1.82</v>
      </c>
      <c r="M5" s="16">
        <v>67.8</v>
      </c>
      <c r="N5" s="16">
        <v>47.3</v>
      </c>
      <c r="O5" s="17">
        <f>+20.5</f>
        <v>20.5</v>
      </c>
      <c r="P5" s="17">
        <f t="shared" si="1"/>
        <v>0.54</v>
      </c>
      <c r="Q5" s="18">
        <v>39672.0</v>
      </c>
      <c r="R5" s="19" t="s">
        <v>1518</v>
      </c>
      <c r="S5" s="19" t="s">
        <v>1519</v>
      </c>
      <c r="T5" s="20" t="s">
        <v>853</v>
      </c>
    </row>
    <row r="6">
      <c r="A6" s="14">
        <v>5.0</v>
      </c>
      <c r="B6" s="15" t="s">
        <v>1520</v>
      </c>
      <c r="C6" s="16">
        <v>2025.0</v>
      </c>
      <c r="D6" s="16">
        <v>38.0</v>
      </c>
      <c r="E6" s="16">
        <v>20.0</v>
      </c>
      <c r="F6" s="16">
        <v>6.0</v>
      </c>
      <c r="G6" s="16">
        <v>12.0</v>
      </c>
      <c r="H6" s="16">
        <v>68.0</v>
      </c>
      <c r="I6" s="16">
        <v>47.0</v>
      </c>
      <c r="J6" s="17">
        <f t="shared" si="2"/>
        <v>21</v>
      </c>
      <c r="K6" s="16">
        <v>66.0</v>
      </c>
      <c r="L6" s="16">
        <v>1.74</v>
      </c>
      <c r="M6" s="16">
        <v>63.8</v>
      </c>
      <c r="N6" s="16">
        <v>45.5</v>
      </c>
      <c r="O6" s="17">
        <f>+18.3</f>
        <v>18.3</v>
      </c>
      <c r="P6" s="17">
        <f>+0.48</f>
        <v>0.48</v>
      </c>
      <c r="Q6" s="18">
        <v>52187.0</v>
      </c>
      <c r="R6" s="19" t="s">
        <v>1521</v>
      </c>
      <c r="S6" s="19" t="s">
        <v>1522</v>
      </c>
      <c r="T6" s="20" t="s">
        <v>853</v>
      </c>
    </row>
    <row r="7">
      <c r="A7" s="14">
        <v>6.0</v>
      </c>
      <c r="B7" s="15" t="s">
        <v>1523</v>
      </c>
      <c r="C7" s="16">
        <v>2025.0</v>
      </c>
      <c r="D7" s="16">
        <v>38.0</v>
      </c>
      <c r="E7" s="16">
        <v>19.0</v>
      </c>
      <c r="F7" s="16">
        <v>9.0</v>
      </c>
      <c r="G7" s="16">
        <v>10.0</v>
      </c>
      <c r="H7" s="16">
        <v>58.0</v>
      </c>
      <c r="I7" s="16">
        <v>51.0</v>
      </c>
      <c r="J7" s="17">
        <f>+7</f>
        <v>7</v>
      </c>
      <c r="K7" s="16">
        <v>66.0</v>
      </c>
      <c r="L7" s="16">
        <v>1.74</v>
      </c>
      <c r="M7" s="16">
        <v>56.1</v>
      </c>
      <c r="N7" s="16">
        <v>50.1</v>
      </c>
      <c r="O7" s="17">
        <f>+5.9</f>
        <v>5.9</v>
      </c>
      <c r="P7" s="17">
        <f>+0.16</f>
        <v>0.16</v>
      </c>
      <c r="Q7" s="18">
        <v>42079.0</v>
      </c>
      <c r="R7" s="19" t="s">
        <v>1524</v>
      </c>
      <c r="S7" s="19" t="s">
        <v>1525</v>
      </c>
      <c r="T7" s="20" t="s">
        <v>866</v>
      </c>
    </row>
    <row r="8">
      <c r="A8" s="14">
        <v>7.0</v>
      </c>
      <c r="B8" s="15" t="s">
        <v>1526</v>
      </c>
      <c r="C8" s="16">
        <v>2025.0</v>
      </c>
      <c r="D8" s="16">
        <v>38.0</v>
      </c>
      <c r="E8" s="16">
        <v>19.0</v>
      </c>
      <c r="F8" s="16">
        <v>8.0</v>
      </c>
      <c r="G8" s="16">
        <v>11.0</v>
      </c>
      <c r="H8" s="16">
        <v>58.0</v>
      </c>
      <c r="I8" s="16">
        <v>46.0</v>
      </c>
      <c r="J8" s="17">
        <f>+12</f>
        <v>12</v>
      </c>
      <c r="K8" s="16">
        <v>65.0</v>
      </c>
      <c r="L8" s="16">
        <v>1.71</v>
      </c>
      <c r="M8" s="16">
        <v>45.5</v>
      </c>
      <c r="N8" s="16">
        <v>48.9</v>
      </c>
      <c r="O8" s="16">
        <v>-3.4</v>
      </c>
      <c r="P8" s="16">
        <v>-0.09</v>
      </c>
      <c r="Q8" s="18">
        <v>30059.0</v>
      </c>
      <c r="R8" s="19" t="s">
        <v>1527</v>
      </c>
      <c r="S8" s="19" t="s">
        <v>1528</v>
      </c>
      <c r="T8" s="20" t="s">
        <v>873</v>
      </c>
    </row>
    <row r="9">
      <c r="A9" s="14">
        <v>8.0</v>
      </c>
      <c r="B9" s="15" t="s">
        <v>1529</v>
      </c>
      <c r="C9" s="16">
        <v>2025.0</v>
      </c>
      <c r="D9" s="16">
        <v>38.0</v>
      </c>
      <c r="E9" s="16">
        <v>16.0</v>
      </c>
      <c r="F9" s="16">
        <v>13.0</v>
      </c>
      <c r="G9" s="16">
        <v>9.0</v>
      </c>
      <c r="H9" s="16">
        <v>66.0</v>
      </c>
      <c r="I9" s="16">
        <v>59.0</v>
      </c>
      <c r="J9" s="17">
        <f>+7</f>
        <v>7</v>
      </c>
      <c r="K9" s="16">
        <v>61.0</v>
      </c>
      <c r="L9" s="16">
        <v>1.61</v>
      </c>
      <c r="M9" s="16">
        <v>58.7</v>
      </c>
      <c r="N9" s="16">
        <v>54.6</v>
      </c>
      <c r="O9" s="17">
        <f>+4.1</f>
        <v>4.1</v>
      </c>
      <c r="P9" s="17">
        <f>+0.11</f>
        <v>0.11</v>
      </c>
      <c r="Q9" s="18">
        <v>31798.0</v>
      </c>
      <c r="R9" s="19" t="s">
        <v>1530</v>
      </c>
      <c r="S9" s="19" t="s">
        <v>1531</v>
      </c>
      <c r="T9" s="21"/>
    </row>
    <row r="10">
      <c r="A10" s="14">
        <v>9.0</v>
      </c>
      <c r="B10" s="15" t="s">
        <v>1532</v>
      </c>
      <c r="C10" s="16">
        <v>2025.0</v>
      </c>
      <c r="D10" s="16">
        <v>38.0</v>
      </c>
      <c r="E10" s="16">
        <v>15.0</v>
      </c>
      <c r="F10" s="16">
        <v>11.0</v>
      </c>
      <c r="G10" s="16">
        <v>12.0</v>
      </c>
      <c r="H10" s="16">
        <v>58.0</v>
      </c>
      <c r="I10" s="16">
        <v>46.0</v>
      </c>
      <c r="J10" s="17">
        <f>+12</f>
        <v>12</v>
      </c>
      <c r="K10" s="16">
        <v>56.0</v>
      </c>
      <c r="L10" s="16">
        <v>1.47</v>
      </c>
      <c r="M10" s="16">
        <v>64.0</v>
      </c>
      <c r="N10" s="16">
        <v>48.5</v>
      </c>
      <c r="O10" s="17">
        <f>+15.5</f>
        <v>15.5</v>
      </c>
      <c r="P10" s="17">
        <f>+0.41</f>
        <v>0.41</v>
      </c>
      <c r="Q10" s="18">
        <v>11210.0</v>
      </c>
      <c r="R10" s="19" t="s">
        <v>1533</v>
      </c>
      <c r="S10" s="19" t="s">
        <v>1534</v>
      </c>
      <c r="T10" s="21"/>
    </row>
    <row r="11">
      <c r="A11" s="14">
        <v>10.0</v>
      </c>
      <c r="B11" s="15" t="s">
        <v>1535</v>
      </c>
      <c r="C11" s="16">
        <v>2025.0</v>
      </c>
      <c r="D11" s="16">
        <v>38.0</v>
      </c>
      <c r="E11" s="16">
        <v>16.0</v>
      </c>
      <c r="F11" s="16">
        <v>8.0</v>
      </c>
      <c r="G11" s="16">
        <v>14.0</v>
      </c>
      <c r="H11" s="16">
        <v>66.0</v>
      </c>
      <c r="I11" s="16">
        <v>57.0</v>
      </c>
      <c r="J11" s="17">
        <f>+9</f>
        <v>9</v>
      </c>
      <c r="K11" s="16">
        <v>56.0</v>
      </c>
      <c r="L11" s="16">
        <v>1.47</v>
      </c>
      <c r="M11" s="16">
        <v>59.0</v>
      </c>
      <c r="N11" s="16">
        <v>55.4</v>
      </c>
      <c r="O11" s="17">
        <f>+3.6</f>
        <v>3.6</v>
      </c>
      <c r="P11" s="17">
        <f>+0.09</f>
        <v>0.09</v>
      </c>
      <c r="Q11" s="18">
        <v>18742.0</v>
      </c>
      <c r="R11" s="19" t="s">
        <v>1536</v>
      </c>
      <c r="S11" s="19" t="s">
        <v>1537</v>
      </c>
      <c r="T11" s="21"/>
    </row>
    <row r="12">
      <c r="A12" s="14">
        <v>11.0</v>
      </c>
      <c r="B12" s="15" t="s">
        <v>1538</v>
      </c>
      <c r="C12" s="16">
        <v>2025.0</v>
      </c>
      <c r="D12" s="16">
        <v>38.0</v>
      </c>
      <c r="E12" s="16">
        <v>15.0</v>
      </c>
      <c r="F12" s="16">
        <v>9.0</v>
      </c>
      <c r="G12" s="16">
        <v>14.0</v>
      </c>
      <c r="H12" s="16">
        <v>54.0</v>
      </c>
      <c r="I12" s="16">
        <v>54.0</v>
      </c>
      <c r="J12" s="16">
        <v>0.0</v>
      </c>
      <c r="K12" s="16">
        <v>54.0</v>
      </c>
      <c r="L12" s="16">
        <v>1.42</v>
      </c>
      <c r="M12" s="16">
        <v>49.0</v>
      </c>
      <c r="N12" s="16">
        <v>47.2</v>
      </c>
      <c r="O12" s="17">
        <f>+1.8</f>
        <v>1.8</v>
      </c>
      <c r="P12" s="17">
        <f>+0.05</f>
        <v>0.05</v>
      </c>
      <c r="Q12" s="18">
        <v>26826.0</v>
      </c>
      <c r="R12" s="19" t="s">
        <v>1539</v>
      </c>
      <c r="S12" s="19" t="s">
        <v>1540</v>
      </c>
      <c r="T12" s="21"/>
    </row>
    <row r="13">
      <c r="A13" s="14">
        <v>12.0</v>
      </c>
      <c r="B13" s="15" t="s">
        <v>1541</v>
      </c>
      <c r="C13" s="16">
        <v>2025.0</v>
      </c>
      <c r="D13" s="16">
        <v>38.0</v>
      </c>
      <c r="E13" s="16">
        <v>13.0</v>
      </c>
      <c r="F13" s="16">
        <v>14.0</v>
      </c>
      <c r="G13" s="16">
        <v>11.0</v>
      </c>
      <c r="H13" s="16">
        <v>51.0</v>
      </c>
      <c r="I13" s="16">
        <v>51.0</v>
      </c>
      <c r="J13" s="16">
        <v>0.0</v>
      </c>
      <c r="K13" s="16">
        <v>53.0</v>
      </c>
      <c r="L13" s="16">
        <v>1.39</v>
      </c>
      <c r="M13" s="16">
        <v>60.4</v>
      </c>
      <c r="N13" s="16">
        <v>49.1</v>
      </c>
      <c r="O13" s="17">
        <f>+11.3</f>
        <v>11.3</v>
      </c>
      <c r="P13" s="17">
        <f>+0.3</f>
        <v>0.3</v>
      </c>
      <c r="Q13" s="18">
        <v>25064.0</v>
      </c>
      <c r="R13" s="19" t="s">
        <v>1542</v>
      </c>
      <c r="S13" s="19" t="s">
        <v>1543</v>
      </c>
      <c r="T13" s="20" t="s">
        <v>1057</v>
      </c>
    </row>
    <row r="14">
      <c r="A14" s="14">
        <v>13.0</v>
      </c>
      <c r="B14" s="15" t="s">
        <v>1544</v>
      </c>
      <c r="C14" s="16">
        <v>2025.0</v>
      </c>
      <c r="D14" s="16">
        <v>38.0</v>
      </c>
      <c r="E14" s="16">
        <v>11.0</v>
      </c>
      <c r="F14" s="16">
        <v>15.0</v>
      </c>
      <c r="G14" s="16">
        <v>12.0</v>
      </c>
      <c r="H14" s="16">
        <v>42.0</v>
      </c>
      <c r="I14" s="16">
        <v>44.0</v>
      </c>
      <c r="J14" s="16">
        <v>-2.0</v>
      </c>
      <c r="K14" s="16">
        <v>48.0</v>
      </c>
      <c r="L14" s="16">
        <v>1.26</v>
      </c>
      <c r="M14" s="16">
        <v>41.8</v>
      </c>
      <c r="N14" s="16">
        <v>46.2</v>
      </c>
      <c r="O14" s="16">
        <v>-4.5</v>
      </c>
      <c r="P14" s="16">
        <v>-0.12</v>
      </c>
      <c r="Q14" s="18">
        <v>38439.0</v>
      </c>
      <c r="R14" s="19" t="s">
        <v>1545</v>
      </c>
      <c r="S14" s="19" t="s">
        <v>1546</v>
      </c>
      <c r="T14" s="21"/>
    </row>
    <row r="15">
      <c r="A15" s="14">
        <v>14.0</v>
      </c>
      <c r="B15" s="15" t="s">
        <v>1547</v>
      </c>
      <c r="C15" s="16">
        <v>2025.0</v>
      </c>
      <c r="D15" s="16">
        <v>38.0</v>
      </c>
      <c r="E15" s="16">
        <v>11.0</v>
      </c>
      <c r="F15" s="16">
        <v>10.0</v>
      </c>
      <c r="G15" s="16">
        <v>17.0</v>
      </c>
      <c r="H15" s="16">
        <v>46.0</v>
      </c>
      <c r="I15" s="16">
        <v>62.0</v>
      </c>
      <c r="J15" s="16">
        <v>-16.0</v>
      </c>
      <c r="K15" s="16">
        <v>43.0</v>
      </c>
      <c r="L15" s="16">
        <v>1.13</v>
      </c>
      <c r="M15" s="16">
        <v>47.0</v>
      </c>
      <c r="N15" s="16">
        <v>59.7</v>
      </c>
      <c r="O15" s="16">
        <v>-12.7</v>
      </c>
      <c r="P15" s="16">
        <v>-0.33</v>
      </c>
      <c r="Q15" s="18">
        <v>62463.0</v>
      </c>
      <c r="R15" s="19" t="s">
        <v>1548</v>
      </c>
      <c r="S15" s="19" t="s">
        <v>1549</v>
      </c>
      <c r="T15" s="21"/>
    </row>
    <row r="16">
      <c r="A16" s="14">
        <v>15.0</v>
      </c>
      <c r="B16" s="15" t="s">
        <v>1550</v>
      </c>
      <c r="C16" s="16">
        <v>2025.0</v>
      </c>
      <c r="D16" s="16">
        <v>38.0</v>
      </c>
      <c r="E16" s="16">
        <v>11.0</v>
      </c>
      <c r="F16" s="16">
        <v>9.0</v>
      </c>
      <c r="G16" s="16">
        <v>18.0</v>
      </c>
      <c r="H16" s="16">
        <v>44.0</v>
      </c>
      <c r="I16" s="16">
        <v>54.0</v>
      </c>
      <c r="J16" s="16">
        <v>-10.0</v>
      </c>
      <c r="K16" s="16">
        <v>42.0</v>
      </c>
      <c r="L16" s="16">
        <v>1.11</v>
      </c>
      <c r="M16" s="16">
        <v>52.6</v>
      </c>
      <c r="N16" s="16">
        <v>53.8</v>
      </c>
      <c r="O16" s="16">
        <v>-1.3</v>
      </c>
      <c r="P16" s="16">
        <v>-0.03</v>
      </c>
      <c r="Q16" s="18">
        <v>73747.0</v>
      </c>
      <c r="R16" s="19" t="s">
        <v>1551</v>
      </c>
      <c r="S16" s="19" t="s">
        <v>1552</v>
      </c>
      <c r="T16" s="21"/>
    </row>
    <row r="17">
      <c r="A17" s="14">
        <v>16.0</v>
      </c>
      <c r="B17" s="15" t="s">
        <v>1553</v>
      </c>
      <c r="C17" s="16">
        <v>2025.0</v>
      </c>
      <c r="D17" s="16">
        <v>38.0</v>
      </c>
      <c r="E17" s="16">
        <v>12.0</v>
      </c>
      <c r="F17" s="16">
        <v>6.0</v>
      </c>
      <c r="G17" s="16">
        <v>20.0</v>
      </c>
      <c r="H17" s="16">
        <v>54.0</v>
      </c>
      <c r="I17" s="16">
        <v>69.0</v>
      </c>
      <c r="J17" s="16">
        <v>-15.0</v>
      </c>
      <c r="K17" s="16">
        <v>42.0</v>
      </c>
      <c r="L17" s="16">
        <v>1.11</v>
      </c>
      <c r="M17" s="16">
        <v>43.7</v>
      </c>
      <c r="N17" s="16">
        <v>58.1</v>
      </c>
      <c r="O17" s="16">
        <v>-14.5</v>
      </c>
      <c r="P17" s="16">
        <v>-0.38</v>
      </c>
      <c r="Q17" s="18">
        <v>30695.0</v>
      </c>
      <c r="R17" s="19" t="s">
        <v>1554</v>
      </c>
      <c r="S17" s="19" t="s">
        <v>1555</v>
      </c>
      <c r="T17" s="21"/>
    </row>
    <row r="18">
      <c r="A18" s="14">
        <v>17.0</v>
      </c>
      <c r="B18" s="15" t="s">
        <v>1556</v>
      </c>
      <c r="C18" s="16">
        <v>2025.0</v>
      </c>
      <c r="D18" s="16">
        <v>38.0</v>
      </c>
      <c r="E18" s="16">
        <v>11.0</v>
      </c>
      <c r="F18" s="16">
        <v>5.0</v>
      </c>
      <c r="G18" s="16">
        <v>22.0</v>
      </c>
      <c r="H18" s="16">
        <v>64.0</v>
      </c>
      <c r="I18" s="16">
        <v>65.0</v>
      </c>
      <c r="J18" s="16">
        <v>-1.0</v>
      </c>
      <c r="K18" s="16">
        <v>38.0</v>
      </c>
      <c r="L18" s="16">
        <v>1.0</v>
      </c>
      <c r="M18" s="16">
        <v>58.8</v>
      </c>
      <c r="N18" s="16">
        <v>63.3</v>
      </c>
      <c r="O18" s="16">
        <v>-4.5</v>
      </c>
      <c r="P18" s="16">
        <v>-0.12</v>
      </c>
      <c r="Q18" s="18">
        <v>61127.0</v>
      </c>
      <c r="R18" s="19" t="s">
        <v>1557</v>
      </c>
      <c r="S18" s="19" t="s">
        <v>1558</v>
      </c>
      <c r="T18" s="20" t="s">
        <v>1559</v>
      </c>
    </row>
    <row r="19">
      <c r="A19" s="22">
        <v>18.0</v>
      </c>
      <c r="B19" s="15" t="s">
        <v>1560</v>
      </c>
      <c r="C19" s="16">
        <v>2025.0</v>
      </c>
      <c r="D19" s="16">
        <v>38.0</v>
      </c>
      <c r="E19" s="16">
        <v>6.0</v>
      </c>
      <c r="F19" s="16">
        <v>7.0</v>
      </c>
      <c r="G19" s="16">
        <v>25.0</v>
      </c>
      <c r="H19" s="16">
        <v>33.0</v>
      </c>
      <c r="I19" s="16">
        <v>80.0</v>
      </c>
      <c r="J19" s="16">
        <v>-47.0</v>
      </c>
      <c r="K19" s="16">
        <v>25.0</v>
      </c>
      <c r="L19" s="16">
        <v>0.66</v>
      </c>
      <c r="M19" s="16">
        <v>32.6</v>
      </c>
      <c r="N19" s="16">
        <v>71.9</v>
      </c>
      <c r="O19" s="16">
        <v>-39.3</v>
      </c>
      <c r="P19" s="16">
        <v>-1.03</v>
      </c>
      <c r="Q19" s="18">
        <v>31448.0</v>
      </c>
      <c r="R19" s="19" t="s">
        <v>1561</v>
      </c>
      <c r="S19" s="19" t="s">
        <v>1562</v>
      </c>
      <c r="T19" s="20" t="s">
        <v>905</v>
      </c>
    </row>
    <row r="20">
      <c r="A20" s="22">
        <v>19.0</v>
      </c>
      <c r="B20" s="15" t="s">
        <v>1563</v>
      </c>
      <c r="C20" s="16">
        <v>2025.0</v>
      </c>
      <c r="D20" s="16">
        <v>38.0</v>
      </c>
      <c r="E20" s="16">
        <v>4.0</v>
      </c>
      <c r="F20" s="16">
        <v>10.0</v>
      </c>
      <c r="G20" s="16">
        <v>24.0</v>
      </c>
      <c r="H20" s="16">
        <v>36.0</v>
      </c>
      <c r="I20" s="16">
        <v>82.0</v>
      </c>
      <c r="J20" s="16">
        <v>-46.0</v>
      </c>
      <c r="K20" s="16">
        <v>22.0</v>
      </c>
      <c r="L20" s="16">
        <v>0.58</v>
      </c>
      <c r="M20" s="16">
        <v>34.4</v>
      </c>
      <c r="N20" s="16">
        <v>72.7</v>
      </c>
      <c r="O20" s="16">
        <v>-38.3</v>
      </c>
      <c r="P20" s="16">
        <v>-1.01</v>
      </c>
      <c r="Q20" s="18">
        <v>29742.0</v>
      </c>
      <c r="R20" s="19" t="s">
        <v>1564</v>
      </c>
      <c r="S20" s="19" t="s">
        <v>1565</v>
      </c>
      <c r="T20" s="20" t="s">
        <v>905</v>
      </c>
    </row>
    <row r="21">
      <c r="A21" s="29">
        <v>20.0</v>
      </c>
      <c r="B21" s="24" t="s">
        <v>1566</v>
      </c>
      <c r="C21" s="16">
        <v>2025.0</v>
      </c>
      <c r="D21" s="30">
        <v>38.0</v>
      </c>
      <c r="E21" s="30">
        <v>2.0</v>
      </c>
      <c r="F21" s="30">
        <v>6.0</v>
      </c>
      <c r="G21" s="30">
        <v>30.0</v>
      </c>
      <c r="H21" s="30">
        <v>26.0</v>
      </c>
      <c r="I21" s="30">
        <v>86.0</v>
      </c>
      <c r="J21" s="30">
        <v>-60.0</v>
      </c>
      <c r="K21" s="30">
        <v>12.0</v>
      </c>
      <c r="L21" s="30">
        <v>0.32</v>
      </c>
      <c r="M21" s="30">
        <v>32.7</v>
      </c>
      <c r="N21" s="30">
        <v>84.8</v>
      </c>
      <c r="O21" s="30">
        <v>-52.1</v>
      </c>
      <c r="P21" s="30">
        <v>-1.37</v>
      </c>
      <c r="Q21" s="31">
        <v>30882.0</v>
      </c>
      <c r="R21" s="27" t="s">
        <v>1567</v>
      </c>
      <c r="S21" s="27" t="s">
        <v>1568</v>
      </c>
      <c r="T21" s="32" t="s">
        <v>905</v>
      </c>
    </row>
    <row r="23">
      <c r="A23" s="12" t="s">
        <v>831</v>
      </c>
      <c r="B23" s="13" t="s">
        <v>832</v>
      </c>
      <c r="C23" s="13" t="s">
        <v>3</v>
      </c>
      <c r="D23" s="13" t="s">
        <v>833</v>
      </c>
      <c r="E23" s="13" t="s">
        <v>834</v>
      </c>
      <c r="F23" s="13" t="s">
        <v>835</v>
      </c>
      <c r="G23" s="13" t="s">
        <v>836</v>
      </c>
      <c r="H23" s="13" t="s">
        <v>837</v>
      </c>
      <c r="I23" s="13" t="s">
        <v>838</v>
      </c>
      <c r="J23" s="13" t="s">
        <v>839</v>
      </c>
      <c r="K23" s="13" t="s">
        <v>840</v>
      </c>
      <c r="L23" s="13" t="s">
        <v>841</v>
      </c>
      <c r="M23" s="13" t="s">
        <v>842</v>
      </c>
      <c r="N23" s="13" t="s">
        <v>843</v>
      </c>
      <c r="O23" s="13" t="s">
        <v>844</v>
      </c>
      <c r="P23" s="13" t="s">
        <v>845</v>
      </c>
      <c r="Q23" s="13" t="s">
        <v>846</v>
      </c>
      <c r="R23" s="13" t="s">
        <v>847</v>
      </c>
      <c r="S23" s="13" t="s">
        <v>848</v>
      </c>
      <c r="T23" s="13" t="s">
        <v>849</v>
      </c>
    </row>
    <row r="24">
      <c r="A24" s="14">
        <v>1.0</v>
      </c>
      <c r="B24" s="15" t="s">
        <v>1569</v>
      </c>
      <c r="C24" s="16">
        <v>2024.0</v>
      </c>
      <c r="D24" s="16">
        <v>38.0</v>
      </c>
      <c r="E24" s="16">
        <v>28.0</v>
      </c>
      <c r="F24" s="16">
        <v>7.0</v>
      </c>
      <c r="G24" s="16">
        <v>3.0</v>
      </c>
      <c r="H24" s="16">
        <v>96.0</v>
      </c>
      <c r="I24" s="16">
        <v>34.0</v>
      </c>
      <c r="J24" s="17">
        <f t="shared" ref="J24:J25" si="3">+62</f>
        <v>62</v>
      </c>
      <c r="K24" s="16">
        <v>91.0</v>
      </c>
      <c r="L24" s="16">
        <v>2.39</v>
      </c>
      <c r="M24" s="16">
        <v>80.5</v>
      </c>
      <c r="N24" s="16">
        <v>35.6</v>
      </c>
      <c r="O24" s="17">
        <f>+44.9</f>
        <v>44.9</v>
      </c>
      <c r="P24" s="17">
        <f>+1.18</f>
        <v>1.18</v>
      </c>
      <c r="Q24" s="18">
        <v>53012.0</v>
      </c>
      <c r="R24" s="19" t="s">
        <v>1570</v>
      </c>
      <c r="S24" s="19" t="s">
        <v>1571</v>
      </c>
      <c r="T24" s="20" t="s">
        <v>853</v>
      </c>
    </row>
    <row r="25">
      <c r="A25" s="14">
        <v>2.0</v>
      </c>
      <c r="B25" s="15" t="s">
        <v>1572</v>
      </c>
      <c r="C25" s="16">
        <v>2024.0</v>
      </c>
      <c r="D25" s="16">
        <v>38.0</v>
      </c>
      <c r="E25" s="16">
        <v>28.0</v>
      </c>
      <c r="F25" s="16">
        <v>5.0</v>
      </c>
      <c r="G25" s="16">
        <v>5.0</v>
      </c>
      <c r="H25" s="16">
        <v>91.0</v>
      </c>
      <c r="I25" s="16">
        <v>29.0</v>
      </c>
      <c r="J25" s="17">
        <f t="shared" si="3"/>
        <v>62</v>
      </c>
      <c r="K25" s="16">
        <v>89.0</v>
      </c>
      <c r="L25" s="16">
        <v>2.34</v>
      </c>
      <c r="M25" s="16">
        <v>76.1</v>
      </c>
      <c r="N25" s="16">
        <v>27.9</v>
      </c>
      <c r="O25" s="17">
        <f>+48.2</f>
        <v>48.2</v>
      </c>
      <c r="P25" s="17">
        <f>+1.27</f>
        <v>1.27</v>
      </c>
      <c r="Q25" s="18">
        <v>60236.0</v>
      </c>
      <c r="R25" s="19" t="s">
        <v>1573</v>
      </c>
      <c r="S25" s="19" t="s">
        <v>1574</v>
      </c>
      <c r="T25" s="20" t="s">
        <v>853</v>
      </c>
    </row>
    <row r="26">
      <c r="A26" s="14">
        <v>3.0</v>
      </c>
      <c r="B26" s="15" t="s">
        <v>1575</v>
      </c>
      <c r="C26" s="16">
        <v>2024.0</v>
      </c>
      <c r="D26" s="16">
        <v>38.0</v>
      </c>
      <c r="E26" s="16">
        <v>24.0</v>
      </c>
      <c r="F26" s="16">
        <v>10.0</v>
      </c>
      <c r="G26" s="16">
        <v>4.0</v>
      </c>
      <c r="H26" s="16">
        <v>86.0</v>
      </c>
      <c r="I26" s="16">
        <v>41.0</v>
      </c>
      <c r="J26" s="17">
        <f>+45</f>
        <v>45</v>
      </c>
      <c r="K26" s="16">
        <v>82.0</v>
      </c>
      <c r="L26" s="16">
        <v>2.16</v>
      </c>
      <c r="M26" s="16">
        <v>87.8</v>
      </c>
      <c r="N26" s="16">
        <v>45.7</v>
      </c>
      <c r="O26" s="17">
        <f>+42</f>
        <v>42</v>
      </c>
      <c r="P26" s="17">
        <f>+1.11</f>
        <v>1.11</v>
      </c>
      <c r="Q26" s="18">
        <v>55979.0</v>
      </c>
      <c r="R26" s="19" t="s">
        <v>1576</v>
      </c>
      <c r="S26" s="19" t="s">
        <v>1577</v>
      </c>
      <c r="T26" s="20" t="s">
        <v>853</v>
      </c>
    </row>
    <row r="27">
      <c r="A27" s="14">
        <v>4.0</v>
      </c>
      <c r="B27" s="15" t="s">
        <v>1578</v>
      </c>
      <c r="C27" s="16">
        <v>2024.0</v>
      </c>
      <c r="D27" s="16">
        <v>38.0</v>
      </c>
      <c r="E27" s="16">
        <v>20.0</v>
      </c>
      <c r="F27" s="16">
        <v>8.0</v>
      </c>
      <c r="G27" s="16">
        <v>10.0</v>
      </c>
      <c r="H27" s="16">
        <v>76.0</v>
      </c>
      <c r="I27" s="16">
        <v>61.0</v>
      </c>
      <c r="J27" s="17">
        <f>+15</f>
        <v>15</v>
      </c>
      <c r="K27" s="16">
        <v>68.0</v>
      </c>
      <c r="L27" s="16">
        <v>1.79</v>
      </c>
      <c r="M27" s="16">
        <v>63.3</v>
      </c>
      <c r="N27" s="16">
        <v>59.9</v>
      </c>
      <c r="O27" s="17">
        <f>+3.4</f>
        <v>3.4</v>
      </c>
      <c r="P27" s="17">
        <f>+0.09</f>
        <v>0.09</v>
      </c>
      <c r="Q27" s="18">
        <v>41858.0</v>
      </c>
      <c r="R27" s="19" t="s">
        <v>1579</v>
      </c>
      <c r="S27" s="19" t="s">
        <v>1580</v>
      </c>
      <c r="T27" s="20" t="s">
        <v>853</v>
      </c>
    </row>
    <row r="28">
      <c r="A28" s="14">
        <v>5.0</v>
      </c>
      <c r="B28" s="15" t="s">
        <v>1581</v>
      </c>
      <c r="C28" s="16">
        <v>2024.0</v>
      </c>
      <c r="D28" s="16">
        <v>38.0</v>
      </c>
      <c r="E28" s="16">
        <v>20.0</v>
      </c>
      <c r="F28" s="16">
        <v>6.0</v>
      </c>
      <c r="G28" s="16">
        <v>12.0</v>
      </c>
      <c r="H28" s="16">
        <v>74.0</v>
      </c>
      <c r="I28" s="16">
        <v>61.0</v>
      </c>
      <c r="J28" s="17">
        <f>+13</f>
        <v>13</v>
      </c>
      <c r="K28" s="16">
        <v>66.0</v>
      </c>
      <c r="L28" s="16">
        <v>1.74</v>
      </c>
      <c r="M28" s="16">
        <v>68.2</v>
      </c>
      <c r="N28" s="16">
        <v>63.4</v>
      </c>
      <c r="O28" s="17">
        <f>+4.8</f>
        <v>4.8</v>
      </c>
      <c r="P28" s="17">
        <f>+0.13</f>
        <v>0.13</v>
      </c>
      <c r="Q28" s="18">
        <v>61482.0</v>
      </c>
      <c r="R28" s="19" t="s">
        <v>1582</v>
      </c>
      <c r="S28" s="19" t="s">
        <v>1583</v>
      </c>
      <c r="T28" s="20" t="s">
        <v>866</v>
      </c>
    </row>
    <row r="29">
      <c r="A29" s="14">
        <v>6.0</v>
      </c>
      <c r="B29" s="15" t="s">
        <v>1584</v>
      </c>
      <c r="C29" s="16">
        <v>2024.0</v>
      </c>
      <c r="D29" s="16">
        <v>38.0</v>
      </c>
      <c r="E29" s="16">
        <v>18.0</v>
      </c>
      <c r="F29" s="16">
        <v>9.0</v>
      </c>
      <c r="G29" s="16">
        <v>11.0</v>
      </c>
      <c r="H29" s="16">
        <v>77.0</v>
      </c>
      <c r="I29" s="16">
        <v>63.0</v>
      </c>
      <c r="J29" s="17">
        <f>+14</f>
        <v>14</v>
      </c>
      <c r="K29" s="16">
        <v>63.0</v>
      </c>
      <c r="L29" s="16">
        <v>1.66</v>
      </c>
      <c r="M29" s="16">
        <v>74.5</v>
      </c>
      <c r="N29" s="16">
        <v>58.1</v>
      </c>
      <c r="O29" s="17">
        <f>+16.4</f>
        <v>16.4</v>
      </c>
      <c r="P29" s="17">
        <f>+0.43</f>
        <v>0.43</v>
      </c>
      <c r="Q29" s="18">
        <v>39524.0</v>
      </c>
      <c r="R29" s="19" t="s">
        <v>1585</v>
      </c>
      <c r="S29" s="19" t="s">
        <v>1586</v>
      </c>
      <c r="T29" s="20" t="s">
        <v>873</v>
      </c>
    </row>
    <row r="30">
      <c r="A30" s="14">
        <v>7.0</v>
      </c>
      <c r="B30" s="15" t="s">
        <v>1587</v>
      </c>
      <c r="C30" s="16">
        <v>2024.0</v>
      </c>
      <c r="D30" s="16">
        <v>38.0</v>
      </c>
      <c r="E30" s="16">
        <v>18.0</v>
      </c>
      <c r="F30" s="16">
        <v>6.0</v>
      </c>
      <c r="G30" s="16">
        <v>14.0</v>
      </c>
      <c r="H30" s="16">
        <v>85.0</v>
      </c>
      <c r="I30" s="16">
        <v>62.0</v>
      </c>
      <c r="J30" s="17">
        <f>+23</f>
        <v>23</v>
      </c>
      <c r="K30" s="16">
        <v>60.0</v>
      </c>
      <c r="L30" s="16">
        <v>1.58</v>
      </c>
      <c r="M30" s="16">
        <v>76.0</v>
      </c>
      <c r="N30" s="16">
        <v>61.4</v>
      </c>
      <c r="O30" s="17">
        <f>+14.6</f>
        <v>14.6</v>
      </c>
      <c r="P30" s="17">
        <f>+0.38</f>
        <v>0.38</v>
      </c>
      <c r="Q30" s="18">
        <v>52125.0</v>
      </c>
      <c r="R30" s="19" t="s">
        <v>1588</v>
      </c>
      <c r="S30" s="19" t="s">
        <v>1589</v>
      </c>
      <c r="T30" s="21"/>
    </row>
    <row r="31">
      <c r="A31" s="14">
        <v>8.0</v>
      </c>
      <c r="B31" s="15" t="s">
        <v>1590</v>
      </c>
      <c r="C31" s="16">
        <v>2024.0</v>
      </c>
      <c r="D31" s="16">
        <v>38.0</v>
      </c>
      <c r="E31" s="16">
        <v>18.0</v>
      </c>
      <c r="F31" s="16">
        <v>6.0</v>
      </c>
      <c r="G31" s="16">
        <v>14.0</v>
      </c>
      <c r="H31" s="16">
        <v>57.0</v>
      </c>
      <c r="I31" s="16">
        <v>58.0</v>
      </c>
      <c r="J31" s="16">
        <v>-1.0</v>
      </c>
      <c r="K31" s="16">
        <v>60.0</v>
      </c>
      <c r="L31" s="16">
        <v>1.58</v>
      </c>
      <c r="M31" s="16">
        <v>56.5</v>
      </c>
      <c r="N31" s="16">
        <v>68.9</v>
      </c>
      <c r="O31" s="16">
        <v>-12.5</v>
      </c>
      <c r="P31" s="16">
        <v>-0.33</v>
      </c>
      <c r="Q31" s="18">
        <v>73533.0</v>
      </c>
      <c r="R31" s="19" t="s">
        <v>1591</v>
      </c>
      <c r="S31" s="19" t="s">
        <v>1592</v>
      </c>
      <c r="T31" s="20" t="s">
        <v>1057</v>
      </c>
    </row>
    <row r="32">
      <c r="A32" s="14">
        <v>9.0</v>
      </c>
      <c r="B32" s="15" t="s">
        <v>1593</v>
      </c>
      <c r="C32" s="16">
        <v>2024.0</v>
      </c>
      <c r="D32" s="16">
        <v>38.0</v>
      </c>
      <c r="E32" s="16">
        <v>14.0</v>
      </c>
      <c r="F32" s="16">
        <v>10.0</v>
      </c>
      <c r="G32" s="16">
        <v>14.0</v>
      </c>
      <c r="H32" s="16">
        <v>60.0</v>
      </c>
      <c r="I32" s="16">
        <v>74.0</v>
      </c>
      <c r="J32" s="16">
        <v>-14.0</v>
      </c>
      <c r="K32" s="16">
        <v>52.0</v>
      </c>
      <c r="L32" s="16">
        <v>1.37</v>
      </c>
      <c r="M32" s="16">
        <v>52.3</v>
      </c>
      <c r="N32" s="16">
        <v>71.1</v>
      </c>
      <c r="O32" s="16">
        <v>-18.8</v>
      </c>
      <c r="P32" s="16">
        <v>-0.49</v>
      </c>
      <c r="Q32" s="18">
        <v>62567.0</v>
      </c>
      <c r="R32" s="19" t="s">
        <v>1594</v>
      </c>
      <c r="S32" s="19" t="s">
        <v>1595</v>
      </c>
      <c r="T32" s="21"/>
    </row>
    <row r="33">
      <c r="A33" s="14">
        <v>10.0</v>
      </c>
      <c r="B33" s="15" t="s">
        <v>1596</v>
      </c>
      <c r="C33" s="16">
        <v>2024.0</v>
      </c>
      <c r="D33" s="16">
        <v>38.0</v>
      </c>
      <c r="E33" s="16">
        <v>13.0</v>
      </c>
      <c r="F33" s="16">
        <v>10.0</v>
      </c>
      <c r="G33" s="16">
        <v>15.0</v>
      </c>
      <c r="H33" s="16">
        <v>57.0</v>
      </c>
      <c r="I33" s="16">
        <v>58.0</v>
      </c>
      <c r="J33" s="16">
        <v>-1.0</v>
      </c>
      <c r="K33" s="16">
        <v>49.0</v>
      </c>
      <c r="L33" s="16">
        <v>1.29</v>
      </c>
      <c r="M33" s="16">
        <v>48.6</v>
      </c>
      <c r="N33" s="16">
        <v>52.0</v>
      </c>
      <c r="O33" s="16">
        <v>-3.4</v>
      </c>
      <c r="P33" s="16">
        <v>-0.09</v>
      </c>
      <c r="Q33" s="18">
        <v>24932.0</v>
      </c>
      <c r="R33" s="19" t="s">
        <v>1597</v>
      </c>
      <c r="S33" s="19" t="s">
        <v>1598</v>
      </c>
      <c r="T33" s="21"/>
    </row>
    <row r="34">
      <c r="A34" s="14">
        <v>11.0</v>
      </c>
      <c r="B34" s="15" t="s">
        <v>1599</v>
      </c>
      <c r="C34" s="16">
        <v>2024.0</v>
      </c>
      <c r="D34" s="16">
        <v>38.0</v>
      </c>
      <c r="E34" s="16">
        <v>12.0</v>
      </c>
      <c r="F34" s="16">
        <v>12.0</v>
      </c>
      <c r="G34" s="16">
        <v>14.0</v>
      </c>
      <c r="H34" s="16">
        <v>55.0</v>
      </c>
      <c r="I34" s="16">
        <v>62.0</v>
      </c>
      <c r="J34" s="16">
        <v>-7.0</v>
      </c>
      <c r="K34" s="16">
        <v>48.0</v>
      </c>
      <c r="L34" s="16">
        <v>1.26</v>
      </c>
      <c r="M34" s="16">
        <v>56.8</v>
      </c>
      <c r="N34" s="16">
        <v>55.4</v>
      </c>
      <c r="O34" s="17">
        <f>+1.4</f>
        <v>1.4</v>
      </c>
      <c r="P34" s="17">
        <f>+0.04</f>
        <v>0.04</v>
      </c>
      <c r="Q34" s="18">
        <v>32638.0</v>
      </c>
      <c r="R34" s="19" t="s">
        <v>1600</v>
      </c>
      <c r="S34" s="19" t="s">
        <v>1601</v>
      </c>
      <c r="T34" s="21"/>
    </row>
    <row r="35">
      <c r="A35" s="14">
        <v>12.0</v>
      </c>
      <c r="B35" s="15" t="s">
        <v>1602</v>
      </c>
      <c r="C35" s="16">
        <v>2024.0</v>
      </c>
      <c r="D35" s="16">
        <v>38.0</v>
      </c>
      <c r="E35" s="16">
        <v>13.0</v>
      </c>
      <c r="F35" s="16">
        <v>9.0</v>
      </c>
      <c r="G35" s="16">
        <v>16.0</v>
      </c>
      <c r="H35" s="16">
        <v>54.0</v>
      </c>
      <c r="I35" s="16">
        <v>67.0</v>
      </c>
      <c r="J35" s="16">
        <v>-13.0</v>
      </c>
      <c r="K35" s="16">
        <v>48.0</v>
      </c>
      <c r="L35" s="16">
        <v>1.26</v>
      </c>
      <c r="M35" s="16">
        <v>55.9</v>
      </c>
      <c r="N35" s="16">
        <v>58.1</v>
      </c>
      <c r="O35" s="16">
        <v>-2.2</v>
      </c>
      <c r="P35" s="16">
        <v>-0.06</v>
      </c>
      <c r="Q35" s="18">
        <v>11103.0</v>
      </c>
      <c r="R35" s="19" t="s">
        <v>1603</v>
      </c>
      <c r="S35" s="19" t="s">
        <v>1604</v>
      </c>
      <c r="T35" s="21"/>
    </row>
    <row r="36">
      <c r="A36" s="14">
        <v>13.0</v>
      </c>
      <c r="B36" s="15" t="s">
        <v>1605</v>
      </c>
      <c r="C36" s="16">
        <v>2024.0</v>
      </c>
      <c r="D36" s="16">
        <v>38.0</v>
      </c>
      <c r="E36" s="16">
        <v>13.0</v>
      </c>
      <c r="F36" s="16">
        <v>8.0</v>
      </c>
      <c r="G36" s="16">
        <v>17.0</v>
      </c>
      <c r="H36" s="16">
        <v>55.0</v>
      </c>
      <c r="I36" s="16">
        <v>61.0</v>
      </c>
      <c r="J36" s="16">
        <v>-6.0</v>
      </c>
      <c r="K36" s="16">
        <v>47.0</v>
      </c>
      <c r="L36" s="16">
        <v>1.24</v>
      </c>
      <c r="M36" s="16">
        <v>50.8</v>
      </c>
      <c r="N36" s="16">
        <v>62.9</v>
      </c>
      <c r="O36" s="16">
        <v>-12.1</v>
      </c>
      <c r="P36" s="16">
        <v>-0.32</v>
      </c>
      <c r="Q36" s="18">
        <v>24302.0</v>
      </c>
      <c r="R36" s="19" t="s">
        <v>1606</v>
      </c>
      <c r="S36" s="19" t="s">
        <v>1607</v>
      </c>
      <c r="T36" s="21"/>
    </row>
    <row r="37">
      <c r="A37" s="14">
        <v>14.0</v>
      </c>
      <c r="B37" s="15" t="s">
        <v>1608</v>
      </c>
      <c r="C37" s="16">
        <v>2024.0</v>
      </c>
      <c r="D37" s="16">
        <v>38.0</v>
      </c>
      <c r="E37" s="16">
        <v>13.0</v>
      </c>
      <c r="F37" s="16">
        <v>7.0</v>
      </c>
      <c r="G37" s="16">
        <v>18.0</v>
      </c>
      <c r="H37" s="16">
        <v>50.0</v>
      </c>
      <c r="I37" s="16">
        <v>65.0</v>
      </c>
      <c r="J37" s="16">
        <v>-15.0</v>
      </c>
      <c r="K37" s="16">
        <v>46.0</v>
      </c>
      <c r="L37" s="16">
        <v>1.21</v>
      </c>
      <c r="M37" s="16">
        <v>46.7</v>
      </c>
      <c r="N37" s="16">
        <v>67.7</v>
      </c>
      <c r="O37" s="16">
        <v>-21.0</v>
      </c>
      <c r="P37" s="16">
        <v>-0.55</v>
      </c>
      <c r="Q37" s="18">
        <v>31029.0</v>
      </c>
      <c r="R37" s="19" t="s">
        <v>1609</v>
      </c>
      <c r="S37" s="19" t="s">
        <v>1610</v>
      </c>
      <c r="T37" s="21"/>
    </row>
    <row r="38">
      <c r="A38" s="14">
        <v>15.0</v>
      </c>
      <c r="B38" s="15" t="s">
        <v>1611</v>
      </c>
      <c r="C38" s="16">
        <v>2024.0</v>
      </c>
      <c r="D38" s="16">
        <v>38.0</v>
      </c>
      <c r="E38" s="16">
        <v>13.0</v>
      </c>
      <c r="F38" s="16">
        <v>9.0</v>
      </c>
      <c r="G38" s="16">
        <v>16.0</v>
      </c>
      <c r="H38" s="16">
        <v>40.0</v>
      </c>
      <c r="I38" s="16">
        <v>51.0</v>
      </c>
      <c r="J38" s="16">
        <v>-11.0</v>
      </c>
      <c r="K38" s="16">
        <v>40.0</v>
      </c>
      <c r="L38" s="16">
        <v>1.05</v>
      </c>
      <c r="M38" s="16">
        <v>54.0</v>
      </c>
      <c r="N38" s="16">
        <v>55.2</v>
      </c>
      <c r="O38" s="16">
        <v>-1.2</v>
      </c>
      <c r="P38" s="16">
        <v>-0.03</v>
      </c>
      <c r="Q38" s="18">
        <v>39042.0</v>
      </c>
      <c r="R38" s="19" t="s">
        <v>1612</v>
      </c>
      <c r="S38" s="19" t="s">
        <v>1613</v>
      </c>
      <c r="T38" s="20" t="s">
        <v>1614</v>
      </c>
    </row>
    <row r="39">
      <c r="A39" s="14">
        <v>16.0</v>
      </c>
      <c r="B39" s="15" t="s">
        <v>1615</v>
      </c>
      <c r="C39" s="16">
        <v>2024.0</v>
      </c>
      <c r="D39" s="16">
        <v>38.0</v>
      </c>
      <c r="E39" s="16">
        <v>10.0</v>
      </c>
      <c r="F39" s="16">
        <v>9.0</v>
      </c>
      <c r="G39" s="16">
        <v>19.0</v>
      </c>
      <c r="H39" s="16">
        <v>56.0</v>
      </c>
      <c r="I39" s="16">
        <v>65.0</v>
      </c>
      <c r="J39" s="16">
        <v>-9.0</v>
      </c>
      <c r="K39" s="16">
        <v>39.0</v>
      </c>
      <c r="L39" s="16">
        <v>1.03</v>
      </c>
      <c r="M39" s="16">
        <v>58.2</v>
      </c>
      <c r="N39" s="16">
        <v>56.0</v>
      </c>
      <c r="O39" s="17">
        <f>+2.2</f>
        <v>2.2</v>
      </c>
      <c r="P39" s="17">
        <f>+0.06</f>
        <v>0.06</v>
      </c>
      <c r="Q39" s="18">
        <v>17082.0</v>
      </c>
      <c r="R39" s="19" t="s">
        <v>1616</v>
      </c>
      <c r="S39" s="19" t="s">
        <v>1617</v>
      </c>
      <c r="T39" s="21"/>
    </row>
    <row r="40">
      <c r="A40" s="14">
        <v>17.0</v>
      </c>
      <c r="B40" s="15" t="s">
        <v>1618</v>
      </c>
      <c r="C40" s="16">
        <v>2024.0</v>
      </c>
      <c r="D40" s="16">
        <v>38.0</v>
      </c>
      <c r="E40" s="16">
        <v>9.0</v>
      </c>
      <c r="F40" s="16">
        <v>9.0</v>
      </c>
      <c r="G40" s="16">
        <v>20.0</v>
      </c>
      <c r="H40" s="16">
        <v>49.0</v>
      </c>
      <c r="I40" s="16">
        <v>67.0</v>
      </c>
      <c r="J40" s="16">
        <v>-18.0</v>
      </c>
      <c r="K40" s="16">
        <v>32.0</v>
      </c>
      <c r="L40" s="16">
        <v>0.84</v>
      </c>
      <c r="M40" s="16">
        <v>49.9</v>
      </c>
      <c r="N40" s="16">
        <v>53.3</v>
      </c>
      <c r="O40" s="16">
        <v>-3.4</v>
      </c>
      <c r="P40" s="16">
        <v>-0.09</v>
      </c>
      <c r="Q40" s="18">
        <v>29386.0</v>
      </c>
      <c r="R40" s="19" t="s">
        <v>1619</v>
      </c>
      <c r="S40" s="19" t="s">
        <v>1620</v>
      </c>
      <c r="T40" s="20" t="s">
        <v>1621</v>
      </c>
    </row>
    <row r="41">
      <c r="A41" s="22">
        <v>18.0</v>
      </c>
      <c r="B41" s="15" t="s">
        <v>1622</v>
      </c>
      <c r="C41" s="16">
        <v>2024.0</v>
      </c>
      <c r="D41" s="16">
        <v>38.0</v>
      </c>
      <c r="E41" s="16">
        <v>6.0</v>
      </c>
      <c r="F41" s="16">
        <v>8.0</v>
      </c>
      <c r="G41" s="16">
        <v>24.0</v>
      </c>
      <c r="H41" s="16">
        <v>52.0</v>
      </c>
      <c r="I41" s="16">
        <v>85.0</v>
      </c>
      <c r="J41" s="16">
        <v>-33.0</v>
      </c>
      <c r="K41" s="16">
        <v>26.0</v>
      </c>
      <c r="L41" s="16">
        <v>0.68</v>
      </c>
      <c r="M41" s="16">
        <v>42.4</v>
      </c>
      <c r="N41" s="16">
        <v>78.0</v>
      </c>
      <c r="O41" s="16">
        <v>-35.5</v>
      </c>
      <c r="P41" s="16">
        <v>-0.94</v>
      </c>
      <c r="Q41" s="18">
        <v>11240.0</v>
      </c>
      <c r="R41" s="19" t="s">
        <v>1623</v>
      </c>
      <c r="S41" s="19" t="s">
        <v>1624</v>
      </c>
      <c r="T41" s="20" t="s">
        <v>905</v>
      </c>
    </row>
    <row r="42">
      <c r="A42" s="22">
        <v>19.0</v>
      </c>
      <c r="B42" s="15" t="s">
        <v>1625</v>
      </c>
      <c r="C42" s="16">
        <v>2024.0</v>
      </c>
      <c r="D42" s="16">
        <v>38.0</v>
      </c>
      <c r="E42" s="16">
        <v>5.0</v>
      </c>
      <c r="F42" s="16">
        <v>9.0</v>
      </c>
      <c r="G42" s="16">
        <v>24.0</v>
      </c>
      <c r="H42" s="16">
        <v>41.0</v>
      </c>
      <c r="I42" s="16">
        <v>78.0</v>
      </c>
      <c r="J42" s="16">
        <v>-37.0</v>
      </c>
      <c r="K42" s="16">
        <v>24.0</v>
      </c>
      <c r="L42" s="16">
        <v>0.63</v>
      </c>
      <c r="M42" s="16">
        <v>40.6</v>
      </c>
      <c r="N42" s="16">
        <v>70.4</v>
      </c>
      <c r="O42" s="16">
        <v>-29.7</v>
      </c>
      <c r="P42" s="16">
        <v>-0.78</v>
      </c>
      <c r="Q42" s="18">
        <v>21184.0</v>
      </c>
      <c r="R42" s="19" t="s">
        <v>1626</v>
      </c>
      <c r="S42" s="19" t="s">
        <v>1627</v>
      </c>
      <c r="T42" s="20" t="s">
        <v>905</v>
      </c>
    </row>
    <row r="43">
      <c r="A43" s="23">
        <v>20.0</v>
      </c>
      <c r="B43" s="24" t="s">
        <v>1628</v>
      </c>
      <c r="C43" s="16">
        <v>2024.0</v>
      </c>
      <c r="D43" s="25">
        <v>38.0</v>
      </c>
      <c r="E43" s="25">
        <v>3.0</v>
      </c>
      <c r="F43" s="25">
        <v>7.0</v>
      </c>
      <c r="G43" s="25">
        <v>28.0</v>
      </c>
      <c r="H43" s="25">
        <v>35.0</v>
      </c>
      <c r="I43" s="25">
        <v>104.0</v>
      </c>
      <c r="J43" s="25">
        <v>-69.0</v>
      </c>
      <c r="K43" s="25">
        <v>16.0</v>
      </c>
      <c r="L43" s="25">
        <v>0.42</v>
      </c>
      <c r="M43" s="25">
        <v>38.3</v>
      </c>
      <c r="N43" s="25">
        <v>76.6</v>
      </c>
      <c r="O43" s="25">
        <v>-38.3</v>
      </c>
      <c r="P43" s="25">
        <v>-1.01</v>
      </c>
      <c r="Q43" s="26">
        <v>30011.0</v>
      </c>
      <c r="R43" s="27" t="s">
        <v>1629</v>
      </c>
      <c r="S43" s="27" t="s">
        <v>1630</v>
      </c>
      <c r="T43" s="28" t="s">
        <v>905</v>
      </c>
    </row>
    <row r="45">
      <c r="A45" s="12" t="s">
        <v>831</v>
      </c>
      <c r="B45" s="13" t="s">
        <v>832</v>
      </c>
      <c r="C45" s="13" t="s">
        <v>3</v>
      </c>
      <c r="D45" s="13" t="s">
        <v>833</v>
      </c>
      <c r="E45" s="13" t="s">
        <v>834</v>
      </c>
      <c r="F45" s="13" t="s">
        <v>835</v>
      </c>
      <c r="G45" s="13" t="s">
        <v>836</v>
      </c>
      <c r="H45" s="13" t="s">
        <v>837</v>
      </c>
      <c r="I45" s="13" t="s">
        <v>838</v>
      </c>
      <c r="J45" s="13" t="s">
        <v>839</v>
      </c>
      <c r="K45" s="13" t="s">
        <v>840</v>
      </c>
      <c r="L45" s="13" t="s">
        <v>841</v>
      </c>
      <c r="M45" s="13" t="s">
        <v>842</v>
      </c>
      <c r="N45" s="13" t="s">
        <v>843</v>
      </c>
      <c r="O45" s="13" t="s">
        <v>844</v>
      </c>
      <c r="P45" s="13" t="s">
        <v>845</v>
      </c>
      <c r="Q45" s="13" t="s">
        <v>846</v>
      </c>
      <c r="R45" s="13" t="s">
        <v>847</v>
      </c>
      <c r="S45" s="13" t="s">
        <v>848</v>
      </c>
      <c r="T45" s="13" t="s">
        <v>849</v>
      </c>
    </row>
    <row r="46">
      <c r="A46" s="14">
        <v>1.0</v>
      </c>
      <c r="B46" s="15" t="s">
        <v>1631</v>
      </c>
      <c r="C46" s="16">
        <v>2023.0</v>
      </c>
      <c r="D46" s="16">
        <v>38.0</v>
      </c>
      <c r="E46" s="16">
        <v>28.0</v>
      </c>
      <c r="F46" s="16">
        <v>5.0</v>
      </c>
      <c r="G46" s="16">
        <v>5.0</v>
      </c>
      <c r="H46" s="16">
        <v>94.0</v>
      </c>
      <c r="I46" s="16">
        <v>33.0</v>
      </c>
      <c r="J46" s="17">
        <f>+61</f>
        <v>61</v>
      </c>
      <c r="K46" s="16">
        <v>89.0</v>
      </c>
      <c r="L46" s="16">
        <v>2.34</v>
      </c>
      <c r="M46" s="16">
        <v>78.6</v>
      </c>
      <c r="N46" s="16">
        <v>32.1</v>
      </c>
      <c r="O46" s="17">
        <f>+46.5</f>
        <v>46.5</v>
      </c>
      <c r="P46" s="17">
        <f>+1.22</f>
        <v>1.22</v>
      </c>
      <c r="Q46" s="18">
        <v>53249.0</v>
      </c>
      <c r="R46" s="19" t="s">
        <v>1632</v>
      </c>
      <c r="S46" s="19" t="s">
        <v>1633</v>
      </c>
      <c r="T46" s="20" t="s">
        <v>853</v>
      </c>
    </row>
    <row r="47">
      <c r="A47" s="14">
        <v>2.0</v>
      </c>
      <c r="B47" s="15" t="s">
        <v>1634</v>
      </c>
      <c r="C47" s="16">
        <v>2023.0</v>
      </c>
      <c r="D47" s="16">
        <v>38.0</v>
      </c>
      <c r="E47" s="16">
        <v>26.0</v>
      </c>
      <c r="F47" s="16">
        <v>6.0</v>
      </c>
      <c r="G47" s="16">
        <v>6.0</v>
      </c>
      <c r="H47" s="16">
        <v>88.0</v>
      </c>
      <c r="I47" s="16">
        <v>43.0</v>
      </c>
      <c r="J47" s="17">
        <f>+45</f>
        <v>45</v>
      </c>
      <c r="K47" s="16">
        <v>84.0</v>
      </c>
      <c r="L47" s="16">
        <v>2.21</v>
      </c>
      <c r="M47" s="16">
        <v>71.6</v>
      </c>
      <c r="N47" s="16">
        <v>42.0</v>
      </c>
      <c r="O47" s="17">
        <f>+29.6</f>
        <v>29.6</v>
      </c>
      <c r="P47" s="17">
        <f>+0.78</f>
        <v>0.78</v>
      </c>
      <c r="Q47" s="18">
        <v>60191.0</v>
      </c>
      <c r="R47" s="19" t="s">
        <v>1635</v>
      </c>
      <c r="S47" s="19" t="s">
        <v>1636</v>
      </c>
      <c r="T47" s="20" t="s">
        <v>853</v>
      </c>
    </row>
    <row r="48">
      <c r="A48" s="14">
        <v>3.0</v>
      </c>
      <c r="B48" s="15" t="s">
        <v>1637</v>
      </c>
      <c r="C48" s="16">
        <v>2023.0</v>
      </c>
      <c r="D48" s="16">
        <v>38.0</v>
      </c>
      <c r="E48" s="16">
        <v>23.0</v>
      </c>
      <c r="F48" s="16">
        <v>6.0</v>
      </c>
      <c r="G48" s="16">
        <v>9.0</v>
      </c>
      <c r="H48" s="16">
        <v>58.0</v>
      </c>
      <c r="I48" s="16">
        <v>43.0</v>
      </c>
      <c r="J48" s="17">
        <f>+15</f>
        <v>15</v>
      </c>
      <c r="K48" s="16">
        <v>75.0</v>
      </c>
      <c r="L48" s="16">
        <v>1.97</v>
      </c>
      <c r="M48" s="16">
        <v>67.7</v>
      </c>
      <c r="N48" s="16">
        <v>50.4</v>
      </c>
      <c r="O48" s="17">
        <f>+17.3</f>
        <v>17.3</v>
      </c>
      <c r="P48" s="17">
        <f>+0.45</f>
        <v>0.45</v>
      </c>
      <c r="Q48" s="18">
        <v>73671.0</v>
      </c>
      <c r="R48" s="19" t="s">
        <v>1638</v>
      </c>
      <c r="S48" s="19" t="s">
        <v>1639</v>
      </c>
      <c r="T48" s="20" t="s">
        <v>853</v>
      </c>
    </row>
    <row r="49">
      <c r="A49" s="14">
        <v>4.0</v>
      </c>
      <c r="B49" s="15" t="s">
        <v>1640</v>
      </c>
      <c r="C49" s="16">
        <v>2023.0</v>
      </c>
      <c r="D49" s="16">
        <v>38.0</v>
      </c>
      <c r="E49" s="16">
        <v>19.0</v>
      </c>
      <c r="F49" s="16">
        <v>14.0</v>
      </c>
      <c r="G49" s="16">
        <v>5.0</v>
      </c>
      <c r="H49" s="16">
        <v>68.0</v>
      </c>
      <c r="I49" s="16">
        <v>33.0</v>
      </c>
      <c r="J49" s="17">
        <f>+35</f>
        <v>35</v>
      </c>
      <c r="K49" s="16">
        <v>71.0</v>
      </c>
      <c r="L49" s="16">
        <v>1.87</v>
      </c>
      <c r="M49" s="16">
        <v>71.9</v>
      </c>
      <c r="N49" s="16">
        <v>39.5</v>
      </c>
      <c r="O49" s="17">
        <f>+32.3</f>
        <v>32.3</v>
      </c>
      <c r="P49" s="17">
        <f>+0.85</f>
        <v>0.85</v>
      </c>
      <c r="Q49" s="18">
        <v>52127.0</v>
      </c>
      <c r="R49" s="19" t="s">
        <v>1641</v>
      </c>
      <c r="S49" s="19" t="s">
        <v>1642</v>
      </c>
      <c r="T49" s="20" t="s">
        <v>853</v>
      </c>
    </row>
    <row r="50">
      <c r="A50" s="14">
        <v>5.0</v>
      </c>
      <c r="B50" s="15" t="s">
        <v>1643</v>
      </c>
      <c r="C50" s="16">
        <v>2023.0</v>
      </c>
      <c r="D50" s="16">
        <v>38.0</v>
      </c>
      <c r="E50" s="16">
        <v>19.0</v>
      </c>
      <c r="F50" s="16">
        <v>10.0</v>
      </c>
      <c r="G50" s="16">
        <v>9.0</v>
      </c>
      <c r="H50" s="16">
        <v>75.0</v>
      </c>
      <c r="I50" s="16">
        <v>47.0</v>
      </c>
      <c r="J50" s="17">
        <f>+28</f>
        <v>28</v>
      </c>
      <c r="K50" s="16">
        <v>67.0</v>
      </c>
      <c r="L50" s="16">
        <v>1.76</v>
      </c>
      <c r="M50" s="16">
        <v>71.5</v>
      </c>
      <c r="N50" s="16">
        <v>50.8</v>
      </c>
      <c r="O50" s="17">
        <f>+20.7</f>
        <v>20.7</v>
      </c>
      <c r="P50" s="17">
        <f>+0.55</f>
        <v>0.55</v>
      </c>
      <c r="Q50" s="18">
        <v>53163.0</v>
      </c>
      <c r="R50" s="19" t="s">
        <v>1644</v>
      </c>
      <c r="S50" s="19" t="s">
        <v>1645</v>
      </c>
      <c r="T50" s="20" t="s">
        <v>866</v>
      </c>
    </row>
    <row r="51">
      <c r="A51" s="14">
        <v>6.0</v>
      </c>
      <c r="B51" s="15" t="s">
        <v>1646</v>
      </c>
      <c r="C51" s="16">
        <v>2023.0</v>
      </c>
      <c r="D51" s="16">
        <v>38.0</v>
      </c>
      <c r="E51" s="16">
        <v>18.0</v>
      </c>
      <c r="F51" s="16">
        <v>8.0</v>
      </c>
      <c r="G51" s="16">
        <v>12.0</v>
      </c>
      <c r="H51" s="16">
        <v>72.0</v>
      </c>
      <c r="I51" s="16">
        <v>53.0</v>
      </c>
      <c r="J51" s="17">
        <f>+19</f>
        <v>19</v>
      </c>
      <c r="K51" s="16">
        <v>62.0</v>
      </c>
      <c r="L51" s="16">
        <v>1.63</v>
      </c>
      <c r="M51" s="16">
        <v>73.3</v>
      </c>
      <c r="N51" s="16">
        <v>50.2</v>
      </c>
      <c r="O51" s="17">
        <f>+23.1</f>
        <v>23.1</v>
      </c>
      <c r="P51" s="17">
        <f>+0.61</f>
        <v>0.61</v>
      </c>
      <c r="Q51" s="18">
        <v>31477.0</v>
      </c>
      <c r="R51" s="19" t="s">
        <v>1647</v>
      </c>
      <c r="S51" s="19" t="s">
        <v>1648</v>
      </c>
      <c r="T51" s="20" t="s">
        <v>866</v>
      </c>
    </row>
    <row r="52">
      <c r="A52" s="14">
        <v>7.0</v>
      </c>
      <c r="B52" s="15" t="s">
        <v>1649</v>
      </c>
      <c r="C52" s="16">
        <v>2023.0</v>
      </c>
      <c r="D52" s="16">
        <v>38.0</v>
      </c>
      <c r="E52" s="16">
        <v>18.0</v>
      </c>
      <c r="F52" s="16">
        <v>7.0</v>
      </c>
      <c r="G52" s="16">
        <v>13.0</v>
      </c>
      <c r="H52" s="16">
        <v>51.0</v>
      </c>
      <c r="I52" s="16">
        <v>46.0</v>
      </c>
      <c r="J52" s="17">
        <f>+5</f>
        <v>5</v>
      </c>
      <c r="K52" s="16">
        <v>61.0</v>
      </c>
      <c r="L52" s="16">
        <v>1.61</v>
      </c>
      <c r="M52" s="16">
        <v>50.3</v>
      </c>
      <c r="N52" s="16">
        <v>52.5</v>
      </c>
      <c r="O52" s="16">
        <v>-2.2</v>
      </c>
      <c r="P52" s="16">
        <v>-0.06</v>
      </c>
      <c r="Q52" s="18">
        <v>41679.0</v>
      </c>
      <c r="R52" s="19" t="s">
        <v>1650</v>
      </c>
      <c r="S52" s="19" t="s">
        <v>1651</v>
      </c>
      <c r="T52" s="20" t="s">
        <v>873</v>
      </c>
    </row>
    <row r="53">
      <c r="A53" s="14">
        <v>8.0</v>
      </c>
      <c r="B53" s="15" t="s">
        <v>1652</v>
      </c>
      <c r="C53" s="16">
        <v>2023.0</v>
      </c>
      <c r="D53" s="16">
        <v>38.0</v>
      </c>
      <c r="E53" s="16">
        <v>18.0</v>
      </c>
      <c r="F53" s="16">
        <v>6.0</v>
      </c>
      <c r="G53" s="16">
        <v>14.0</v>
      </c>
      <c r="H53" s="16">
        <v>70.0</v>
      </c>
      <c r="I53" s="16">
        <v>63.0</v>
      </c>
      <c r="J53" s="17">
        <f>+7</f>
        <v>7</v>
      </c>
      <c r="K53" s="16">
        <v>60.0</v>
      </c>
      <c r="L53" s="16">
        <v>1.58</v>
      </c>
      <c r="M53" s="16">
        <v>57.0</v>
      </c>
      <c r="N53" s="16">
        <v>49.6</v>
      </c>
      <c r="O53" s="17">
        <f>+7.4</f>
        <v>7.4</v>
      </c>
      <c r="P53" s="17">
        <f t="shared" ref="P53:P54" si="4">+0.2</f>
        <v>0.2</v>
      </c>
      <c r="Q53" s="18">
        <v>61585.0</v>
      </c>
      <c r="R53" s="19" t="s">
        <v>1653</v>
      </c>
      <c r="S53" s="19" t="s">
        <v>1654</v>
      </c>
      <c r="T53" s="21"/>
    </row>
    <row r="54">
      <c r="A54" s="14">
        <v>9.0</v>
      </c>
      <c r="B54" s="15" t="s">
        <v>1655</v>
      </c>
      <c r="C54" s="16">
        <v>2023.0</v>
      </c>
      <c r="D54" s="16">
        <v>38.0</v>
      </c>
      <c r="E54" s="16">
        <v>15.0</v>
      </c>
      <c r="F54" s="16">
        <v>14.0</v>
      </c>
      <c r="G54" s="16">
        <v>9.0</v>
      </c>
      <c r="H54" s="16">
        <v>58.0</v>
      </c>
      <c r="I54" s="16">
        <v>46.0</v>
      </c>
      <c r="J54" s="17">
        <f>+12</f>
        <v>12</v>
      </c>
      <c r="K54" s="16">
        <v>59.0</v>
      </c>
      <c r="L54" s="16">
        <v>1.55</v>
      </c>
      <c r="M54" s="16">
        <v>56.3</v>
      </c>
      <c r="N54" s="16">
        <v>48.8</v>
      </c>
      <c r="O54" s="17">
        <f>+7.5</f>
        <v>7.5</v>
      </c>
      <c r="P54" s="17">
        <f t="shared" si="4"/>
        <v>0.2</v>
      </c>
      <c r="Q54" s="18">
        <v>17078.0</v>
      </c>
      <c r="R54" s="19" t="s">
        <v>1656</v>
      </c>
      <c r="S54" s="19" t="s">
        <v>1657</v>
      </c>
      <c r="T54" s="21"/>
    </row>
    <row r="55">
      <c r="A55" s="14">
        <v>10.0</v>
      </c>
      <c r="B55" s="15" t="s">
        <v>1658</v>
      </c>
      <c r="C55" s="16">
        <v>2023.0</v>
      </c>
      <c r="D55" s="16">
        <v>38.0</v>
      </c>
      <c r="E55" s="16">
        <v>15.0</v>
      </c>
      <c r="F55" s="16">
        <v>7.0</v>
      </c>
      <c r="G55" s="16">
        <v>16.0</v>
      </c>
      <c r="H55" s="16">
        <v>55.0</v>
      </c>
      <c r="I55" s="16">
        <v>53.0</v>
      </c>
      <c r="J55" s="17">
        <f>+2</f>
        <v>2</v>
      </c>
      <c r="K55" s="16">
        <v>52.0</v>
      </c>
      <c r="L55" s="16">
        <v>1.37</v>
      </c>
      <c r="M55" s="16">
        <v>46.2</v>
      </c>
      <c r="N55" s="16">
        <v>63.6</v>
      </c>
      <c r="O55" s="16">
        <v>-17.4</v>
      </c>
      <c r="P55" s="16">
        <v>-0.46</v>
      </c>
      <c r="Q55" s="18">
        <v>23746.0</v>
      </c>
      <c r="R55" s="19" t="s">
        <v>1659</v>
      </c>
      <c r="S55" s="19" t="s">
        <v>1660</v>
      </c>
      <c r="T55" s="21"/>
    </row>
    <row r="56">
      <c r="A56" s="14">
        <v>11.0</v>
      </c>
      <c r="B56" s="15" t="s">
        <v>1661</v>
      </c>
      <c r="C56" s="16">
        <v>2023.0</v>
      </c>
      <c r="D56" s="16">
        <v>38.0</v>
      </c>
      <c r="E56" s="16">
        <v>11.0</v>
      </c>
      <c r="F56" s="16">
        <v>12.0</v>
      </c>
      <c r="G56" s="16">
        <v>15.0</v>
      </c>
      <c r="H56" s="16">
        <v>40.0</v>
      </c>
      <c r="I56" s="16">
        <v>49.0</v>
      </c>
      <c r="J56" s="16">
        <v>-9.0</v>
      </c>
      <c r="K56" s="16">
        <v>45.0</v>
      </c>
      <c r="L56" s="16">
        <v>1.18</v>
      </c>
      <c r="M56" s="16">
        <v>39.3</v>
      </c>
      <c r="N56" s="16">
        <v>48.1</v>
      </c>
      <c r="O56" s="16">
        <v>-8.8</v>
      </c>
      <c r="P56" s="16">
        <v>-0.23</v>
      </c>
      <c r="Q56" s="18">
        <v>24952.0</v>
      </c>
      <c r="R56" s="19" t="s">
        <v>1662</v>
      </c>
      <c r="S56" s="19" t="s">
        <v>1663</v>
      </c>
      <c r="T56" s="21"/>
    </row>
    <row r="57">
      <c r="A57" s="14">
        <v>12.0</v>
      </c>
      <c r="B57" s="15" t="s">
        <v>1664</v>
      </c>
      <c r="C57" s="16">
        <v>2023.0</v>
      </c>
      <c r="D57" s="16">
        <v>38.0</v>
      </c>
      <c r="E57" s="16">
        <v>11.0</v>
      </c>
      <c r="F57" s="16">
        <v>11.0</v>
      </c>
      <c r="G57" s="16">
        <v>16.0</v>
      </c>
      <c r="H57" s="16">
        <v>38.0</v>
      </c>
      <c r="I57" s="16">
        <v>47.0</v>
      </c>
      <c r="J57" s="16">
        <v>-9.0</v>
      </c>
      <c r="K57" s="16">
        <v>44.0</v>
      </c>
      <c r="L57" s="16">
        <v>1.16</v>
      </c>
      <c r="M57" s="16">
        <v>49.5</v>
      </c>
      <c r="N57" s="16">
        <v>52.5</v>
      </c>
      <c r="O57" s="16">
        <v>-3.0</v>
      </c>
      <c r="P57" s="16">
        <v>-0.08</v>
      </c>
      <c r="Q57" s="18">
        <v>40002.0</v>
      </c>
      <c r="R57" s="19" t="s">
        <v>1665</v>
      </c>
      <c r="S57" s="19" t="s">
        <v>1666</v>
      </c>
      <c r="T57" s="21"/>
    </row>
    <row r="58">
      <c r="A58" s="14">
        <v>13.0</v>
      </c>
      <c r="B58" s="15" t="s">
        <v>1667</v>
      </c>
      <c r="C58" s="16">
        <v>2023.0</v>
      </c>
      <c r="D58" s="16">
        <v>38.0</v>
      </c>
      <c r="E58" s="16">
        <v>11.0</v>
      </c>
      <c r="F58" s="16">
        <v>8.0</v>
      </c>
      <c r="G58" s="16">
        <v>19.0</v>
      </c>
      <c r="H58" s="16">
        <v>31.0</v>
      </c>
      <c r="I58" s="16">
        <v>58.0</v>
      </c>
      <c r="J58" s="16">
        <v>-27.0</v>
      </c>
      <c r="K58" s="16">
        <v>41.0</v>
      </c>
      <c r="L58" s="16">
        <v>1.08</v>
      </c>
      <c r="M58" s="16">
        <v>36.8</v>
      </c>
      <c r="N58" s="16">
        <v>59.9</v>
      </c>
      <c r="O58" s="16">
        <v>-23.0</v>
      </c>
      <c r="P58" s="16">
        <v>-0.61</v>
      </c>
      <c r="Q58" s="18">
        <v>31482.0</v>
      </c>
      <c r="R58" s="19" t="s">
        <v>1668</v>
      </c>
      <c r="S58" s="19" t="s">
        <v>1669</v>
      </c>
      <c r="T58" s="21"/>
    </row>
    <row r="59">
      <c r="A59" s="14">
        <v>14.0</v>
      </c>
      <c r="B59" s="15" t="s">
        <v>1670</v>
      </c>
      <c r="C59" s="16">
        <v>2023.0</v>
      </c>
      <c r="D59" s="16">
        <v>38.0</v>
      </c>
      <c r="E59" s="16">
        <v>11.0</v>
      </c>
      <c r="F59" s="16">
        <v>7.0</v>
      </c>
      <c r="G59" s="16">
        <v>20.0</v>
      </c>
      <c r="H59" s="16">
        <v>42.0</v>
      </c>
      <c r="I59" s="16">
        <v>55.0</v>
      </c>
      <c r="J59" s="16">
        <v>-13.0</v>
      </c>
      <c r="K59" s="16">
        <v>40.0</v>
      </c>
      <c r="L59" s="16">
        <v>1.05</v>
      </c>
      <c r="M59" s="16">
        <v>49.2</v>
      </c>
      <c r="N59" s="16">
        <v>53.0</v>
      </c>
      <c r="O59" s="16">
        <v>-3.9</v>
      </c>
      <c r="P59" s="16">
        <v>-0.1</v>
      </c>
      <c r="Q59" s="18">
        <v>62462.0</v>
      </c>
      <c r="R59" s="19" t="s">
        <v>1671</v>
      </c>
      <c r="S59" s="19" t="s">
        <v>1672</v>
      </c>
      <c r="T59" s="21"/>
    </row>
    <row r="60">
      <c r="A60" s="14">
        <v>15.0</v>
      </c>
      <c r="B60" s="15" t="s">
        <v>1673</v>
      </c>
      <c r="C60" s="16">
        <v>2023.0</v>
      </c>
      <c r="D60" s="16">
        <v>38.0</v>
      </c>
      <c r="E60" s="16">
        <v>11.0</v>
      </c>
      <c r="F60" s="16">
        <v>6.0</v>
      </c>
      <c r="G60" s="16">
        <v>21.0</v>
      </c>
      <c r="H60" s="16">
        <v>37.0</v>
      </c>
      <c r="I60" s="16">
        <v>71.0</v>
      </c>
      <c r="J60" s="16">
        <v>-34.0</v>
      </c>
      <c r="K60" s="16">
        <v>39.0</v>
      </c>
      <c r="L60" s="16">
        <v>1.03</v>
      </c>
      <c r="M60" s="16">
        <v>38.5</v>
      </c>
      <c r="N60" s="16">
        <v>63.8</v>
      </c>
      <c r="O60" s="16">
        <v>-25.3</v>
      </c>
      <c r="P60" s="16">
        <v>-0.67</v>
      </c>
      <c r="Q60" s="18">
        <v>10362.0</v>
      </c>
      <c r="R60" s="19" t="s">
        <v>1674</v>
      </c>
      <c r="S60" s="19" t="s">
        <v>1675</v>
      </c>
      <c r="T60" s="21"/>
    </row>
    <row r="61">
      <c r="A61" s="14">
        <v>16.0</v>
      </c>
      <c r="B61" s="15" t="s">
        <v>1676</v>
      </c>
      <c r="C61" s="16">
        <v>2023.0</v>
      </c>
      <c r="D61" s="16">
        <v>38.0</v>
      </c>
      <c r="E61" s="16">
        <v>9.0</v>
      </c>
      <c r="F61" s="16">
        <v>11.0</v>
      </c>
      <c r="G61" s="16">
        <v>18.0</v>
      </c>
      <c r="H61" s="16">
        <v>38.0</v>
      </c>
      <c r="I61" s="16">
        <v>68.0</v>
      </c>
      <c r="J61" s="16">
        <v>-30.0</v>
      </c>
      <c r="K61" s="16">
        <v>38.0</v>
      </c>
      <c r="L61" s="16">
        <v>1.0</v>
      </c>
      <c r="M61" s="16">
        <v>39.3</v>
      </c>
      <c r="N61" s="16">
        <v>64.2</v>
      </c>
      <c r="O61" s="16">
        <v>-24.9</v>
      </c>
      <c r="P61" s="16">
        <v>-0.66</v>
      </c>
      <c r="Q61" s="18">
        <v>29188.0</v>
      </c>
      <c r="R61" s="19" t="s">
        <v>1677</v>
      </c>
      <c r="S61" s="19" t="s">
        <v>1678</v>
      </c>
      <c r="T61" s="21"/>
    </row>
    <row r="62">
      <c r="A62" s="14">
        <v>17.0</v>
      </c>
      <c r="B62" s="15" t="s">
        <v>1679</v>
      </c>
      <c r="C62" s="16">
        <v>2023.0</v>
      </c>
      <c r="D62" s="16">
        <v>38.0</v>
      </c>
      <c r="E62" s="16">
        <v>8.0</v>
      </c>
      <c r="F62" s="16">
        <v>12.0</v>
      </c>
      <c r="G62" s="16">
        <v>18.0</v>
      </c>
      <c r="H62" s="16">
        <v>34.0</v>
      </c>
      <c r="I62" s="16">
        <v>57.0</v>
      </c>
      <c r="J62" s="16">
        <v>-23.0</v>
      </c>
      <c r="K62" s="16">
        <v>36.0</v>
      </c>
      <c r="L62" s="16">
        <v>0.95</v>
      </c>
      <c r="M62" s="16">
        <v>45.2</v>
      </c>
      <c r="N62" s="16">
        <v>65.5</v>
      </c>
      <c r="O62" s="16">
        <v>-20.4</v>
      </c>
      <c r="P62" s="16">
        <v>-0.54</v>
      </c>
      <c r="Q62" s="18">
        <v>39243.0</v>
      </c>
      <c r="R62" s="19" t="s">
        <v>1680</v>
      </c>
      <c r="S62" s="19" t="s">
        <v>1681</v>
      </c>
      <c r="T62" s="21"/>
    </row>
    <row r="63">
      <c r="A63" s="22">
        <v>18.0</v>
      </c>
      <c r="B63" s="15" t="s">
        <v>1682</v>
      </c>
      <c r="C63" s="16">
        <v>2023.0</v>
      </c>
      <c r="D63" s="16">
        <v>38.0</v>
      </c>
      <c r="E63" s="16">
        <v>9.0</v>
      </c>
      <c r="F63" s="16">
        <v>7.0</v>
      </c>
      <c r="G63" s="16">
        <v>22.0</v>
      </c>
      <c r="H63" s="16">
        <v>51.0</v>
      </c>
      <c r="I63" s="16">
        <v>68.0</v>
      </c>
      <c r="J63" s="16">
        <v>-17.0</v>
      </c>
      <c r="K63" s="16">
        <v>34.0</v>
      </c>
      <c r="L63" s="16">
        <v>0.89</v>
      </c>
      <c r="M63" s="16">
        <v>50.5</v>
      </c>
      <c r="N63" s="16">
        <v>63.3</v>
      </c>
      <c r="O63" s="16">
        <v>-12.8</v>
      </c>
      <c r="P63" s="16">
        <v>-0.34</v>
      </c>
      <c r="Q63" s="18">
        <v>31887.0</v>
      </c>
      <c r="R63" s="19" t="s">
        <v>1683</v>
      </c>
      <c r="S63" s="19" t="s">
        <v>1684</v>
      </c>
      <c r="T63" s="20" t="s">
        <v>905</v>
      </c>
    </row>
    <row r="64">
      <c r="A64" s="22">
        <v>19.0</v>
      </c>
      <c r="B64" s="15" t="s">
        <v>1685</v>
      </c>
      <c r="C64" s="16">
        <v>2023.0</v>
      </c>
      <c r="D64" s="16">
        <v>38.0</v>
      </c>
      <c r="E64" s="16">
        <v>7.0</v>
      </c>
      <c r="F64" s="16">
        <v>10.0</v>
      </c>
      <c r="G64" s="16">
        <v>21.0</v>
      </c>
      <c r="H64" s="16">
        <v>48.0</v>
      </c>
      <c r="I64" s="16">
        <v>78.0</v>
      </c>
      <c r="J64" s="16">
        <v>-30.0</v>
      </c>
      <c r="K64" s="16">
        <v>31.0</v>
      </c>
      <c r="L64" s="16">
        <v>0.82</v>
      </c>
      <c r="M64" s="16">
        <v>47.3</v>
      </c>
      <c r="N64" s="16">
        <v>67.1</v>
      </c>
      <c r="O64" s="16">
        <v>-19.8</v>
      </c>
      <c r="P64" s="16">
        <v>-0.52</v>
      </c>
      <c r="Q64" s="18">
        <v>36566.0</v>
      </c>
      <c r="R64" s="19" t="s">
        <v>1686</v>
      </c>
      <c r="S64" s="19" t="s">
        <v>1687</v>
      </c>
      <c r="T64" s="20" t="s">
        <v>905</v>
      </c>
    </row>
    <row r="65">
      <c r="A65" s="23">
        <v>20.0</v>
      </c>
      <c r="B65" s="24" t="s">
        <v>1688</v>
      </c>
      <c r="C65" s="16">
        <v>2023.0</v>
      </c>
      <c r="D65" s="25">
        <v>38.0</v>
      </c>
      <c r="E65" s="25">
        <v>6.0</v>
      </c>
      <c r="F65" s="25">
        <v>7.0</v>
      </c>
      <c r="G65" s="25">
        <v>25.0</v>
      </c>
      <c r="H65" s="25">
        <v>36.0</v>
      </c>
      <c r="I65" s="25">
        <v>73.0</v>
      </c>
      <c r="J65" s="25">
        <v>-37.0</v>
      </c>
      <c r="K65" s="25">
        <v>25.0</v>
      </c>
      <c r="L65" s="25">
        <v>0.66</v>
      </c>
      <c r="M65" s="25">
        <v>37.8</v>
      </c>
      <c r="N65" s="25">
        <v>60.8</v>
      </c>
      <c r="O65" s="25">
        <v>-23.0</v>
      </c>
      <c r="P65" s="25">
        <v>-0.61</v>
      </c>
      <c r="Q65" s="26">
        <v>30440.0</v>
      </c>
      <c r="R65" s="27" t="s">
        <v>1689</v>
      </c>
      <c r="S65" s="27" t="s">
        <v>1690</v>
      </c>
      <c r="T65" s="28" t="s">
        <v>905</v>
      </c>
    </row>
    <row r="67">
      <c r="A67" s="12" t="s">
        <v>831</v>
      </c>
      <c r="B67" s="13" t="s">
        <v>832</v>
      </c>
      <c r="C67" s="13" t="s">
        <v>3</v>
      </c>
      <c r="D67" s="13" t="s">
        <v>833</v>
      </c>
      <c r="E67" s="13" t="s">
        <v>834</v>
      </c>
      <c r="F67" s="13" t="s">
        <v>835</v>
      </c>
      <c r="G67" s="13" t="s">
        <v>836</v>
      </c>
      <c r="H67" s="13" t="s">
        <v>837</v>
      </c>
      <c r="I67" s="13" t="s">
        <v>838</v>
      </c>
      <c r="J67" s="13" t="s">
        <v>839</v>
      </c>
      <c r="K67" s="13" t="s">
        <v>840</v>
      </c>
      <c r="L67" s="13" t="s">
        <v>841</v>
      </c>
      <c r="M67" s="13" t="s">
        <v>842</v>
      </c>
      <c r="N67" s="13" t="s">
        <v>843</v>
      </c>
      <c r="O67" s="13" t="s">
        <v>844</v>
      </c>
      <c r="P67" s="13" t="s">
        <v>845</v>
      </c>
      <c r="Q67" s="13" t="s">
        <v>846</v>
      </c>
      <c r="R67" s="13" t="s">
        <v>847</v>
      </c>
      <c r="S67" s="13" t="s">
        <v>848</v>
      </c>
      <c r="T67" s="13" t="s">
        <v>849</v>
      </c>
    </row>
    <row r="68">
      <c r="A68" s="14">
        <v>1.0</v>
      </c>
      <c r="B68" s="15" t="s">
        <v>1691</v>
      </c>
      <c r="C68" s="16">
        <v>2022.0</v>
      </c>
      <c r="D68" s="16">
        <v>38.0</v>
      </c>
      <c r="E68" s="16">
        <v>29.0</v>
      </c>
      <c r="F68" s="16">
        <v>6.0</v>
      </c>
      <c r="G68" s="16">
        <v>3.0</v>
      </c>
      <c r="H68" s="16">
        <v>99.0</v>
      </c>
      <c r="I68" s="16">
        <v>26.0</v>
      </c>
      <c r="J68" s="17">
        <f>+73</f>
        <v>73</v>
      </c>
      <c r="K68" s="16">
        <v>93.0</v>
      </c>
      <c r="L68" s="16">
        <v>2.45</v>
      </c>
      <c r="M68" s="16">
        <v>88.7</v>
      </c>
      <c r="N68" s="16">
        <v>24.6</v>
      </c>
      <c r="O68" s="17">
        <f>+64</f>
        <v>64</v>
      </c>
      <c r="P68" s="17">
        <f>+1.68</f>
        <v>1.68</v>
      </c>
      <c r="Q68" s="18">
        <v>52774.0</v>
      </c>
      <c r="R68" s="19" t="s">
        <v>1692</v>
      </c>
      <c r="S68" s="19" t="s">
        <v>1693</v>
      </c>
      <c r="T68" s="20" t="s">
        <v>853</v>
      </c>
    </row>
    <row r="69">
      <c r="A69" s="14">
        <v>2.0</v>
      </c>
      <c r="B69" s="15" t="s">
        <v>1694</v>
      </c>
      <c r="C69" s="16">
        <v>2022.0</v>
      </c>
      <c r="D69" s="16">
        <v>38.0</v>
      </c>
      <c r="E69" s="16">
        <v>28.0</v>
      </c>
      <c r="F69" s="16">
        <v>8.0</v>
      </c>
      <c r="G69" s="16">
        <v>2.0</v>
      </c>
      <c r="H69" s="16">
        <v>94.0</v>
      </c>
      <c r="I69" s="16">
        <v>26.0</v>
      </c>
      <c r="J69" s="17">
        <f>+68</f>
        <v>68</v>
      </c>
      <c r="K69" s="16">
        <v>92.0</v>
      </c>
      <c r="L69" s="16">
        <v>2.42</v>
      </c>
      <c r="M69" s="16">
        <v>88.7</v>
      </c>
      <c r="N69" s="16">
        <v>33.8</v>
      </c>
      <c r="O69" s="17">
        <f>+54.9</f>
        <v>54.9</v>
      </c>
      <c r="P69" s="17">
        <f>+1.45</f>
        <v>1.45</v>
      </c>
      <c r="Q69" s="18">
        <v>53352.0</v>
      </c>
      <c r="R69" s="19" t="s">
        <v>1695</v>
      </c>
      <c r="S69" s="19" t="s">
        <v>1696</v>
      </c>
      <c r="T69" s="20" t="s">
        <v>853</v>
      </c>
    </row>
    <row r="70">
      <c r="A70" s="14">
        <v>3.0</v>
      </c>
      <c r="B70" s="15" t="s">
        <v>1697</v>
      </c>
      <c r="C70" s="16">
        <v>2022.0</v>
      </c>
      <c r="D70" s="16">
        <v>38.0</v>
      </c>
      <c r="E70" s="16">
        <v>21.0</v>
      </c>
      <c r="F70" s="16">
        <v>11.0</v>
      </c>
      <c r="G70" s="16">
        <v>6.0</v>
      </c>
      <c r="H70" s="16">
        <v>76.0</v>
      </c>
      <c r="I70" s="16">
        <v>33.0</v>
      </c>
      <c r="J70" s="17">
        <f>+43</f>
        <v>43</v>
      </c>
      <c r="K70" s="16">
        <v>74.0</v>
      </c>
      <c r="L70" s="16">
        <v>1.95</v>
      </c>
      <c r="M70" s="16">
        <v>63.4</v>
      </c>
      <c r="N70" s="16">
        <v>33.2</v>
      </c>
      <c r="O70" s="17">
        <f>+30.1</f>
        <v>30.1</v>
      </c>
      <c r="P70" s="17">
        <f>+0.79</f>
        <v>0.79</v>
      </c>
      <c r="Q70" s="18">
        <v>36443.0</v>
      </c>
      <c r="R70" s="19" t="s">
        <v>1698</v>
      </c>
      <c r="S70" s="19" t="s">
        <v>1699</v>
      </c>
      <c r="T70" s="20" t="s">
        <v>853</v>
      </c>
    </row>
    <row r="71">
      <c r="A71" s="14">
        <v>4.0</v>
      </c>
      <c r="B71" s="15" t="s">
        <v>1700</v>
      </c>
      <c r="C71" s="16">
        <v>2022.0</v>
      </c>
      <c r="D71" s="16">
        <v>38.0</v>
      </c>
      <c r="E71" s="16">
        <v>22.0</v>
      </c>
      <c r="F71" s="16">
        <v>5.0</v>
      </c>
      <c r="G71" s="16">
        <v>11.0</v>
      </c>
      <c r="H71" s="16">
        <v>69.0</v>
      </c>
      <c r="I71" s="16">
        <v>40.0</v>
      </c>
      <c r="J71" s="17">
        <f>+29</f>
        <v>29</v>
      </c>
      <c r="K71" s="16">
        <v>71.0</v>
      </c>
      <c r="L71" s="16">
        <v>1.87</v>
      </c>
      <c r="M71" s="16">
        <v>61.2</v>
      </c>
      <c r="N71" s="16">
        <v>39.3</v>
      </c>
      <c r="O71" s="17">
        <f>+21.9</f>
        <v>21.9</v>
      </c>
      <c r="P71" s="17">
        <f>+0.58</f>
        <v>0.58</v>
      </c>
      <c r="Q71" s="18">
        <v>56523.0</v>
      </c>
      <c r="R71" s="19" t="s">
        <v>1701</v>
      </c>
      <c r="S71" s="19" t="s">
        <v>1702</v>
      </c>
      <c r="T71" s="20" t="s">
        <v>853</v>
      </c>
    </row>
    <row r="72">
      <c r="A72" s="14">
        <v>5.0</v>
      </c>
      <c r="B72" s="15" t="s">
        <v>1703</v>
      </c>
      <c r="C72" s="16">
        <v>2022.0</v>
      </c>
      <c r="D72" s="16">
        <v>38.0</v>
      </c>
      <c r="E72" s="16">
        <v>22.0</v>
      </c>
      <c r="F72" s="16">
        <v>3.0</v>
      </c>
      <c r="G72" s="16">
        <v>13.0</v>
      </c>
      <c r="H72" s="16">
        <v>61.0</v>
      </c>
      <c r="I72" s="16">
        <v>48.0</v>
      </c>
      <c r="J72" s="17">
        <f>+13</f>
        <v>13</v>
      </c>
      <c r="K72" s="16">
        <v>69.0</v>
      </c>
      <c r="L72" s="16">
        <v>1.82</v>
      </c>
      <c r="M72" s="16">
        <v>60.5</v>
      </c>
      <c r="N72" s="16">
        <v>45.7</v>
      </c>
      <c r="O72" s="17">
        <f>+14.9</f>
        <v>14.9</v>
      </c>
      <c r="P72" s="17">
        <f>+0.39</f>
        <v>0.39</v>
      </c>
      <c r="Q72" s="18">
        <v>59665.0</v>
      </c>
      <c r="R72" s="19" t="s">
        <v>1704</v>
      </c>
      <c r="S72" s="19" t="s">
        <v>1705</v>
      </c>
      <c r="T72" s="20" t="s">
        <v>866</v>
      </c>
    </row>
    <row r="73">
      <c r="A73" s="14">
        <v>6.0</v>
      </c>
      <c r="B73" s="15" t="s">
        <v>1706</v>
      </c>
      <c r="C73" s="16">
        <v>2022.0</v>
      </c>
      <c r="D73" s="16">
        <v>38.0</v>
      </c>
      <c r="E73" s="16">
        <v>16.0</v>
      </c>
      <c r="F73" s="16">
        <v>10.0</v>
      </c>
      <c r="G73" s="16">
        <v>12.0</v>
      </c>
      <c r="H73" s="16">
        <v>57.0</v>
      </c>
      <c r="I73" s="16">
        <v>57.0</v>
      </c>
      <c r="J73" s="16">
        <v>0.0</v>
      </c>
      <c r="K73" s="16">
        <v>58.0</v>
      </c>
      <c r="L73" s="16">
        <v>1.53</v>
      </c>
      <c r="M73" s="16">
        <v>55.8</v>
      </c>
      <c r="N73" s="16">
        <v>53.0</v>
      </c>
      <c r="O73" s="17">
        <f>+2.8</f>
        <v>2.8</v>
      </c>
      <c r="P73" s="17">
        <f>+0.07</f>
        <v>0.07</v>
      </c>
      <c r="Q73" s="18">
        <v>73150.0</v>
      </c>
      <c r="R73" s="19" t="s">
        <v>1707</v>
      </c>
      <c r="S73" s="19" t="s">
        <v>1708</v>
      </c>
      <c r="T73" s="20" t="s">
        <v>866</v>
      </c>
    </row>
    <row r="74">
      <c r="A74" s="14">
        <v>7.0</v>
      </c>
      <c r="B74" s="15" t="s">
        <v>1709</v>
      </c>
      <c r="C74" s="16">
        <v>2022.0</v>
      </c>
      <c r="D74" s="16">
        <v>38.0</v>
      </c>
      <c r="E74" s="16">
        <v>16.0</v>
      </c>
      <c r="F74" s="16">
        <v>8.0</v>
      </c>
      <c r="G74" s="16">
        <v>14.0</v>
      </c>
      <c r="H74" s="16">
        <v>60.0</v>
      </c>
      <c r="I74" s="16">
        <v>51.0</v>
      </c>
      <c r="J74" s="17">
        <f>+9</f>
        <v>9</v>
      </c>
      <c r="K74" s="16">
        <v>56.0</v>
      </c>
      <c r="L74" s="16">
        <v>1.47</v>
      </c>
      <c r="M74" s="16">
        <v>51.4</v>
      </c>
      <c r="N74" s="16">
        <v>53.5</v>
      </c>
      <c r="O74" s="16">
        <v>-2.1</v>
      </c>
      <c r="P74" s="16">
        <v>-0.06</v>
      </c>
      <c r="Q74" s="18">
        <v>58370.0</v>
      </c>
      <c r="R74" s="19" t="s">
        <v>1710</v>
      </c>
      <c r="S74" s="19" t="s">
        <v>1711</v>
      </c>
      <c r="T74" s="20" t="s">
        <v>1161</v>
      </c>
    </row>
    <row r="75">
      <c r="A75" s="14">
        <v>8.0</v>
      </c>
      <c r="B75" s="15" t="s">
        <v>1712</v>
      </c>
      <c r="C75" s="16">
        <v>2022.0</v>
      </c>
      <c r="D75" s="16">
        <v>38.0</v>
      </c>
      <c r="E75" s="16">
        <v>14.0</v>
      </c>
      <c r="F75" s="16">
        <v>10.0</v>
      </c>
      <c r="G75" s="16">
        <v>14.0</v>
      </c>
      <c r="H75" s="16">
        <v>62.0</v>
      </c>
      <c r="I75" s="16">
        <v>59.0</v>
      </c>
      <c r="J75" s="17">
        <f>+3</f>
        <v>3</v>
      </c>
      <c r="K75" s="16">
        <v>52.0</v>
      </c>
      <c r="L75" s="16">
        <v>1.37</v>
      </c>
      <c r="M75" s="16">
        <v>47.8</v>
      </c>
      <c r="N75" s="16">
        <v>59.3</v>
      </c>
      <c r="O75" s="16">
        <v>-11.5</v>
      </c>
      <c r="P75" s="16">
        <v>-0.3</v>
      </c>
      <c r="Q75" s="18">
        <v>32493.0</v>
      </c>
      <c r="R75" s="19" t="s">
        <v>1713</v>
      </c>
      <c r="S75" s="19" t="s">
        <v>1714</v>
      </c>
      <c r="T75" s="21"/>
    </row>
    <row r="76">
      <c r="A76" s="14">
        <v>9.0</v>
      </c>
      <c r="B76" s="15" t="s">
        <v>1715</v>
      </c>
      <c r="C76" s="16">
        <v>2022.0</v>
      </c>
      <c r="D76" s="16">
        <v>38.0</v>
      </c>
      <c r="E76" s="16">
        <v>12.0</v>
      </c>
      <c r="F76" s="16">
        <v>15.0</v>
      </c>
      <c r="G76" s="16">
        <v>11.0</v>
      </c>
      <c r="H76" s="16">
        <v>42.0</v>
      </c>
      <c r="I76" s="16">
        <v>44.0</v>
      </c>
      <c r="J76" s="16">
        <v>-2.0</v>
      </c>
      <c r="K76" s="16">
        <v>51.0</v>
      </c>
      <c r="L76" s="16">
        <v>1.34</v>
      </c>
      <c r="M76" s="16">
        <v>46.2</v>
      </c>
      <c r="N76" s="16">
        <v>42.9</v>
      </c>
      <c r="O76" s="17">
        <f>+3.3</f>
        <v>3.3</v>
      </c>
      <c r="P76" s="17">
        <f>+0.09</f>
        <v>0.09</v>
      </c>
      <c r="Q76" s="18">
        <v>30966.0</v>
      </c>
      <c r="R76" s="19" t="s">
        <v>1716</v>
      </c>
      <c r="S76" s="19" t="s">
        <v>1717</v>
      </c>
      <c r="T76" s="21"/>
    </row>
    <row r="77">
      <c r="A77" s="14">
        <v>10.0</v>
      </c>
      <c r="B77" s="15" t="s">
        <v>1718</v>
      </c>
      <c r="C77" s="16">
        <v>2022.0</v>
      </c>
      <c r="D77" s="16">
        <v>38.0</v>
      </c>
      <c r="E77" s="16">
        <v>15.0</v>
      </c>
      <c r="F77" s="16">
        <v>6.0</v>
      </c>
      <c r="G77" s="16">
        <v>17.0</v>
      </c>
      <c r="H77" s="16">
        <v>38.0</v>
      </c>
      <c r="I77" s="16">
        <v>43.0</v>
      </c>
      <c r="J77" s="16">
        <v>-5.0</v>
      </c>
      <c r="K77" s="16">
        <v>51.0</v>
      </c>
      <c r="L77" s="16">
        <v>1.34</v>
      </c>
      <c r="M77" s="16">
        <v>37.5</v>
      </c>
      <c r="N77" s="16">
        <v>56.9</v>
      </c>
      <c r="O77" s="16">
        <v>-19.4</v>
      </c>
      <c r="P77" s="16">
        <v>-0.51</v>
      </c>
      <c r="Q77" s="18">
        <v>30841.0</v>
      </c>
      <c r="R77" s="19" t="s">
        <v>1719</v>
      </c>
      <c r="S77" s="19" t="s">
        <v>1720</v>
      </c>
      <c r="T77" s="21"/>
    </row>
    <row r="78">
      <c r="A78" s="14">
        <v>11.0</v>
      </c>
      <c r="B78" s="15" t="s">
        <v>1721</v>
      </c>
      <c r="C78" s="16">
        <v>2022.0</v>
      </c>
      <c r="D78" s="16">
        <v>38.0</v>
      </c>
      <c r="E78" s="16">
        <v>13.0</v>
      </c>
      <c r="F78" s="16">
        <v>10.0</v>
      </c>
      <c r="G78" s="16">
        <v>15.0</v>
      </c>
      <c r="H78" s="16">
        <v>44.0</v>
      </c>
      <c r="I78" s="16">
        <v>62.0</v>
      </c>
      <c r="J78" s="16">
        <v>-18.0</v>
      </c>
      <c r="K78" s="16">
        <v>49.0</v>
      </c>
      <c r="L78" s="16">
        <v>1.29</v>
      </c>
      <c r="M78" s="16">
        <v>38.1</v>
      </c>
      <c r="N78" s="16">
        <v>57.1</v>
      </c>
      <c r="O78" s="16">
        <v>-19.0</v>
      </c>
      <c r="P78" s="16">
        <v>-0.5</v>
      </c>
      <c r="Q78" s="18">
        <v>51487.0</v>
      </c>
      <c r="R78" s="19" t="s">
        <v>1722</v>
      </c>
      <c r="S78" s="19" t="s">
        <v>1723</v>
      </c>
      <c r="T78" s="21"/>
    </row>
    <row r="79">
      <c r="A79" s="14">
        <v>12.0</v>
      </c>
      <c r="B79" s="15" t="s">
        <v>1724</v>
      </c>
      <c r="C79" s="16">
        <v>2022.0</v>
      </c>
      <c r="D79" s="16">
        <v>38.0</v>
      </c>
      <c r="E79" s="16">
        <v>11.0</v>
      </c>
      <c r="F79" s="16">
        <v>15.0</v>
      </c>
      <c r="G79" s="16">
        <v>12.0</v>
      </c>
      <c r="H79" s="16">
        <v>50.0</v>
      </c>
      <c r="I79" s="16">
        <v>46.0</v>
      </c>
      <c r="J79" s="17">
        <f>+4</f>
        <v>4</v>
      </c>
      <c r="K79" s="16">
        <v>48.0</v>
      </c>
      <c r="L79" s="16">
        <v>1.26</v>
      </c>
      <c r="M79" s="16">
        <v>46.4</v>
      </c>
      <c r="N79" s="16">
        <v>40.7</v>
      </c>
      <c r="O79" s="17">
        <f>+5.7</f>
        <v>5.7</v>
      </c>
      <c r="P79" s="17">
        <f>+0.15</f>
        <v>0.15</v>
      </c>
      <c r="Q79" s="18">
        <v>24588.0</v>
      </c>
      <c r="R79" s="19" t="s">
        <v>1725</v>
      </c>
      <c r="S79" s="19" t="s">
        <v>1726</v>
      </c>
      <c r="T79" s="21"/>
    </row>
    <row r="80">
      <c r="A80" s="14">
        <v>13.0</v>
      </c>
      <c r="B80" s="15" t="s">
        <v>1727</v>
      </c>
      <c r="C80" s="16">
        <v>2022.0</v>
      </c>
      <c r="D80" s="16">
        <v>38.0</v>
      </c>
      <c r="E80" s="16">
        <v>13.0</v>
      </c>
      <c r="F80" s="16">
        <v>7.0</v>
      </c>
      <c r="G80" s="16">
        <v>18.0</v>
      </c>
      <c r="H80" s="16">
        <v>48.0</v>
      </c>
      <c r="I80" s="16">
        <v>56.0</v>
      </c>
      <c r="J80" s="16">
        <v>-8.0</v>
      </c>
      <c r="K80" s="16">
        <v>46.0</v>
      </c>
      <c r="L80" s="16">
        <v>1.21</v>
      </c>
      <c r="M80" s="16">
        <v>45.8</v>
      </c>
      <c r="N80" s="16">
        <v>48.5</v>
      </c>
      <c r="O80" s="16">
        <v>-2.7</v>
      </c>
      <c r="P80" s="16">
        <v>-0.07</v>
      </c>
      <c r="Q80" s="18">
        <v>16918.0</v>
      </c>
      <c r="R80" s="19" t="s">
        <v>1728</v>
      </c>
      <c r="S80" s="19" t="s">
        <v>1729</v>
      </c>
      <c r="T80" s="21"/>
    </row>
    <row r="81">
      <c r="A81" s="14">
        <v>14.0</v>
      </c>
      <c r="B81" s="15" t="s">
        <v>1730</v>
      </c>
      <c r="C81" s="16">
        <v>2022.0</v>
      </c>
      <c r="D81" s="16">
        <v>38.0</v>
      </c>
      <c r="E81" s="16">
        <v>13.0</v>
      </c>
      <c r="F81" s="16">
        <v>6.0</v>
      </c>
      <c r="G81" s="16">
        <v>19.0</v>
      </c>
      <c r="H81" s="16">
        <v>52.0</v>
      </c>
      <c r="I81" s="16">
        <v>54.0</v>
      </c>
      <c r="J81" s="16">
        <v>-2.0</v>
      </c>
      <c r="K81" s="16">
        <v>45.0</v>
      </c>
      <c r="L81" s="16">
        <v>1.18</v>
      </c>
      <c r="M81" s="16">
        <v>44.0</v>
      </c>
      <c r="N81" s="16">
        <v>49.0</v>
      </c>
      <c r="O81" s="16">
        <v>-4.9</v>
      </c>
      <c r="P81" s="16">
        <v>-0.13</v>
      </c>
      <c r="Q81" s="18">
        <v>41681.0</v>
      </c>
      <c r="R81" s="19" t="s">
        <v>1731</v>
      </c>
      <c r="S81" s="19" t="s">
        <v>1732</v>
      </c>
      <c r="T81" s="21"/>
    </row>
    <row r="82">
      <c r="A82" s="14">
        <v>15.0</v>
      </c>
      <c r="B82" s="15" t="s">
        <v>1733</v>
      </c>
      <c r="C82" s="16">
        <v>2022.0</v>
      </c>
      <c r="D82" s="16">
        <v>38.0</v>
      </c>
      <c r="E82" s="16">
        <v>9.0</v>
      </c>
      <c r="F82" s="16">
        <v>13.0</v>
      </c>
      <c r="G82" s="16">
        <v>16.0</v>
      </c>
      <c r="H82" s="16">
        <v>43.0</v>
      </c>
      <c r="I82" s="16">
        <v>67.0</v>
      </c>
      <c r="J82" s="16">
        <v>-24.0</v>
      </c>
      <c r="K82" s="16">
        <v>40.0</v>
      </c>
      <c r="L82" s="16">
        <v>1.05</v>
      </c>
      <c r="M82" s="16">
        <v>44.8</v>
      </c>
      <c r="N82" s="16">
        <v>60.0</v>
      </c>
      <c r="O82" s="16">
        <v>-15.2</v>
      </c>
      <c r="P82" s="16">
        <v>-0.4</v>
      </c>
      <c r="Q82" s="18">
        <v>30134.0</v>
      </c>
      <c r="R82" s="19" t="s">
        <v>1734</v>
      </c>
      <c r="S82" s="19" t="s">
        <v>1735</v>
      </c>
      <c r="T82" s="21"/>
    </row>
    <row r="83">
      <c r="A83" s="14">
        <v>16.0</v>
      </c>
      <c r="B83" s="15" t="s">
        <v>1736</v>
      </c>
      <c r="C83" s="16">
        <v>2022.0</v>
      </c>
      <c r="D83" s="16">
        <v>38.0</v>
      </c>
      <c r="E83" s="16">
        <v>11.0</v>
      </c>
      <c r="F83" s="16">
        <v>6.0</v>
      </c>
      <c r="G83" s="16">
        <v>21.0</v>
      </c>
      <c r="H83" s="16">
        <v>43.0</v>
      </c>
      <c r="I83" s="16">
        <v>66.0</v>
      </c>
      <c r="J83" s="16">
        <v>-23.0</v>
      </c>
      <c r="K83" s="16">
        <v>39.0</v>
      </c>
      <c r="L83" s="16">
        <v>1.03</v>
      </c>
      <c r="M83" s="16">
        <v>41.2</v>
      </c>
      <c r="N83" s="16">
        <v>55.4</v>
      </c>
      <c r="O83" s="16">
        <v>-14.2</v>
      </c>
      <c r="P83" s="16">
        <v>-0.37</v>
      </c>
      <c r="Q83" s="18">
        <v>38446.0</v>
      </c>
      <c r="R83" s="19" t="s">
        <v>1737</v>
      </c>
      <c r="S83" s="19" t="s">
        <v>1738</v>
      </c>
      <c r="T83" s="21"/>
    </row>
    <row r="84">
      <c r="A84" s="14">
        <v>17.0</v>
      </c>
      <c r="B84" s="15" t="s">
        <v>1739</v>
      </c>
      <c r="C84" s="16">
        <v>2022.0</v>
      </c>
      <c r="D84" s="16">
        <v>38.0</v>
      </c>
      <c r="E84" s="16">
        <v>9.0</v>
      </c>
      <c r="F84" s="16">
        <v>11.0</v>
      </c>
      <c r="G84" s="16">
        <v>18.0</v>
      </c>
      <c r="H84" s="16">
        <v>42.0</v>
      </c>
      <c r="I84" s="16">
        <v>79.0</v>
      </c>
      <c r="J84" s="16">
        <v>-37.0</v>
      </c>
      <c r="K84" s="16">
        <v>38.0</v>
      </c>
      <c r="L84" s="16">
        <v>1.0</v>
      </c>
      <c r="M84" s="16">
        <v>44.4</v>
      </c>
      <c r="N84" s="16">
        <v>67.8</v>
      </c>
      <c r="O84" s="16">
        <v>-23.5</v>
      </c>
      <c r="P84" s="16">
        <v>-0.62</v>
      </c>
      <c r="Q84" s="18">
        <v>36308.0</v>
      </c>
      <c r="R84" s="19" t="s">
        <v>1740</v>
      </c>
      <c r="S84" s="19" t="s">
        <v>1741</v>
      </c>
      <c r="T84" s="21"/>
    </row>
    <row r="85">
      <c r="A85" s="22">
        <v>18.0</v>
      </c>
      <c r="B85" s="15" t="s">
        <v>1742</v>
      </c>
      <c r="C85" s="16">
        <v>2022.0</v>
      </c>
      <c r="D85" s="16">
        <v>38.0</v>
      </c>
      <c r="E85" s="16">
        <v>7.0</v>
      </c>
      <c r="F85" s="16">
        <v>14.0</v>
      </c>
      <c r="G85" s="16">
        <v>17.0</v>
      </c>
      <c r="H85" s="16">
        <v>34.0</v>
      </c>
      <c r="I85" s="16">
        <v>53.0</v>
      </c>
      <c r="J85" s="16">
        <v>-19.0</v>
      </c>
      <c r="K85" s="16">
        <v>35.0</v>
      </c>
      <c r="L85" s="16">
        <v>0.92</v>
      </c>
      <c r="M85" s="16">
        <v>39.7</v>
      </c>
      <c r="N85" s="16">
        <v>57.1</v>
      </c>
      <c r="O85" s="16">
        <v>-17.4</v>
      </c>
      <c r="P85" s="16">
        <v>-0.46</v>
      </c>
      <c r="Q85" s="18">
        <v>19278.0</v>
      </c>
      <c r="R85" s="19" t="s">
        <v>1743</v>
      </c>
      <c r="S85" s="19" t="s">
        <v>1744</v>
      </c>
      <c r="T85" s="20" t="s">
        <v>905</v>
      </c>
    </row>
    <row r="86">
      <c r="A86" s="22">
        <v>19.0</v>
      </c>
      <c r="B86" s="15" t="s">
        <v>1745</v>
      </c>
      <c r="C86" s="16">
        <v>2022.0</v>
      </c>
      <c r="D86" s="16">
        <v>38.0</v>
      </c>
      <c r="E86" s="16">
        <v>6.0</v>
      </c>
      <c r="F86" s="16">
        <v>5.0</v>
      </c>
      <c r="G86" s="16">
        <v>27.0</v>
      </c>
      <c r="H86" s="16">
        <v>34.0</v>
      </c>
      <c r="I86" s="16">
        <v>77.0</v>
      </c>
      <c r="J86" s="16">
        <v>-43.0</v>
      </c>
      <c r="K86" s="16">
        <v>23.0</v>
      </c>
      <c r="L86" s="16">
        <v>0.61</v>
      </c>
      <c r="M86" s="16">
        <v>40.0</v>
      </c>
      <c r="N86" s="16">
        <v>64.5</v>
      </c>
      <c r="O86" s="16">
        <v>-24.5</v>
      </c>
      <c r="P86" s="16">
        <v>-0.64</v>
      </c>
      <c r="Q86" s="18">
        <v>20614.0</v>
      </c>
      <c r="R86" s="19" t="s">
        <v>1746</v>
      </c>
      <c r="S86" s="19" t="s">
        <v>1747</v>
      </c>
      <c r="T86" s="20" t="s">
        <v>905</v>
      </c>
    </row>
    <row r="87">
      <c r="A87" s="23">
        <v>20.0</v>
      </c>
      <c r="B87" s="24" t="s">
        <v>1748</v>
      </c>
      <c r="C87" s="16">
        <v>2022.0</v>
      </c>
      <c r="D87" s="25">
        <v>38.0</v>
      </c>
      <c r="E87" s="25">
        <v>5.0</v>
      </c>
      <c r="F87" s="25">
        <v>7.0</v>
      </c>
      <c r="G87" s="25">
        <v>26.0</v>
      </c>
      <c r="H87" s="25">
        <v>23.0</v>
      </c>
      <c r="I87" s="25">
        <v>84.0</v>
      </c>
      <c r="J87" s="25">
        <v>-61.0</v>
      </c>
      <c r="K87" s="25">
        <v>22.0</v>
      </c>
      <c r="L87" s="25">
        <v>0.58</v>
      </c>
      <c r="M87" s="25">
        <v>32.3</v>
      </c>
      <c r="N87" s="25">
        <v>75.5</v>
      </c>
      <c r="O87" s="25">
        <v>-43.2</v>
      </c>
      <c r="P87" s="25">
        <v>-1.14</v>
      </c>
      <c r="Q87" s="26">
        <v>26836.0</v>
      </c>
      <c r="R87" s="27" t="s">
        <v>1749</v>
      </c>
      <c r="S87" s="27" t="s">
        <v>1750</v>
      </c>
      <c r="T87" s="28" t="s">
        <v>905</v>
      </c>
    </row>
    <row r="89">
      <c r="A89" s="12" t="s">
        <v>831</v>
      </c>
      <c r="B89" s="13" t="s">
        <v>832</v>
      </c>
      <c r="C89" s="13" t="s">
        <v>3</v>
      </c>
      <c r="D89" s="13" t="s">
        <v>833</v>
      </c>
      <c r="E89" s="13" t="s">
        <v>834</v>
      </c>
      <c r="F89" s="13" t="s">
        <v>835</v>
      </c>
      <c r="G89" s="13" t="s">
        <v>836</v>
      </c>
      <c r="H89" s="13" t="s">
        <v>837</v>
      </c>
      <c r="I89" s="13" t="s">
        <v>838</v>
      </c>
      <c r="J89" s="13" t="s">
        <v>839</v>
      </c>
      <c r="K89" s="13" t="s">
        <v>840</v>
      </c>
      <c r="L89" s="13" t="s">
        <v>841</v>
      </c>
      <c r="M89" s="13" t="s">
        <v>842</v>
      </c>
      <c r="N89" s="13" t="s">
        <v>843</v>
      </c>
      <c r="O89" s="13" t="s">
        <v>844</v>
      </c>
      <c r="P89" s="13" t="s">
        <v>845</v>
      </c>
      <c r="Q89" s="13" t="s">
        <v>846</v>
      </c>
      <c r="R89" s="13" t="s">
        <v>847</v>
      </c>
      <c r="S89" s="13" t="s">
        <v>848</v>
      </c>
      <c r="T89" s="13" t="s">
        <v>849</v>
      </c>
    </row>
    <row r="90">
      <c r="A90" s="14">
        <v>1.0</v>
      </c>
      <c r="B90" s="15" t="s">
        <v>1751</v>
      </c>
      <c r="C90" s="16">
        <v>2021.0</v>
      </c>
      <c r="D90" s="16">
        <v>38.0</v>
      </c>
      <c r="E90" s="16">
        <v>27.0</v>
      </c>
      <c r="F90" s="16">
        <v>5.0</v>
      </c>
      <c r="G90" s="16">
        <v>6.0</v>
      </c>
      <c r="H90" s="16">
        <v>83.0</v>
      </c>
      <c r="I90" s="16">
        <v>32.0</v>
      </c>
      <c r="J90" s="17">
        <f>+51</f>
        <v>51</v>
      </c>
      <c r="K90" s="16">
        <v>86.0</v>
      </c>
      <c r="L90" s="16">
        <v>2.26</v>
      </c>
      <c r="M90" s="16">
        <v>68.2</v>
      </c>
      <c r="N90" s="16">
        <v>30.2</v>
      </c>
      <c r="O90" s="17">
        <f>+38</f>
        <v>38</v>
      </c>
      <c r="P90" s="17">
        <f>+1</f>
        <v>1</v>
      </c>
      <c r="Q90" s="16">
        <v>526.0</v>
      </c>
      <c r="R90" s="19" t="s">
        <v>1752</v>
      </c>
      <c r="S90" s="19" t="s">
        <v>1753</v>
      </c>
      <c r="T90" s="20" t="s">
        <v>853</v>
      </c>
    </row>
    <row r="91">
      <c r="A91" s="14">
        <v>2.0</v>
      </c>
      <c r="B91" s="15" t="s">
        <v>1754</v>
      </c>
      <c r="C91" s="16">
        <v>2021.0</v>
      </c>
      <c r="D91" s="16">
        <v>38.0</v>
      </c>
      <c r="E91" s="16">
        <v>21.0</v>
      </c>
      <c r="F91" s="16">
        <v>11.0</v>
      </c>
      <c r="G91" s="16">
        <v>6.0</v>
      </c>
      <c r="H91" s="16">
        <v>73.0</v>
      </c>
      <c r="I91" s="16">
        <v>44.0</v>
      </c>
      <c r="J91" s="17">
        <f>+29</f>
        <v>29</v>
      </c>
      <c r="K91" s="16">
        <v>74.0</v>
      </c>
      <c r="L91" s="16">
        <v>1.95</v>
      </c>
      <c r="M91" s="16">
        <v>60.1</v>
      </c>
      <c r="N91" s="16">
        <v>41.4</v>
      </c>
      <c r="O91" s="17">
        <f>+18.6</f>
        <v>18.6</v>
      </c>
      <c r="P91" s="17">
        <f>+0.49</f>
        <v>0.49</v>
      </c>
      <c r="Q91" s="16">
        <v>526.0</v>
      </c>
      <c r="R91" s="19" t="s">
        <v>1755</v>
      </c>
      <c r="S91" s="19" t="s">
        <v>1756</v>
      </c>
      <c r="T91" s="20" t="s">
        <v>853</v>
      </c>
    </row>
    <row r="92">
      <c r="A92" s="14">
        <v>3.0</v>
      </c>
      <c r="B92" s="15" t="s">
        <v>1757</v>
      </c>
      <c r="C92" s="16">
        <v>2021.0</v>
      </c>
      <c r="D92" s="16">
        <v>38.0</v>
      </c>
      <c r="E92" s="16">
        <v>20.0</v>
      </c>
      <c r="F92" s="16">
        <v>9.0</v>
      </c>
      <c r="G92" s="16">
        <v>9.0</v>
      </c>
      <c r="H92" s="16">
        <v>68.0</v>
      </c>
      <c r="I92" s="16">
        <v>42.0</v>
      </c>
      <c r="J92" s="17">
        <f>+26</f>
        <v>26</v>
      </c>
      <c r="K92" s="16">
        <v>69.0</v>
      </c>
      <c r="L92" s="16">
        <v>1.82</v>
      </c>
      <c r="M92" s="16">
        <v>67.5</v>
      </c>
      <c r="N92" s="16">
        <v>43.0</v>
      </c>
      <c r="O92" s="17">
        <f>+24.5</f>
        <v>24.5</v>
      </c>
      <c r="P92" s="17">
        <f>+0.65</f>
        <v>0.65</v>
      </c>
      <c r="Q92" s="16">
        <v>837.0</v>
      </c>
      <c r="R92" s="19" t="s">
        <v>1758</v>
      </c>
      <c r="S92" s="19" t="s">
        <v>1759</v>
      </c>
      <c r="T92" s="20" t="s">
        <v>853</v>
      </c>
    </row>
    <row r="93">
      <c r="A93" s="14">
        <v>4.0</v>
      </c>
      <c r="B93" s="15" t="s">
        <v>1760</v>
      </c>
      <c r="C93" s="16">
        <v>2021.0</v>
      </c>
      <c r="D93" s="16">
        <v>38.0</v>
      </c>
      <c r="E93" s="16">
        <v>19.0</v>
      </c>
      <c r="F93" s="16">
        <v>10.0</v>
      </c>
      <c r="G93" s="16">
        <v>9.0</v>
      </c>
      <c r="H93" s="16">
        <v>58.0</v>
      </c>
      <c r="I93" s="16">
        <v>36.0</v>
      </c>
      <c r="J93" s="17">
        <f>+22</f>
        <v>22</v>
      </c>
      <c r="K93" s="16">
        <v>67.0</v>
      </c>
      <c r="L93" s="16">
        <v>1.76</v>
      </c>
      <c r="M93" s="16">
        <v>62.4</v>
      </c>
      <c r="N93" s="16">
        <v>30.3</v>
      </c>
      <c r="O93" s="17">
        <f>+32.1</f>
        <v>32.1</v>
      </c>
      <c r="P93" s="17">
        <f>+0.85</f>
        <v>0.85</v>
      </c>
      <c r="Q93" s="16">
        <v>526.0</v>
      </c>
      <c r="R93" s="19" t="s">
        <v>1761</v>
      </c>
      <c r="S93" s="19" t="s">
        <v>1762</v>
      </c>
      <c r="T93" s="20" t="s">
        <v>853</v>
      </c>
    </row>
    <row r="94">
      <c r="A94" s="14">
        <v>5.0</v>
      </c>
      <c r="B94" s="15" t="s">
        <v>1763</v>
      </c>
      <c r="C94" s="16">
        <v>2021.0</v>
      </c>
      <c r="D94" s="16">
        <v>38.0</v>
      </c>
      <c r="E94" s="16">
        <v>20.0</v>
      </c>
      <c r="F94" s="16">
        <v>6.0</v>
      </c>
      <c r="G94" s="16">
        <v>12.0</v>
      </c>
      <c r="H94" s="16">
        <v>68.0</v>
      </c>
      <c r="I94" s="16">
        <v>50.0</v>
      </c>
      <c r="J94" s="17">
        <f>+18</f>
        <v>18</v>
      </c>
      <c r="K94" s="16">
        <v>66.0</v>
      </c>
      <c r="L94" s="16">
        <v>1.74</v>
      </c>
      <c r="M94" s="16">
        <v>55.8</v>
      </c>
      <c r="N94" s="16">
        <v>46.0</v>
      </c>
      <c r="O94" s="17">
        <f>+9.8</f>
        <v>9.8</v>
      </c>
      <c r="P94" s="17">
        <f>+0.26</f>
        <v>0.26</v>
      </c>
      <c r="Q94" s="16">
        <v>421.0</v>
      </c>
      <c r="R94" s="19" t="s">
        <v>1764</v>
      </c>
      <c r="S94" s="19" t="s">
        <v>1765</v>
      </c>
      <c r="T94" s="20" t="s">
        <v>1057</v>
      </c>
    </row>
    <row r="95">
      <c r="A95" s="14">
        <v>6.0</v>
      </c>
      <c r="B95" s="15" t="s">
        <v>1766</v>
      </c>
      <c r="C95" s="16">
        <v>2021.0</v>
      </c>
      <c r="D95" s="16">
        <v>38.0</v>
      </c>
      <c r="E95" s="16">
        <v>19.0</v>
      </c>
      <c r="F95" s="16">
        <v>8.0</v>
      </c>
      <c r="G95" s="16">
        <v>11.0</v>
      </c>
      <c r="H95" s="16">
        <v>62.0</v>
      </c>
      <c r="I95" s="16">
        <v>47.0</v>
      </c>
      <c r="J95" s="17">
        <f>+15</f>
        <v>15</v>
      </c>
      <c r="K95" s="16">
        <v>65.0</v>
      </c>
      <c r="L95" s="16">
        <v>1.71</v>
      </c>
      <c r="M95" s="16">
        <v>55.4</v>
      </c>
      <c r="N95" s="16">
        <v>48.7</v>
      </c>
      <c r="O95" s="17">
        <f>+6.7</f>
        <v>6.7</v>
      </c>
      <c r="P95" s="17">
        <f>+0.18</f>
        <v>0.18</v>
      </c>
      <c r="Q95" s="16">
        <v>632.0</v>
      </c>
      <c r="R95" s="19" t="s">
        <v>1767</v>
      </c>
      <c r="S95" s="19" t="s">
        <v>1768</v>
      </c>
      <c r="T95" s="20" t="s">
        <v>866</v>
      </c>
    </row>
    <row r="96">
      <c r="A96" s="14">
        <v>7.0</v>
      </c>
      <c r="B96" s="15" t="s">
        <v>1769</v>
      </c>
      <c r="C96" s="16">
        <v>2021.0</v>
      </c>
      <c r="D96" s="16">
        <v>38.0</v>
      </c>
      <c r="E96" s="16">
        <v>18.0</v>
      </c>
      <c r="F96" s="16">
        <v>8.0</v>
      </c>
      <c r="G96" s="16">
        <v>12.0</v>
      </c>
      <c r="H96" s="16">
        <v>68.0</v>
      </c>
      <c r="I96" s="16">
        <v>45.0</v>
      </c>
      <c r="J96" s="17">
        <f>+23</f>
        <v>23</v>
      </c>
      <c r="K96" s="16">
        <v>62.0</v>
      </c>
      <c r="L96" s="16">
        <v>1.63</v>
      </c>
      <c r="M96" s="16">
        <v>53.1</v>
      </c>
      <c r="N96" s="16">
        <v>49.1</v>
      </c>
      <c r="O96" s="17">
        <f>+4</f>
        <v>4</v>
      </c>
      <c r="P96" s="17">
        <f>+0.1</f>
        <v>0.1</v>
      </c>
      <c r="Q96" s="16">
        <v>632.0</v>
      </c>
      <c r="R96" s="19" t="s">
        <v>1770</v>
      </c>
      <c r="S96" s="19" t="s">
        <v>1771</v>
      </c>
      <c r="T96" s="20" t="s">
        <v>1772</v>
      </c>
    </row>
    <row r="97">
      <c r="A97" s="14">
        <v>8.0</v>
      </c>
      <c r="B97" s="15" t="s">
        <v>1773</v>
      </c>
      <c r="C97" s="16">
        <v>2021.0</v>
      </c>
      <c r="D97" s="16">
        <v>38.0</v>
      </c>
      <c r="E97" s="16">
        <v>18.0</v>
      </c>
      <c r="F97" s="16">
        <v>7.0</v>
      </c>
      <c r="G97" s="16">
        <v>13.0</v>
      </c>
      <c r="H97" s="16">
        <v>55.0</v>
      </c>
      <c r="I97" s="16">
        <v>39.0</v>
      </c>
      <c r="J97" s="17">
        <f>+16</f>
        <v>16</v>
      </c>
      <c r="K97" s="16">
        <v>61.0</v>
      </c>
      <c r="L97" s="16">
        <v>1.61</v>
      </c>
      <c r="M97" s="16">
        <v>51.7</v>
      </c>
      <c r="N97" s="16">
        <v>43.0</v>
      </c>
      <c r="O97" s="17">
        <f>+8.8</f>
        <v>8.8</v>
      </c>
      <c r="P97" s="17">
        <f>+0.23</f>
        <v>0.23</v>
      </c>
      <c r="Q97" s="16">
        <v>632.0</v>
      </c>
      <c r="R97" s="19" t="s">
        <v>1774</v>
      </c>
      <c r="S97" s="19" t="s">
        <v>1775</v>
      </c>
      <c r="T97" s="21"/>
    </row>
    <row r="98">
      <c r="A98" s="14">
        <v>9.0</v>
      </c>
      <c r="B98" s="15" t="s">
        <v>1776</v>
      </c>
      <c r="C98" s="16">
        <v>2021.0</v>
      </c>
      <c r="D98" s="16">
        <v>38.0</v>
      </c>
      <c r="E98" s="16">
        <v>18.0</v>
      </c>
      <c r="F98" s="16">
        <v>5.0</v>
      </c>
      <c r="G98" s="16">
        <v>15.0</v>
      </c>
      <c r="H98" s="16">
        <v>62.0</v>
      </c>
      <c r="I98" s="16">
        <v>54.0</v>
      </c>
      <c r="J98" s="17">
        <f>+8</f>
        <v>8</v>
      </c>
      <c r="K98" s="16">
        <v>59.0</v>
      </c>
      <c r="L98" s="16">
        <v>1.55</v>
      </c>
      <c r="M98" s="16">
        <v>55.6</v>
      </c>
      <c r="N98" s="16">
        <v>57.9</v>
      </c>
      <c r="O98" s="16">
        <v>-2.2</v>
      </c>
      <c r="P98" s="16">
        <v>-0.06</v>
      </c>
      <c r="Q98" s="16">
        <v>421.0</v>
      </c>
      <c r="R98" s="19" t="s">
        <v>1777</v>
      </c>
      <c r="S98" s="19" t="s">
        <v>1778</v>
      </c>
      <c r="T98" s="21"/>
    </row>
    <row r="99">
      <c r="A99" s="14">
        <v>10.0</v>
      </c>
      <c r="B99" s="15" t="s">
        <v>1779</v>
      </c>
      <c r="C99" s="16">
        <v>2021.0</v>
      </c>
      <c r="D99" s="16">
        <v>38.0</v>
      </c>
      <c r="E99" s="16">
        <v>17.0</v>
      </c>
      <c r="F99" s="16">
        <v>8.0</v>
      </c>
      <c r="G99" s="16">
        <v>13.0</v>
      </c>
      <c r="H99" s="16">
        <v>47.0</v>
      </c>
      <c r="I99" s="16">
        <v>48.0</v>
      </c>
      <c r="J99" s="16">
        <v>-1.0</v>
      </c>
      <c r="K99" s="16">
        <v>59.0</v>
      </c>
      <c r="L99" s="16">
        <v>1.55</v>
      </c>
      <c r="M99" s="16">
        <v>45.7</v>
      </c>
      <c r="N99" s="16">
        <v>50.1</v>
      </c>
      <c r="O99" s="16">
        <v>-4.5</v>
      </c>
      <c r="P99" s="16">
        <v>-0.12</v>
      </c>
      <c r="Q99" s="16">
        <v>368.0</v>
      </c>
      <c r="R99" s="19" t="s">
        <v>1780</v>
      </c>
      <c r="S99" s="19" t="s">
        <v>1781</v>
      </c>
      <c r="T99" s="21"/>
    </row>
    <row r="100">
      <c r="A100" s="14">
        <v>11.0</v>
      </c>
      <c r="B100" s="15" t="s">
        <v>1782</v>
      </c>
      <c r="C100" s="16">
        <v>2021.0</v>
      </c>
      <c r="D100" s="16">
        <v>38.0</v>
      </c>
      <c r="E100" s="16">
        <v>16.0</v>
      </c>
      <c r="F100" s="16">
        <v>7.0</v>
      </c>
      <c r="G100" s="16">
        <v>15.0</v>
      </c>
      <c r="H100" s="16">
        <v>55.0</v>
      </c>
      <c r="I100" s="16">
        <v>46.0</v>
      </c>
      <c r="J100" s="17">
        <f>+9</f>
        <v>9</v>
      </c>
      <c r="K100" s="16">
        <v>55.0</v>
      </c>
      <c r="L100" s="16">
        <v>1.45</v>
      </c>
      <c r="M100" s="16">
        <v>52.5</v>
      </c>
      <c r="N100" s="16">
        <v>51.1</v>
      </c>
      <c r="O100" s="17">
        <f>+1.5</f>
        <v>1.5</v>
      </c>
      <c r="P100" s="17">
        <f>+0.04</f>
        <v>0.04</v>
      </c>
      <c r="Q100" s="16">
        <v>526.0</v>
      </c>
      <c r="R100" s="19" t="s">
        <v>1783</v>
      </c>
      <c r="S100" s="19" t="s">
        <v>1784</v>
      </c>
      <c r="T100" s="21"/>
    </row>
    <row r="101">
      <c r="A101" s="14">
        <v>12.0</v>
      </c>
      <c r="B101" s="15" t="s">
        <v>1785</v>
      </c>
      <c r="C101" s="16">
        <v>2021.0</v>
      </c>
      <c r="D101" s="16">
        <v>38.0</v>
      </c>
      <c r="E101" s="16">
        <v>12.0</v>
      </c>
      <c r="F101" s="16">
        <v>9.0</v>
      </c>
      <c r="G101" s="16">
        <v>17.0</v>
      </c>
      <c r="H101" s="16">
        <v>46.0</v>
      </c>
      <c r="I101" s="16">
        <v>62.0</v>
      </c>
      <c r="J101" s="16">
        <v>-16.0</v>
      </c>
      <c r="K101" s="16">
        <v>45.0</v>
      </c>
      <c r="L101" s="16">
        <v>1.18</v>
      </c>
      <c r="M101" s="16">
        <v>43.4</v>
      </c>
      <c r="N101" s="16">
        <v>58.3</v>
      </c>
      <c r="O101" s="16">
        <v>-14.9</v>
      </c>
      <c r="P101" s="16">
        <v>-0.39</v>
      </c>
      <c r="Q101" s="16">
        <v>526.0</v>
      </c>
      <c r="R101" s="19" t="s">
        <v>1786</v>
      </c>
      <c r="S101" s="19" t="s">
        <v>1787</v>
      </c>
      <c r="T101" s="21"/>
    </row>
    <row r="102">
      <c r="A102" s="14">
        <v>13.0</v>
      </c>
      <c r="B102" s="15" t="s">
        <v>1788</v>
      </c>
      <c r="C102" s="16">
        <v>2021.0</v>
      </c>
      <c r="D102" s="16">
        <v>38.0</v>
      </c>
      <c r="E102" s="16">
        <v>12.0</v>
      </c>
      <c r="F102" s="16">
        <v>9.0</v>
      </c>
      <c r="G102" s="16">
        <v>17.0</v>
      </c>
      <c r="H102" s="16">
        <v>36.0</v>
      </c>
      <c r="I102" s="16">
        <v>52.0</v>
      </c>
      <c r="J102" s="16">
        <v>-16.0</v>
      </c>
      <c r="K102" s="16">
        <v>45.0</v>
      </c>
      <c r="L102" s="16">
        <v>1.18</v>
      </c>
      <c r="M102" s="16">
        <v>36.5</v>
      </c>
      <c r="N102" s="16">
        <v>49.5</v>
      </c>
      <c r="O102" s="16">
        <v>-13.0</v>
      </c>
      <c r="P102" s="16">
        <v>-0.34</v>
      </c>
      <c r="Q102" s="16">
        <v>237.0</v>
      </c>
      <c r="R102" s="19" t="s">
        <v>1789</v>
      </c>
      <c r="S102" s="19" t="s">
        <v>1790</v>
      </c>
      <c r="T102" s="21"/>
    </row>
    <row r="103">
      <c r="A103" s="14">
        <v>14.0</v>
      </c>
      <c r="B103" s="15" t="s">
        <v>1791</v>
      </c>
      <c r="C103" s="16">
        <v>2021.0</v>
      </c>
      <c r="D103" s="16">
        <v>38.0</v>
      </c>
      <c r="E103" s="16">
        <v>12.0</v>
      </c>
      <c r="F103" s="16">
        <v>8.0</v>
      </c>
      <c r="G103" s="16">
        <v>18.0</v>
      </c>
      <c r="H103" s="16">
        <v>41.0</v>
      </c>
      <c r="I103" s="16">
        <v>66.0</v>
      </c>
      <c r="J103" s="16">
        <v>-25.0</v>
      </c>
      <c r="K103" s="16">
        <v>44.0</v>
      </c>
      <c r="L103" s="16">
        <v>1.16</v>
      </c>
      <c r="M103" s="16">
        <v>34.1</v>
      </c>
      <c r="N103" s="16">
        <v>58.2</v>
      </c>
      <c r="O103" s="16">
        <v>-24.2</v>
      </c>
      <c r="P103" s="16">
        <v>-0.64</v>
      </c>
      <c r="Q103" s="16">
        <v>447.0</v>
      </c>
      <c r="R103" s="19" t="s">
        <v>1792</v>
      </c>
      <c r="S103" s="19" t="s">
        <v>1793</v>
      </c>
      <c r="T103" s="21"/>
    </row>
    <row r="104">
      <c r="A104" s="14">
        <v>15.0</v>
      </c>
      <c r="B104" s="15" t="s">
        <v>1794</v>
      </c>
      <c r="C104" s="16">
        <v>2021.0</v>
      </c>
      <c r="D104" s="16">
        <v>38.0</v>
      </c>
      <c r="E104" s="16">
        <v>12.0</v>
      </c>
      <c r="F104" s="16">
        <v>7.0</v>
      </c>
      <c r="G104" s="16">
        <v>19.0</v>
      </c>
      <c r="H104" s="16">
        <v>47.0</v>
      </c>
      <c r="I104" s="16">
        <v>68.0</v>
      </c>
      <c r="J104" s="16">
        <v>-21.0</v>
      </c>
      <c r="K104" s="16">
        <v>43.0</v>
      </c>
      <c r="L104" s="16">
        <v>1.13</v>
      </c>
      <c r="M104" s="16">
        <v>41.2</v>
      </c>
      <c r="N104" s="16">
        <v>53.1</v>
      </c>
      <c r="O104" s="16">
        <v>-11.8</v>
      </c>
      <c r="P104" s="16">
        <v>-0.31</v>
      </c>
      <c r="Q104" s="16">
        <v>526.0</v>
      </c>
      <c r="R104" s="19" t="s">
        <v>1795</v>
      </c>
      <c r="S104" s="19" t="s">
        <v>1796</v>
      </c>
      <c r="T104" s="21"/>
    </row>
    <row r="105">
      <c r="A105" s="14">
        <v>16.0</v>
      </c>
      <c r="B105" s="15" t="s">
        <v>1797</v>
      </c>
      <c r="C105" s="16">
        <v>2021.0</v>
      </c>
      <c r="D105" s="16">
        <v>38.0</v>
      </c>
      <c r="E105" s="16">
        <v>9.0</v>
      </c>
      <c r="F105" s="16">
        <v>14.0</v>
      </c>
      <c r="G105" s="16">
        <v>15.0</v>
      </c>
      <c r="H105" s="16">
        <v>40.0</v>
      </c>
      <c r="I105" s="16">
        <v>46.0</v>
      </c>
      <c r="J105" s="16">
        <v>-6.0</v>
      </c>
      <c r="K105" s="16">
        <v>41.0</v>
      </c>
      <c r="L105" s="16">
        <v>1.08</v>
      </c>
      <c r="M105" s="16">
        <v>50.9</v>
      </c>
      <c r="N105" s="16">
        <v>35.3</v>
      </c>
      <c r="O105" s="17">
        <f>+15.6</f>
        <v>15.6</v>
      </c>
      <c r="P105" s="17">
        <f>+0.41</f>
        <v>0.41</v>
      </c>
      <c r="Q105" s="16">
        <v>523.0</v>
      </c>
      <c r="R105" s="19" t="s">
        <v>1798</v>
      </c>
      <c r="S105" s="19" t="s">
        <v>1799</v>
      </c>
      <c r="T105" s="21"/>
    </row>
    <row r="106">
      <c r="A106" s="14">
        <v>17.0</v>
      </c>
      <c r="B106" s="15" t="s">
        <v>1800</v>
      </c>
      <c r="C106" s="16">
        <v>2021.0</v>
      </c>
      <c r="D106" s="16">
        <v>38.0</v>
      </c>
      <c r="E106" s="16">
        <v>10.0</v>
      </c>
      <c r="F106" s="16">
        <v>9.0</v>
      </c>
      <c r="G106" s="16">
        <v>19.0</v>
      </c>
      <c r="H106" s="16">
        <v>33.0</v>
      </c>
      <c r="I106" s="16">
        <v>55.0</v>
      </c>
      <c r="J106" s="16">
        <v>-22.0</v>
      </c>
      <c r="K106" s="16">
        <v>39.0</v>
      </c>
      <c r="L106" s="16">
        <v>1.03</v>
      </c>
      <c r="M106" s="16">
        <v>39.3</v>
      </c>
      <c r="N106" s="16">
        <v>54.7</v>
      </c>
      <c r="O106" s="16">
        <v>-15.4</v>
      </c>
      <c r="P106" s="16">
        <v>-0.4</v>
      </c>
      <c r="Q106" s="16">
        <v>178.0</v>
      </c>
      <c r="R106" s="19" t="s">
        <v>1801</v>
      </c>
      <c r="S106" s="19" t="s">
        <v>1802</v>
      </c>
      <c r="T106" s="21"/>
    </row>
    <row r="107">
      <c r="A107" s="22">
        <v>18.0</v>
      </c>
      <c r="B107" s="15" t="s">
        <v>1803</v>
      </c>
      <c r="C107" s="16">
        <v>2021.0</v>
      </c>
      <c r="D107" s="16">
        <v>38.0</v>
      </c>
      <c r="E107" s="16">
        <v>5.0</v>
      </c>
      <c r="F107" s="16">
        <v>13.0</v>
      </c>
      <c r="G107" s="16">
        <v>20.0</v>
      </c>
      <c r="H107" s="16">
        <v>27.0</v>
      </c>
      <c r="I107" s="16">
        <v>53.0</v>
      </c>
      <c r="J107" s="16">
        <v>-26.0</v>
      </c>
      <c r="K107" s="16">
        <v>28.0</v>
      </c>
      <c r="L107" s="16">
        <v>0.74</v>
      </c>
      <c r="M107" s="16">
        <v>40.5</v>
      </c>
      <c r="N107" s="16">
        <v>52.6</v>
      </c>
      <c r="O107" s="16">
        <v>-12.1</v>
      </c>
      <c r="P107" s="16">
        <v>-0.32</v>
      </c>
      <c r="Q107" s="16">
        <v>211.0</v>
      </c>
      <c r="R107" s="19" t="s">
        <v>1804</v>
      </c>
      <c r="S107" s="19" t="s">
        <v>1805</v>
      </c>
      <c r="T107" s="20" t="s">
        <v>905</v>
      </c>
    </row>
    <row r="108">
      <c r="A108" s="22">
        <v>19.0</v>
      </c>
      <c r="B108" s="15" t="s">
        <v>1806</v>
      </c>
      <c r="C108" s="16">
        <v>2021.0</v>
      </c>
      <c r="D108" s="16">
        <v>38.0</v>
      </c>
      <c r="E108" s="16">
        <v>5.0</v>
      </c>
      <c r="F108" s="16">
        <v>11.0</v>
      </c>
      <c r="G108" s="16">
        <v>22.0</v>
      </c>
      <c r="H108" s="16">
        <v>35.0</v>
      </c>
      <c r="I108" s="16">
        <v>76.0</v>
      </c>
      <c r="J108" s="16">
        <v>-41.0</v>
      </c>
      <c r="K108" s="16">
        <v>26.0</v>
      </c>
      <c r="L108" s="16">
        <v>0.68</v>
      </c>
      <c r="M108" s="16">
        <v>35.8</v>
      </c>
      <c r="N108" s="16">
        <v>67.9</v>
      </c>
      <c r="O108" s="16">
        <v>-32.0</v>
      </c>
      <c r="P108" s="16">
        <v>-0.84</v>
      </c>
      <c r="Q108" s="16">
        <v>283.0</v>
      </c>
      <c r="R108" s="19" t="s">
        <v>1807</v>
      </c>
      <c r="S108" s="19" t="s">
        <v>1808</v>
      </c>
      <c r="T108" s="20" t="s">
        <v>905</v>
      </c>
    </row>
    <row r="109">
      <c r="A109" s="23">
        <v>20.0</v>
      </c>
      <c r="B109" s="24" t="s">
        <v>1809</v>
      </c>
      <c r="C109" s="16">
        <v>2021.0</v>
      </c>
      <c r="D109" s="25">
        <v>38.0</v>
      </c>
      <c r="E109" s="25">
        <v>7.0</v>
      </c>
      <c r="F109" s="25">
        <v>2.0</v>
      </c>
      <c r="G109" s="25">
        <v>29.0</v>
      </c>
      <c r="H109" s="25">
        <v>20.0</v>
      </c>
      <c r="I109" s="25">
        <v>63.0</v>
      </c>
      <c r="J109" s="25">
        <v>-43.0</v>
      </c>
      <c r="K109" s="25">
        <v>23.0</v>
      </c>
      <c r="L109" s="25">
        <v>0.61</v>
      </c>
      <c r="M109" s="25">
        <v>32.6</v>
      </c>
      <c r="N109" s="25">
        <v>62.2</v>
      </c>
      <c r="O109" s="25">
        <v>-29.6</v>
      </c>
      <c r="P109" s="25">
        <v>-0.78</v>
      </c>
      <c r="Q109" s="25">
        <v>263.0</v>
      </c>
      <c r="R109" s="27" t="s">
        <v>1810</v>
      </c>
      <c r="S109" s="27" t="s">
        <v>1811</v>
      </c>
      <c r="T109" s="28" t="s">
        <v>905</v>
      </c>
    </row>
    <row r="111">
      <c r="A111" s="12" t="s">
        <v>831</v>
      </c>
      <c r="B111" s="13" t="s">
        <v>832</v>
      </c>
      <c r="C111" s="13" t="s">
        <v>1812</v>
      </c>
      <c r="D111" s="13" t="s">
        <v>833</v>
      </c>
      <c r="E111" s="13" t="s">
        <v>834</v>
      </c>
      <c r="F111" s="13" t="s">
        <v>835</v>
      </c>
      <c r="G111" s="13" t="s">
        <v>836</v>
      </c>
      <c r="H111" s="13" t="s">
        <v>837</v>
      </c>
      <c r="I111" s="13" t="s">
        <v>838</v>
      </c>
      <c r="J111" s="13" t="s">
        <v>839</v>
      </c>
      <c r="K111" s="13" t="s">
        <v>840</v>
      </c>
      <c r="L111" s="13" t="s">
        <v>841</v>
      </c>
      <c r="M111" s="13" t="s">
        <v>842</v>
      </c>
      <c r="N111" s="13" t="s">
        <v>843</v>
      </c>
      <c r="O111" s="13" t="s">
        <v>844</v>
      </c>
      <c r="P111" s="13" t="s">
        <v>845</v>
      </c>
      <c r="Q111" s="13" t="s">
        <v>846</v>
      </c>
      <c r="R111" s="13" t="s">
        <v>847</v>
      </c>
      <c r="S111" s="13" t="s">
        <v>848</v>
      </c>
      <c r="T111" s="13" t="s">
        <v>849</v>
      </c>
    </row>
    <row r="112">
      <c r="A112" s="14">
        <v>1.0</v>
      </c>
      <c r="B112" s="15" t="s">
        <v>1813</v>
      </c>
      <c r="C112" s="16">
        <v>2020.0</v>
      </c>
      <c r="D112" s="16">
        <v>38.0</v>
      </c>
      <c r="E112" s="16">
        <v>32.0</v>
      </c>
      <c r="F112" s="16">
        <v>3.0</v>
      </c>
      <c r="G112" s="16">
        <v>3.0</v>
      </c>
      <c r="H112" s="16">
        <v>85.0</v>
      </c>
      <c r="I112" s="16">
        <v>33.0</v>
      </c>
      <c r="J112" s="17">
        <f>+52</f>
        <v>52</v>
      </c>
      <c r="K112" s="16">
        <v>99.0</v>
      </c>
      <c r="L112" s="16">
        <v>2.61</v>
      </c>
      <c r="M112" s="16">
        <v>68.9</v>
      </c>
      <c r="N112" s="16">
        <v>37.7</v>
      </c>
      <c r="O112" s="17">
        <f>+31.2</f>
        <v>31.2</v>
      </c>
      <c r="P112" s="17">
        <f>+0.82</f>
        <v>0.82</v>
      </c>
      <c r="Q112" s="18">
        <v>41955.0</v>
      </c>
      <c r="R112" s="19" t="s">
        <v>1814</v>
      </c>
      <c r="S112" s="19" t="s">
        <v>1815</v>
      </c>
      <c r="T112" s="20" t="s">
        <v>853</v>
      </c>
    </row>
    <row r="113">
      <c r="A113" s="14">
        <v>2.0</v>
      </c>
      <c r="B113" s="15" t="s">
        <v>1816</v>
      </c>
      <c r="C113" s="16">
        <v>2020.0</v>
      </c>
      <c r="D113" s="16">
        <v>38.0</v>
      </c>
      <c r="E113" s="16">
        <v>26.0</v>
      </c>
      <c r="F113" s="16">
        <v>3.0</v>
      </c>
      <c r="G113" s="16">
        <v>9.0</v>
      </c>
      <c r="H113" s="16">
        <v>102.0</v>
      </c>
      <c r="I113" s="16">
        <v>35.0</v>
      </c>
      <c r="J113" s="17">
        <f>+67</f>
        <v>67</v>
      </c>
      <c r="K113" s="16">
        <v>81.0</v>
      </c>
      <c r="L113" s="16">
        <v>2.13</v>
      </c>
      <c r="M113" s="16">
        <v>92.0</v>
      </c>
      <c r="N113" s="16">
        <v>36.2</v>
      </c>
      <c r="O113" s="17">
        <f>+55.7</f>
        <v>55.7</v>
      </c>
      <c r="P113" s="17">
        <f>+1.47</f>
        <v>1.47</v>
      </c>
      <c r="Q113" s="18">
        <v>37097.0</v>
      </c>
      <c r="R113" s="19" t="s">
        <v>1817</v>
      </c>
      <c r="S113" s="19" t="s">
        <v>1818</v>
      </c>
      <c r="T113" s="20" t="s">
        <v>853</v>
      </c>
    </row>
    <row r="114">
      <c r="A114" s="14">
        <v>3.0</v>
      </c>
      <c r="B114" s="15" t="s">
        <v>1819</v>
      </c>
      <c r="C114" s="16">
        <v>2020.0</v>
      </c>
      <c r="D114" s="16">
        <v>38.0</v>
      </c>
      <c r="E114" s="16">
        <v>18.0</v>
      </c>
      <c r="F114" s="16">
        <v>12.0</v>
      </c>
      <c r="G114" s="16">
        <v>8.0</v>
      </c>
      <c r="H114" s="16">
        <v>66.0</v>
      </c>
      <c r="I114" s="16">
        <v>36.0</v>
      </c>
      <c r="J114" s="17">
        <f>+30</f>
        <v>30</v>
      </c>
      <c r="K114" s="16">
        <v>66.0</v>
      </c>
      <c r="L114" s="16">
        <v>1.74</v>
      </c>
      <c r="M114" s="16">
        <v>62.2</v>
      </c>
      <c r="N114" s="16">
        <v>37.7</v>
      </c>
      <c r="O114" s="17">
        <f>+24.5</f>
        <v>24.5</v>
      </c>
      <c r="P114" s="17">
        <f>+0.64</f>
        <v>0.64</v>
      </c>
      <c r="Q114" s="18">
        <v>57415.0</v>
      </c>
      <c r="R114" s="19" t="s">
        <v>1820</v>
      </c>
      <c r="S114" s="19" t="s">
        <v>1821</v>
      </c>
      <c r="T114" s="20" t="s">
        <v>853</v>
      </c>
    </row>
    <row r="115">
      <c r="A115" s="14">
        <v>4.0</v>
      </c>
      <c r="B115" s="15" t="s">
        <v>1822</v>
      </c>
      <c r="C115" s="16">
        <v>2020.0</v>
      </c>
      <c r="D115" s="16">
        <v>38.0</v>
      </c>
      <c r="E115" s="16">
        <v>20.0</v>
      </c>
      <c r="F115" s="16">
        <v>6.0</v>
      </c>
      <c r="G115" s="16">
        <v>12.0</v>
      </c>
      <c r="H115" s="16">
        <v>69.0</v>
      </c>
      <c r="I115" s="16">
        <v>54.0</v>
      </c>
      <c r="J115" s="17">
        <f>+15</f>
        <v>15</v>
      </c>
      <c r="K115" s="16">
        <v>66.0</v>
      </c>
      <c r="L115" s="16">
        <v>1.74</v>
      </c>
      <c r="M115" s="16">
        <v>69.2</v>
      </c>
      <c r="N115" s="16">
        <v>38.6</v>
      </c>
      <c r="O115" s="17">
        <f>+30.6</f>
        <v>30.6</v>
      </c>
      <c r="P115" s="17">
        <f>+0.81</f>
        <v>0.81</v>
      </c>
      <c r="Q115" s="18">
        <v>32023.0</v>
      </c>
      <c r="R115" s="19" t="s">
        <v>1823</v>
      </c>
      <c r="S115" s="19" t="s">
        <v>1824</v>
      </c>
      <c r="T115" s="20" t="s">
        <v>853</v>
      </c>
    </row>
    <row r="116">
      <c r="A116" s="14">
        <v>5.0</v>
      </c>
      <c r="B116" s="15" t="s">
        <v>1825</v>
      </c>
      <c r="C116" s="16">
        <v>2020.0</v>
      </c>
      <c r="D116" s="16">
        <v>38.0</v>
      </c>
      <c r="E116" s="16">
        <v>18.0</v>
      </c>
      <c r="F116" s="16">
        <v>8.0</v>
      </c>
      <c r="G116" s="16">
        <v>12.0</v>
      </c>
      <c r="H116" s="16">
        <v>67.0</v>
      </c>
      <c r="I116" s="16">
        <v>41.0</v>
      </c>
      <c r="J116" s="17">
        <f>+26</f>
        <v>26</v>
      </c>
      <c r="K116" s="16">
        <v>62.0</v>
      </c>
      <c r="L116" s="16">
        <v>1.63</v>
      </c>
      <c r="M116" s="16">
        <v>62.2</v>
      </c>
      <c r="N116" s="16">
        <v>45.5</v>
      </c>
      <c r="O116" s="17">
        <f>+16.7</f>
        <v>16.7</v>
      </c>
      <c r="P116" s="17">
        <f>+0.44</f>
        <v>0.44</v>
      </c>
      <c r="Q116" s="18">
        <v>25312.0</v>
      </c>
      <c r="R116" s="19" t="s">
        <v>1826</v>
      </c>
      <c r="S116" s="19" t="s">
        <v>1827</v>
      </c>
      <c r="T116" s="20" t="s">
        <v>866</v>
      </c>
    </row>
    <row r="117">
      <c r="A117" s="14">
        <v>6.0</v>
      </c>
      <c r="B117" s="15" t="s">
        <v>1828</v>
      </c>
      <c r="C117" s="16">
        <v>2020.0</v>
      </c>
      <c r="D117" s="16">
        <v>38.0</v>
      </c>
      <c r="E117" s="16">
        <v>16.0</v>
      </c>
      <c r="F117" s="16">
        <v>11.0</v>
      </c>
      <c r="G117" s="16">
        <v>11.0</v>
      </c>
      <c r="H117" s="16">
        <v>61.0</v>
      </c>
      <c r="I117" s="16">
        <v>47.0</v>
      </c>
      <c r="J117" s="17">
        <f>+14</f>
        <v>14</v>
      </c>
      <c r="K117" s="16">
        <v>59.0</v>
      </c>
      <c r="L117" s="16">
        <v>1.55</v>
      </c>
      <c r="M117" s="16">
        <v>47.9</v>
      </c>
      <c r="N117" s="16">
        <v>54.2</v>
      </c>
      <c r="O117" s="16">
        <v>-6.3</v>
      </c>
      <c r="P117" s="16">
        <v>-0.17</v>
      </c>
      <c r="Q117" s="18">
        <v>43757.0</v>
      </c>
      <c r="R117" s="19" t="s">
        <v>1829</v>
      </c>
      <c r="S117" s="19" t="s">
        <v>1830</v>
      </c>
      <c r="T117" s="20" t="s">
        <v>1157</v>
      </c>
    </row>
    <row r="118">
      <c r="A118" s="14">
        <v>7.0</v>
      </c>
      <c r="B118" s="15" t="s">
        <v>1831</v>
      </c>
      <c r="C118" s="16">
        <v>2020.0</v>
      </c>
      <c r="D118" s="16">
        <v>38.0</v>
      </c>
      <c r="E118" s="16">
        <v>15.0</v>
      </c>
      <c r="F118" s="16">
        <v>14.0</v>
      </c>
      <c r="G118" s="16">
        <v>9.0</v>
      </c>
      <c r="H118" s="16">
        <v>51.0</v>
      </c>
      <c r="I118" s="16">
        <v>40.0</v>
      </c>
      <c r="J118" s="17">
        <f>+11</f>
        <v>11</v>
      </c>
      <c r="K118" s="16">
        <v>59.0</v>
      </c>
      <c r="L118" s="16">
        <v>1.55</v>
      </c>
      <c r="M118" s="16">
        <v>54.1</v>
      </c>
      <c r="N118" s="16">
        <v>38.0</v>
      </c>
      <c r="O118" s="17">
        <f>+16.1</f>
        <v>16.1</v>
      </c>
      <c r="P118" s="17">
        <f>+0.42</f>
        <v>0.42</v>
      </c>
      <c r="Q118" s="18">
        <v>24758.0</v>
      </c>
      <c r="R118" s="19" t="s">
        <v>1832</v>
      </c>
      <c r="S118" s="19" t="s">
        <v>1833</v>
      </c>
      <c r="T118" s="21"/>
    </row>
    <row r="119">
      <c r="A119" s="14">
        <v>8.0</v>
      </c>
      <c r="B119" s="15" t="s">
        <v>1834</v>
      </c>
      <c r="C119" s="16">
        <v>2020.0</v>
      </c>
      <c r="D119" s="16">
        <v>38.0</v>
      </c>
      <c r="E119" s="16">
        <v>14.0</v>
      </c>
      <c r="F119" s="16">
        <v>14.0</v>
      </c>
      <c r="G119" s="16">
        <v>10.0</v>
      </c>
      <c r="H119" s="16">
        <v>56.0</v>
      </c>
      <c r="I119" s="16">
        <v>48.0</v>
      </c>
      <c r="J119" s="17">
        <f>+8</f>
        <v>8</v>
      </c>
      <c r="K119" s="16">
        <v>56.0</v>
      </c>
      <c r="L119" s="16">
        <v>1.47</v>
      </c>
      <c r="M119" s="16">
        <v>47.0</v>
      </c>
      <c r="N119" s="16">
        <v>55.3</v>
      </c>
      <c r="O119" s="16">
        <v>-8.3</v>
      </c>
      <c r="P119" s="16">
        <v>-0.22</v>
      </c>
      <c r="Q119" s="18">
        <v>47589.0</v>
      </c>
      <c r="R119" s="19" t="s">
        <v>1835</v>
      </c>
      <c r="S119" s="19" t="s">
        <v>1836</v>
      </c>
      <c r="T119" s="20" t="s">
        <v>1298</v>
      </c>
    </row>
    <row r="120">
      <c r="A120" s="14">
        <v>9.0</v>
      </c>
      <c r="B120" s="15" t="s">
        <v>1837</v>
      </c>
      <c r="C120" s="16">
        <v>2020.0</v>
      </c>
      <c r="D120" s="16">
        <v>38.0</v>
      </c>
      <c r="E120" s="16">
        <v>14.0</v>
      </c>
      <c r="F120" s="16">
        <v>12.0</v>
      </c>
      <c r="G120" s="16">
        <v>12.0</v>
      </c>
      <c r="H120" s="16">
        <v>39.0</v>
      </c>
      <c r="I120" s="16">
        <v>39.0</v>
      </c>
      <c r="J120" s="16">
        <v>0.0</v>
      </c>
      <c r="K120" s="16">
        <v>54.0</v>
      </c>
      <c r="L120" s="16">
        <v>1.42</v>
      </c>
      <c r="M120" s="16">
        <v>43.0</v>
      </c>
      <c r="N120" s="16">
        <v>51.0</v>
      </c>
      <c r="O120" s="16">
        <v>-7.9</v>
      </c>
      <c r="P120" s="16">
        <v>-0.21</v>
      </c>
      <c r="Q120" s="18">
        <v>24370.0</v>
      </c>
      <c r="R120" s="19" t="s">
        <v>1838</v>
      </c>
      <c r="S120" s="19" t="s">
        <v>1839</v>
      </c>
      <c r="T120" s="21"/>
    </row>
    <row r="121">
      <c r="A121" s="14">
        <v>10.0</v>
      </c>
      <c r="B121" s="15" t="s">
        <v>1840</v>
      </c>
      <c r="C121" s="16">
        <v>2020.0</v>
      </c>
      <c r="D121" s="16">
        <v>38.0</v>
      </c>
      <c r="E121" s="16">
        <v>15.0</v>
      </c>
      <c r="F121" s="16">
        <v>9.0</v>
      </c>
      <c r="G121" s="16">
        <v>14.0</v>
      </c>
      <c r="H121" s="16">
        <v>43.0</v>
      </c>
      <c r="I121" s="16">
        <v>50.0</v>
      </c>
      <c r="J121" s="16">
        <v>-7.0</v>
      </c>
      <c r="K121" s="16">
        <v>54.0</v>
      </c>
      <c r="L121" s="16">
        <v>1.42</v>
      </c>
      <c r="M121" s="16">
        <v>47.4</v>
      </c>
      <c r="N121" s="16">
        <v>49.8</v>
      </c>
      <c r="O121" s="16">
        <v>-2.4</v>
      </c>
      <c r="P121" s="16">
        <v>-0.06</v>
      </c>
      <c r="Q121" s="18">
        <v>15995.0</v>
      </c>
      <c r="R121" s="19" t="s">
        <v>1841</v>
      </c>
      <c r="S121" s="19" t="s">
        <v>1842</v>
      </c>
      <c r="T121" s="21"/>
    </row>
    <row r="122">
      <c r="A122" s="14">
        <v>11.0</v>
      </c>
      <c r="B122" s="15" t="s">
        <v>1843</v>
      </c>
      <c r="C122" s="16">
        <v>2020.0</v>
      </c>
      <c r="D122" s="16">
        <v>38.0</v>
      </c>
      <c r="E122" s="16">
        <v>15.0</v>
      </c>
      <c r="F122" s="16">
        <v>7.0</v>
      </c>
      <c r="G122" s="16">
        <v>16.0</v>
      </c>
      <c r="H122" s="16">
        <v>51.0</v>
      </c>
      <c r="I122" s="16">
        <v>60.0</v>
      </c>
      <c r="J122" s="16">
        <v>-9.0</v>
      </c>
      <c r="K122" s="16">
        <v>52.0</v>
      </c>
      <c r="L122" s="16">
        <v>1.37</v>
      </c>
      <c r="M122" s="16">
        <v>56.1</v>
      </c>
      <c r="N122" s="16">
        <v>52.8</v>
      </c>
      <c r="O122" s="17">
        <f>+3.3</f>
        <v>3.3</v>
      </c>
      <c r="P122" s="17">
        <f>+0.09</f>
        <v>0.09</v>
      </c>
      <c r="Q122" s="18">
        <v>23428.0</v>
      </c>
      <c r="R122" s="19" t="s">
        <v>1844</v>
      </c>
      <c r="S122" s="19" t="s">
        <v>1845</v>
      </c>
      <c r="T122" s="21"/>
    </row>
    <row r="123">
      <c r="A123" s="14">
        <v>12.0</v>
      </c>
      <c r="B123" s="15" t="s">
        <v>1846</v>
      </c>
      <c r="C123" s="16">
        <v>2020.0</v>
      </c>
      <c r="D123" s="16">
        <v>38.0</v>
      </c>
      <c r="E123" s="16">
        <v>13.0</v>
      </c>
      <c r="F123" s="16">
        <v>10.0</v>
      </c>
      <c r="G123" s="16">
        <v>15.0</v>
      </c>
      <c r="H123" s="16">
        <v>44.0</v>
      </c>
      <c r="I123" s="16">
        <v>56.0</v>
      </c>
      <c r="J123" s="16">
        <v>-12.0</v>
      </c>
      <c r="K123" s="16">
        <v>49.0</v>
      </c>
      <c r="L123" s="16">
        <v>1.29</v>
      </c>
      <c r="M123" s="16">
        <v>50.8</v>
      </c>
      <c r="N123" s="16">
        <v>48.3</v>
      </c>
      <c r="O123" s="17">
        <f>+2.5</f>
        <v>2.5</v>
      </c>
      <c r="P123" s="17">
        <f>+0.07</f>
        <v>0.07</v>
      </c>
      <c r="Q123" s="18">
        <v>28848.0</v>
      </c>
      <c r="R123" s="19" t="s">
        <v>1847</v>
      </c>
      <c r="S123" s="19" t="s">
        <v>1848</v>
      </c>
      <c r="T123" s="21"/>
    </row>
    <row r="124">
      <c r="A124" s="14">
        <v>13.0</v>
      </c>
      <c r="B124" s="15" t="s">
        <v>1849</v>
      </c>
      <c r="C124" s="16">
        <v>2020.0</v>
      </c>
      <c r="D124" s="16">
        <v>38.0</v>
      </c>
      <c r="E124" s="16">
        <v>11.0</v>
      </c>
      <c r="F124" s="16">
        <v>11.0</v>
      </c>
      <c r="G124" s="16">
        <v>16.0</v>
      </c>
      <c r="H124" s="16">
        <v>38.0</v>
      </c>
      <c r="I124" s="16">
        <v>58.0</v>
      </c>
      <c r="J124" s="16">
        <v>-20.0</v>
      </c>
      <c r="K124" s="16">
        <v>44.0</v>
      </c>
      <c r="L124" s="16">
        <v>1.16</v>
      </c>
      <c r="M124" s="16">
        <v>35.5</v>
      </c>
      <c r="N124" s="16">
        <v>65.6</v>
      </c>
      <c r="O124" s="16">
        <v>-30.1</v>
      </c>
      <c r="P124" s="16">
        <v>-0.79</v>
      </c>
      <c r="Q124" s="18">
        <v>35551.0</v>
      </c>
      <c r="R124" s="19" t="s">
        <v>1850</v>
      </c>
      <c r="S124" s="19" t="s">
        <v>1851</v>
      </c>
      <c r="T124" s="21"/>
    </row>
    <row r="125">
      <c r="A125" s="14">
        <v>14.0</v>
      </c>
      <c r="B125" s="15" t="s">
        <v>1852</v>
      </c>
      <c r="C125" s="16">
        <v>2020.0</v>
      </c>
      <c r="D125" s="16">
        <v>38.0</v>
      </c>
      <c r="E125" s="16">
        <v>11.0</v>
      </c>
      <c r="F125" s="16">
        <v>10.0</v>
      </c>
      <c r="G125" s="16">
        <v>17.0</v>
      </c>
      <c r="H125" s="16">
        <v>31.0</v>
      </c>
      <c r="I125" s="16">
        <v>50.0</v>
      </c>
      <c r="J125" s="16">
        <v>-19.0</v>
      </c>
      <c r="K125" s="16">
        <v>43.0</v>
      </c>
      <c r="L125" s="16">
        <v>1.13</v>
      </c>
      <c r="M125" s="16">
        <v>35.8</v>
      </c>
      <c r="N125" s="16">
        <v>57.0</v>
      </c>
      <c r="O125" s="16">
        <v>-21.2</v>
      </c>
      <c r="P125" s="16">
        <v>-0.56</v>
      </c>
      <c r="Q125" s="18">
        <v>19784.0</v>
      </c>
      <c r="R125" s="19" t="s">
        <v>1853</v>
      </c>
      <c r="S125" s="19" t="s">
        <v>1854</v>
      </c>
      <c r="T125" s="21"/>
    </row>
    <row r="126">
      <c r="A126" s="14">
        <v>15.0</v>
      </c>
      <c r="B126" s="15" t="s">
        <v>1855</v>
      </c>
      <c r="C126" s="16">
        <v>2020.0</v>
      </c>
      <c r="D126" s="16">
        <v>38.0</v>
      </c>
      <c r="E126" s="16">
        <v>9.0</v>
      </c>
      <c r="F126" s="16">
        <v>14.0</v>
      </c>
      <c r="G126" s="16">
        <v>15.0</v>
      </c>
      <c r="H126" s="16">
        <v>39.0</v>
      </c>
      <c r="I126" s="16">
        <v>54.0</v>
      </c>
      <c r="J126" s="16">
        <v>-15.0</v>
      </c>
      <c r="K126" s="16">
        <v>41.0</v>
      </c>
      <c r="L126" s="16">
        <v>1.08</v>
      </c>
      <c r="M126" s="16">
        <v>45.4</v>
      </c>
      <c r="N126" s="16">
        <v>55.0</v>
      </c>
      <c r="O126" s="16">
        <v>-9.5</v>
      </c>
      <c r="P126" s="16">
        <v>-0.25</v>
      </c>
      <c r="Q126" s="18">
        <v>22369.0</v>
      </c>
      <c r="R126" s="19" t="s">
        <v>1856</v>
      </c>
      <c r="S126" s="19" t="s">
        <v>1857</v>
      </c>
      <c r="T126" s="21"/>
    </row>
    <row r="127">
      <c r="A127" s="14">
        <v>16.0</v>
      </c>
      <c r="B127" s="15" t="s">
        <v>1858</v>
      </c>
      <c r="C127" s="16">
        <v>2020.0</v>
      </c>
      <c r="D127" s="16">
        <v>38.0</v>
      </c>
      <c r="E127" s="16">
        <v>10.0</v>
      </c>
      <c r="F127" s="16">
        <v>9.0</v>
      </c>
      <c r="G127" s="16">
        <v>19.0</v>
      </c>
      <c r="H127" s="16">
        <v>49.0</v>
      </c>
      <c r="I127" s="16">
        <v>62.0</v>
      </c>
      <c r="J127" s="16">
        <v>-13.0</v>
      </c>
      <c r="K127" s="16">
        <v>39.0</v>
      </c>
      <c r="L127" s="16">
        <v>1.03</v>
      </c>
      <c r="M127" s="16">
        <v>48.6</v>
      </c>
      <c r="N127" s="16">
        <v>63.8</v>
      </c>
      <c r="O127" s="16">
        <v>-15.2</v>
      </c>
      <c r="P127" s="16">
        <v>-0.4</v>
      </c>
      <c r="Q127" s="18">
        <v>44155.0</v>
      </c>
      <c r="R127" s="19" t="s">
        <v>1859</v>
      </c>
      <c r="S127" s="19" t="s">
        <v>1860</v>
      </c>
      <c r="T127" s="21"/>
    </row>
    <row r="128">
      <c r="A128" s="14">
        <v>17.0</v>
      </c>
      <c r="B128" s="15" t="s">
        <v>1861</v>
      </c>
      <c r="C128" s="16">
        <v>2020.0</v>
      </c>
      <c r="D128" s="16">
        <v>38.0</v>
      </c>
      <c r="E128" s="16">
        <v>9.0</v>
      </c>
      <c r="F128" s="16">
        <v>8.0</v>
      </c>
      <c r="G128" s="16">
        <v>21.0</v>
      </c>
      <c r="H128" s="16">
        <v>41.0</v>
      </c>
      <c r="I128" s="16">
        <v>67.0</v>
      </c>
      <c r="J128" s="16">
        <v>-26.0</v>
      </c>
      <c r="K128" s="16">
        <v>35.0</v>
      </c>
      <c r="L128" s="16">
        <v>0.92</v>
      </c>
      <c r="M128" s="16">
        <v>44.3</v>
      </c>
      <c r="N128" s="16">
        <v>67.8</v>
      </c>
      <c r="O128" s="16">
        <v>-23.5</v>
      </c>
      <c r="P128" s="16">
        <v>-0.62</v>
      </c>
      <c r="Q128" s="18">
        <v>28505.0</v>
      </c>
      <c r="R128" s="19" t="s">
        <v>1862</v>
      </c>
      <c r="S128" s="19" t="s">
        <v>1863</v>
      </c>
      <c r="T128" s="21"/>
    </row>
    <row r="129">
      <c r="A129" s="22">
        <v>18.0</v>
      </c>
      <c r="B129" s="15" t="s">
        <v>1864</v>
      </c>
      <c r="C129" s="16">
        <v>2020.0</v>
      </c>
      <c r="D129" s="16">
        <v>38.0</v>
      </c>
      <c r="E129" s="16">
        <v>9.0</v>
      </c>
      <c r="F129" s="16">
        <v>7.0</v>
      </c>
      <c r="G129" s="16">
        <v>22.0</v>
      </c>
      <c r="H129" s="16">
        <v>40.0</v>
      </c>
      <c r="I129" s="16">
        <v>65.0</v>
      </c>
      <c r="J129" s="16">
        <v>-25.0</v>
      </c>
      <c r="K129" s="16">
        <v>34.0</v>
      </c>
      <c r="L129" s="16">
        <v>0.89</v>
      </c>
      <c r="M129" s="16">
        <v>44.8</v>
      </c>
      <c r="N129" s="16">
        <v>62.3</v>
      </c>
      <c r="O129" s="16">
        <v>-17.5</v>
      </c>
      <c r="P129" s="16">
        <v>-0.46</v>
      </c>
      <c r="Q129" s="18">
        <v>7745.0</v>
      </c>
      <c r="R129" s="19" t="s">
        <v>1865</v>
      </c>
      <c r="S129" s="19" t="s">
        <v>1866</v>
      </c>
      <c r="T129" s="20" t="s">
        <v>905</v>
      </c>
    </row>
    <row r="130">
      <c r="A130" s="22">
        <v>19.0</v>
      </c>
      <c r="B130" s="15" t="s">
        <v>1867</v>
      </c>
      <c r="C130" s="16">
        <v>2020.0</v>
      </c>
      <c r="D130" s="16">
        <v>38.0</v>
      </c>
      <c r="E130" s="16">
        <v>8.0</v>
      </c>
      <c r="F130" s="16">
        <v>10.0</v>
      </c>
      <c r="G130" s="16">
        <v>20.0</v>
      </c>
      <c r="H130" s="16">
        <v>36.0</v>
      </c>
      <c r="I130" s="16">
        <v>64.0</v>
      </c>
      <c r="J130" s="16">
        <v>-28.0</v>
      </c>
      <c r="K130" s="16">
        <v>34.0</v>
      </c>
      <c r="L130" s="16">
        <v>0.89</v>
      </c>
      <c r="M130" s="16">
        <v>48.9</v>
      </c>
      <c r="N130" s="16">
        <v>58.1</v>
      </c>
      <c r="O130" s="16">
        <v>-9.3</v>
      </c>
      <c r="P130" s="16">
        <v>-0.24</v>
      </c>
      <c r="Q130" s="18">
        <v>15353.0</v>
      </c>
      <c r="R130" s="19" t="s">
        <v>1868</v>
      </c>
      <c r="S130" s="19" t="s">
        <v>1869</v>
      </c>
      <c r="T130" s="20" t="s">
        <v>905</v>
      </c>
    </row>
    <row r="131">
      <c r="A131" s="23">
        <v>20.0</v>
      </c>
      <c r="B131" s="24" t="s">
        <v>1870</v>
      </c>
      <c r="C131" s="16">
        <v>2020.0</v>
      </c>
      <c r="D131" s="25">
        <v>38.0</v>
      </c>
      <c r="E131" s="25">
        <v>5.0</v>
      </c>
      <c r="F131" s="25">
        <v>6.0</v>
      </c>
      <c r="G131" s="25">
        <v>27.0</v>
      </c>
      <c r="H131" s="25">
        <v>26.0</v>
      </c>
      <c r="I131" s="25">
        <v>75.0</v>
      </c>
      <c r="J131" s="25">
        <v>-49.0</v>
      </c>
      <c r="K131" s="25">
        <v>21.0</v>
      </c>
      <c r="L131" s="25">
        <v>0.55</v>
      </c>
      <c r="M131" s="25">
        <v>37.0</v>
      </c>
      <c r="N131" s="25">
        <v>66.5</v>
      </c>
      <c r="O131" s="25">
        <v>-29.5</v>
      </c>
      <c r="P131" s="25">
        <v>-0.78</v>
      </c>
      <c r="Q131" s="26">
        <v>19913.0</v>
      </c>
      <c r="R131" s="27" t="s">
        <v>1871</v>
      </c>
      <c r="S131" s="27" t="s">
        <v>1872</v>
      </c>
      <c r="T131" s="28" t="s">
        <v>1873</v>
      </c>
    </row>
    <row r="133">
      <c r="A133" s="12" t="s">
        <v>831</v>
      </c>
      <c r="B133" s="13" t="s">
        <v>832</v>
      </c>
      <c r="C133" s="13" t="s">
        <v>3</v>
      </c>
      <c r="D133" s="13" t="s">
        <v>833</v>
      </c>
      <c r="E133" s="13" t="s">
        <v>834</v>
      </c>
      <c r="F133" s="13" t="s">
        <v>835</v>
      </c>
      <c r="G133" s="13" t="s">
        <v>836</v>
      </c>
      <c r="H133" s="13" t="s">
        <v>837</v>
      </c>
      <c r="I133" s="13" t="s">
        <v>838</v>
      </c>
      <c r="J133" s="13" t="s">
        <v>839</v>
      </c>
      <c r="K133" s="13" t="s">
        <v>840</v>
      </c>
      <c r="L133" s="13" t="s">
        <v>841</v>
      </c>
      <c r="M133" s="13" t="s">
        <v>842</v>
      </c>
      <c r="N133" s="13" t="s">
        <v>843</v>
      </c>
      <c r="O133" s="13" t="s">
        <v>844</v>
      </c>
      <c r="P133" s="13" t="s">
        <v>845</v>
      </c>
      <c r="Q133" s="13" t="s">
        <v>846</v>
      </c>
      <c r="R133" s="13" t="s">
        <v>847</v>
      </c>
      <c r="S133" s="13" t="s">
        <v>848</v>
      </c>
      <c r="T133" s="13" t="s">
        <v>849</v>
      </c>
    </row>
    <row r="134">
      <c r="A134" s="14">
        <v>1.0</v>
      </c>
      <c r="B134" s="15" t="s">
        <v>1874</v>
      </c>
      <c r="C134" s="16">
        <v>2019.0</v>
      </c>
      <c r="D134" s="16">
        <v>38.0</v>
      </c>
      <c r="E134" s="16">
        <v>32.0</v>
      </c>
      <c r="F134" s="16">
        <v>2.0</v>
      </c>
      <c r="G134" s="16">
        <v>4.0</v>
      </c>
      <c r="H134" s="16">
        <v>95.0</v>
      </c>
      <c r="I134" s="16">
        <v>23.0</v>
      </c>
      <c r="J134" s="17">
        <f>+72</f>
        <v>72</v>
      </c>
      <c r="K134" s="16">
        <v>98.0</v>
      </c>
      <c r="L134" s="16">
        <v>2.58</v>
      </c>
      <c r="M134" s="16">
        <v>84.3</v>
      </c>
      <c r="N134" s="16">
        <v>24.7</v>
      </c>
      <c r="O134" s="17">
        <f>+59.6</f>
        <v>59.6</v>
      </c>
      <c r="P134" s="17">
        <f>+1.57</f>
        <v>1.57</v>
      </c>
      <c r="Q134" s="18">
        <v>54130.0</v>
      </c>
      <c r="R134" s="19" t="s">
        <v>1875</v>
      </c>
      <c r="S134" s="19" t="s">
        <v>1876</v>
      </c>
      <c r="T134" s="20" t="s">
        <v>853</v>
      </c>
    </row>
    <row r="135">
      <c r="A135" s="14">
        <v>2.0</v>
      </c>
      <c r="B135" s="15" t="s">
        <v>1877</v>
      </c>
      <c r="C135" s="16">
        <v>2019.0</v>
      </c>
      <c r="D135" s="16">
        <v>38.0</v>
      </c>
      <c r="E135" s="16">
        <v>30.0</v>
      </c>
      <c r="F135" s="16">
        <v>7.0</v>
      </c>
      <c r="G135" s="16">
        <v>1.0</v>
      </c>
      <c r="H135" s="16">
        <v>89.0</v>
      </c>
      <c r="I135" s="16">
        <v>22.0</v>
      </c>
      <c r="J135" s="17">
        <f>+67</f>
        <v>67</v>
      </c>
      <c r="K135" s="16">
        <v>97.0</v>
      </c>
      <c r="L135" s="16">
        <v>2.55</v>
      </c>
      <c r="M135" s="16">
        <v>73.7</v>
      </c>
      <c r="N135" s="16">
        <v>28.8</v>
      </c>
      <c r="O135" s="17">
        <f>+44.9</f>
        <v>44.9</v>
      </c>
      <c r="P135" s="17">
        <f>+1.18</f>
        <v>1.18</v>
      </c>
      <c r="Q135" s="18">
        <v>52983.0</v>
      </c>
      <c r="R135" s="19" t="s">
        <v>1878</v>
      </c>
      <c r="S135" s="19" t="s">
        <v>1879</v>
      </c>
      <c r="T135" s="20" t="s">
        <v>853</v>
      </c>
    </row>
    <row r="136">
      <c r="A136" s="14">
        <v>3.0</v>
      </c>
      <c r="B136" s="15" t="s">
        <v>1880</v>
      </c>
      <c r="C136" s="16">
        <v>2019.0</v>
      </c>
      <c r="D136" s="16">
        <v>38.0</v>
      </c>
      <c r="E136" s="16">
        <v>21.0</v>
      </c>
      <c r="F136" s="16">
        <v>9.0</v>
      </c>
      <c r="G136" s="16">
        <v>8.0</v>
      </c>
      <c r="H136" s="16">
        <v>63.0</v>
      </c>
      <c r="I136" s="16">
        <v>39.0</v>
      </c>
      <c r="J136" s="17">
        <f>+24</f>
        <v>24</v>
      </c>
      <c r="K136" s="16">
        <v>72.0</v>
      </c>
      <c r="L136" s="16">
        <v>1.89</v>
      </c>
      <c r="M136" s="16">
        <v>58.6</v>
      </c>
      <c r="N136" s="16">
        <v>36.4</v>
      </c>
      <c r="O136" s="17">
        <f>+22.2</f>
        <v>22.2</v>
      </c>
      <c r="P136" s="17">
        <f>+0.58</f>
        <v>0.58</v>
      </c>
      <c r="Q136" s="18">
        <v>40437.0</v>
      </c>
      <c r="R136" s="19" t="s">
        <v>1881</v>
      </c>
      <c r="S136" s="19" t="s">
        <v>1882</v>
      </c>
      <c r="T136" s="20" t="s">
        <v>853</v>
      </c>
    </row>
    <row r="137">
      <c r="A137" s="14">
        <v>4.0</v>
      </c>
      <c r="B137" s="15" t="s">
        <v>1883</v>
      </c>
      <c r="C137" s="16">
        <v>2019.0</v>
      </c>
      <c r="D137" s="16">
        <v>38.0</v>
      </c>
      <c r="E137" s="16">
        <v>23.0</v>
      </c>
      <c r="F137" s="16">
        <v>2.0</v>
      </c>
      <c r="G137" s="16">
        <v>13.0</v>
      </c>
      <c r="H137" s="16">
        <v>67.0</v>
      </c>
      <c r="I137" s="16">
        <v>39.0</v>
      </c>
      <c r="J137" s="17">
        <f>+28</f>
        <v>28</v>
      </c>
      <c r="K137" s="16">
        <v>71.0</v>
      </c>
      <c r="L137" s="16">
        <v>1.87</v>
      </c>
      <c r="M137" s="16">
        <v>54.9</v>
      </c>
      <c r="N137" s="16">
        <v>47.1</v>
      </c>
      <c r="O137" s="17">
        <f>+7.8</f>
        <v>7.8</v>
      </c>
      <c r="P137" s="17">
        <f>+0.2</f>
        <v>0.2</v>
      </c>
      <c r="Q137" s="18">
        <v>54216.0</v>
      </c>
      <c r="R137" s="19" t="s">
        <v>1884</v>
      </c>
      <c r="S137" s="19" t="s">
        <v>1885</v>
      </c>
      <c r="T137" s="20" t="s">
        <v>853</v>
      </c>
    </row>
    <row r="138">
      <c r="A138" s="14">
        <v>5.0</v>
      </c>
      <c r="B138" s="15" t="s">
        <v>1886</v>
      </c>
      <c r="C138" s="16">
        <v>2019.0</v>
      </c>
      <c r="D138" s="16">
        <v>38.0</v>
      </c>
      <c r="E138" s="16">
        <v>21.0</v>
      </c>
      <c r="F138" s="16">
        <v>7.0</v>
      </c>
      <c r="G138" s="16">
        <v>10.0</v>
      </c>
      <c r="H138" s="16">
        <v>73.0</v>
      </c>
      <c r="I138" s="16">
        <v>51.0</v>
      </c>
      <c r="J138" s="17">
        <f>+22</f>
        <v>22</v>
      </c>
      <c r="K138" s="16">
        <v>70.0</v>
      </c>
      <c r="L138" s="16">
        <v>1.84</v>
      </c>
      <c r="M138" s="16">
        <v>60.1</v>
      </c>
      <c r="N138" s="16">
        <v>54.2</v>
      </c>
      <c r="O138" s="17">
        <f>+5.8</f>
        <v>5.8</v>
      </c>
      <c r="P138" s="17">
        <f>+0.15</f>
        <v>0.15</v>
      </c>
      <c r="Q138" s="18">
        <v>59899.0</v>
      </c>
      <c r="R138" s="19" t="s">
        <v>1887</v>
      </c>
      <c r="S138" s="19" t="s">
        <v>1888</v>
      </c>
      <c r="T138" s="20" t="s">
        <v>866</v>
      </c>
    </row>
    <row r="139">
      <c r="A139" s="14">
        <v>6.0</v>
      </c>
      <c r="B139" s="15" t="s">
        <v>1889</v>
      </c>
      <c r="C139" s="16">
        <v>2019.0</v>
      </c>
      <c r="D139" s="16">
        <v>38.0</v>
      </c>
      <c r="E139" s="16">
        <v>19.0</v>
      </c>
      <c r="F139" s="16">
        <v>9.0</v>
      </c>
      <c r="G139" s="16">
        <v>10.0</v>
      </c>
      <c r="H139" s="16">
        <v>65.0</v>
      </c>
      <c r="I139" s="16">
        <v>54.0</v>
      </c>
      <c r="J139" s="17">
        <f>+11</f>
        <v>11</v>
      </c>
      <c r="K139" s="16">
        <v>66.0</v>
      </c>
      <c r="L139" s="16">
        <v>1.74</v>
      </c>
      <c r="M139" s="16">
        <v>61.4</v>
      </c>
      <c r="N139" s="16">
        <v>50.6</v>
      </c>
      <c r="O139" s="17">
        <f>+10.8</f>
        <v>10.8</v>
      </c>
      <c r="P139" s="17">
        <f>+0.29</f>
        <v>0.29</v>
      </c>
      <c r="Q139" s="18">
        <v>74498.0</v>
      </c>
      <c r="R139" s="19" t="s">
        <v>1890</v>
      </c>
      <c r="S139" s="19" t="s">
        <v>1891</v>
      </c>
      <c r="T139" s="20" t="s">
        <v>1157</v>
      </c>
    </row>
    <row r="140">
      <c r="A140" s="14">
        <v>7.0</v>
      </c>
      <c r="B140" s="15" t="s">
        <v>1892</v>
      </c>
      <c r="C140" s="16">
        <v>2019.0</v>
      </c>
      <c r="D140" s="16">
        <v>38.0</v>
      </c>
      <c r="E140" s="16">
        <v>16.0</v>
      </c>
      <c r="F140" s="16">
        <v>9.0</v>
      </c>
      <c r="G140" s="16">
        <v>13.0</v>
      </c>
      <c r="H140" s="16">
        <v>47.0</v>
      </c>
      <c r="I140" s="16">
        <v>46.0</v>
      </c>
      <c r="J140" s="17">
        <f>+1</f>
        <v>1</v>
      </c>
      <c r="K140" s="16">
        <v>57.0</v>
      </c>
      <c r="L140" s="16">
        <v>1.5</v>
      </c>
      <c r="M140" s="16">
        <v>52.1</v>
      </c>
      <c r="N140" s="16">
        <v>42.1</v>
      </c>
      <c r="O140" s="17">
        <f>+10.1</f>
        <v>10.1</v>
      </c>
      <c r="P140" s="17">
        <f>+0.26</f>
        <v>0.26</v>
      </c>
      <c r="Q140" s="18">
        <v>31030.0</v>
      </c>
      <c r="R140" s="19" t="s">
        <v>1893</v>
      </c>
      <c r="S140" s="19" t="s">
        <v>1894</v>
      </c>
      <c r="T140" s="20" t="s">
        <v>866</v>
      </c>
    </row>
    <row r="141">
      <c r="A141" s="14">
        <v>8.0</v>
      </c>
      <c r="B141" s="15" t="s">
        <v>1895</v>
      </c>
      <c r="C141" s="16">
        <v>2019.0</v>
      </c>
      <c r="D141" s="16">
        <v>38.0</v>
      </c>
      <c r="E141" s="16">
        <v>15.0</v>
      </c>
      <c r="F141" s="16">
        <v>9.0</v>
      </c>
      <c r="G141" s="16">
        <v>14.0</v>
      </c>
      <c r="H141" s="16">
        <v>54.0</v>
      </c>
      <c r="I141" s="16">
        <v>46.0</v>
      </c>
      <c r="J141" s="17">
        <f>+8</f>
        <v>8</v>
      </c>
      <c r="K141" s="16">
        <v>54.0</v>
      </c>
      <c r="L141" s="16">
        <v>1.42</v>
      </c>
      <c r="M141" s="16">
        <v>49.7</v>
      </c>
      <c r="N141" s="16">
        <v>45.7</v>
      </c>
      <c r="O141" s="17">
        <f>+4</f>
        <v>4</v>
      </c>
      <c r="P141" s="17">
        <f>+0.1</f>
        <v>0.1</v>
      </c>
      <c r="Q141" s="18">
        <v>39043.0</v>
      </c>
      <c r="R141" s="19" t="s">
        <v>1896</v>
      </c>
      <c r="S141" s="19" t="s">
        <v>1897</v>
      </c>
      <c r="T141" s="21"/>
    </row>
    <row r="142">
      <c r="A142" s="14">
        <v>9.0</v>
      </c>
      <c r="B142" s="15" t="s">
        <v>1898</v>
      </c>
      <c r="C142" s="16">
        <v>2019.0</v>
      </c>
      <c r="D142" s="16">
        <v>38.0</v>
      </c>
      <c r="E142" s="16">
        <v>15.0</v>
      </c>
      <c r="F142" s="16">
        <v>7.0</v>
      </c>
      <c r="G142" s="16">
        <v>16.0</v>
      </c>
      <c r="H142" s="16">
        <v>51.0</v>
      </c>
      <c r="I142" s="16">
        <v>48.0</v>
      </c>
      <c r="J142" s="17">
        <f>+3</f>
        <v>3</v>
      </c>
      <c r="K142" s="16">
        <v>52.0</v>
      </c>
      <c r="L142" s="16">
        <v>1.37</v>
      </c>
      <c r="M142" s="16">
        <v>52.4</v>
      </c>
      <c r="N142" s="16">
        <v>43.7</v>
      </c>
      <c r="O142" s="17">
        <f>+8.7</f>
        <v>8.7</v>
      </c>
      <c r="P142" s="17">
        <f>+0.23</f>
        <v>0.23</v>
      </c>
      <c r="Q142" s="18">
        <v>31851.0</v>
      </c>
      <c r="R142" s="19" t="s">
        <v>1899</v>
      </c>
      <c r="S142" s="19" t="s">
        <v>1900</v>
      </c>
      <c r="T142" s="21"/>
    </row>
    <row r="143">
      <c r="A143" s="14">
        <v>10.0</v>
      </c>
      <c r="B143" s="15" t="s">
        <v>1901</v>
      </c>
      <c r="C143" s="16">
        <v>2019.0</v>
      </c>
      <c r="D143" s="16">
        <v>38.0</v>
      </c>
      <c r="E143" s="16">
        <v>15.0</v>
      </c>
      <c r="F143" s="16">
        <v>7.0</v>
      </c>
      <c r="G143" s="16">
        <v>16.0</v>
      </c>
      <c r="H143" s="16">
        <v>52.0</v>
      </c>
      <c r="I143" s="16">
        <v>55.0</v>
      </c>
      <c r="J143" s="16">
        <v>-3.0</v>
      </c>
      <c r="K143" s="16">
        <v>52.0</v>
      </c>
      <c r="L143" s="16">
        <v>1.37</v>
      </c>
      <c r="M143" s="16">
        <v>47.6</v>
      </c>
      <c r="N143" s="16">
        <v>61.9</v>
      </c>
      <c r="O143" s="16">
        <v>-14.3</v>
      </c>
      <c r="P143" s="16">
        <v>-0.38</v>
      </c>
      <c r="Q143" s="18">
        <v>58336.0</v>
      </c>
      <c r="R143" s="19" t="s">
        <v>1902</v>
      </c>
      <c r="S143" s="19" t="s">
        <v>1903</v>
      </c>
      <c r="T143" s="21"/>
    </row>
    <row r="144">
      <c r="A144" s="14">
        <v>11.0</v>
      </c>
      <c r="B144" s="15" t="s">
        <v>1904</v>
      </c>
      <c r="C144" s="16">
        <v>2019.0</v>
      </c>
      <c r="D144" s="16">
        <v>38.0</v>
      </c>
      <c r="E144" s="16">
        <v>14.0</v>
      </c>
      <c r="F144" s="16">
        <v>8.0</v>
      </c>
      <c r="G144" s="16">
        <v>16.0</v>
      </c>
      <c r="H144" s="16">
        <v>52.0</v>
      </c>
      <c r="I144" s="16">
        <v>59.0</v>
      </c>
      <c r="J144" s="16">
        <v>-7.0</v>
      </c>
      <c r="K144" s="16">
        <v>50.0</v>
      </c>
      <c r="L144" s="16">
        <v>1.32</v>
      </c>
      <c r="M144" s="16">
        <v>48.2</v>
      </c>
      <c r="N144" s="16">
        <v>59.2</v>
      </c>
      <c r="O144" s="16">
        <v>-11.0</v>
      </c>
      <c r="P144" s="16">
        <v>-0.29</v>
      </c>
      <c r="Q144" s="18">
        <v>20016.0</v>
      </c>
      <c r="R144" s="19" t="s">
        <v>1905</v>
      </c>
      <c r="S144" s="19" t="s">
        <v>1906</v>
      </c>
      <c r="T144" s="21"/>
    </row>
    <row r="145">
      <c r="A145" s="14">
        <v>12.0</v>
      </c>
      <c r="B145" s="15" t="s">
        <v>1907</v>
      </c>
      <c r="C145" s="16">
        <v>2019.0</v>
      </c>
      <c r="D145" s="16">
        <v>38.0</v>
      </c>
      <c r="E145" s="16">
        <v>14.0</v>
      </c>
      <c r="F145" s="16">
        <v>7.0</v>
      </c>
      <c r="G145" s="16">
        <v>17.0</v>
      </c>
      <c r="H145" s="16">
        <v>51.0</v>
      </c>
      <c r="I145" s="16">
        <v>53.0</v>
      </c>
      <c r="J145" s="16">
        <v>-2.0</v>
      </c>
      <c r="K145" s="16">
        <v>49.0</v>
      </c>
      <c r="L145" s="16">
        <v>1.29</v>
      </c>
      <c r="M145" s="16">
        <v>47.6</v>
      </c>
      <c r="N145" s="16">
        <v>50.1</v>
      </c>
      <c r="O145" s="16">
        <v>-2.5</v>
      </c>
      <c r="P145" s="16">
        <v>-0.07</v>
      </c>
      <c r="Q145" s="18">
        <v>25455.0</v>
      </c>
      <c r="R145" s="19" t="s">
        <v>1908</v>
      </c>
      <c r="S145" s="19" t="s">
        <v>1909</v>
      </c>
      <c r="T145" s="21"/>
    </row>
    <row r="146">
      <c r="A146" s="14">
        <v>13.0</v>
      </c>
      <c r="B146" s="15" t="s">
        <v>1910</v>
      </c>
      <c r="C146" s="16">
        <v>2019.0</v>
      </c>
      <c r="D146" s="16">
        <v>38.0</v>
      </c>
      <c r="E146" s="16">
        <v>12.0</v>
      </c>
      <c r="F146" s="16">
        <v>9.0</v>
      </c>
      <c r="G146" s="16">
        <v>17.0</v>
      </c>
      <c r="H146" s="16">
        <v>42.0</v>
      </c>
      <c r="I146" s="16">
        <v>48.0</v>
      </c>
      <c r="J146" s="16">
        <v>-6.0</v>
      </c>
      <c r="K146" s="16">
        <v>45.0</v>
      </c>
      <c r="L146" s="16">
        <v>1.18</v>
      </c>
      <c r="M146" s="16">
        <v>39.1</v>
      </c>
      <c r="N146" s="16">
        <v>53.6</v>
      </c>
      <c r="O146" s="16">
        <v>-14.5</v>
      </c>
      <c r="P146" s="16">
        <v>-0.38</v>
      </c>
      <c r="Q146" s="18">
        <v>51121.0</v>
      </c>
      <c r="R146" s="19" t="s">
        <v>1911</v>
      </c>
      <c r="S146" s="19" t="s">
        <v>1912</v>
      </c>
      <c r="T146" s="21"/>
    </row>
    <row r="147">
      <c r="A147" s="14">
        <v>14.0</v>
      </c>
      <c r="B147" s="15" t="s">
        <v>1913</v>
      </c>
      <c r="C147" s="16">
        <v>2019.0</v>
      </c>
      <c r="D147" s="16">
        <v>38.0</v>
      </c>
      <c r="E147" s="16">
        <v>13.0</v>
      </c>
      <c r="F147" s="16">
        <v>6.0</v>
      </c>
      <c r="G147" s="16">
        <v>19.0</v>
      </c>
      <c r="H147" s="16">
        <v>56.0</v>
      </c>
      <c r="I147" s="16">
        <v>70.0</v>
      </c>
      <c r="J147" s="16">
        <v>-14.0</v>
      </c>
      <c r="K147" s="16">
        <v>45.0</v>
      </c>
      <c r="L147" s="16">
        <v>1.18</v>
      </c>
      <c r="M147" s="16">
        <v>53.3</v>
      </c>
      <c r="N147" s="16">
        <v>57.2</v>
      </c>
      <c r="O147" s="16">
        <v>-3.9</v>
      </c>
      <c r="P147" s="16">
        <v>-0.1</v>
      </c>
      <c r="Q147" s="18">
        <v>10532.0</v>
      </c>
      <c r="R147" s="19" t="s">
        <v>1914</v>
      </c>
      <c r="S147" s="19" t="s">
        <v>1915</v>
      </c>
      <c r="T147" s="21"/>
    </row>
    <row r="148">
      <c r="A148" s="14">
        <v>15.0</v>
      </c>
      <c r="B148" s="15" t="s">
        <v>1916</v>
      </c>
      <c r="C148" s="16">
        <v>2019.0</v>
      </c>
      <c r="D148" s="16">
        <v>38.0</v>
      </c>
      <c r="E148" s="16">
        <v>11.0</v>
      </c>
      <c r="F148" s="16">
        <v>7.0</v>
      </c>
      <c r="G148" s="16">
        <v>20.0</v>
      </c>
      <c r="H148" s="16">
        <v>45.0</v>
      </c>
      <c r="I148" s="16">
        <v>68.0</v>
      </c>
      <c r="J148" s="16">
        <v>-23.0</v>
      </c>
      <c r="K148" s="16">
        <v>40.0</v>
      </c>
      <c r="L148" s="16">
        <v>1.05</v>
      </c>
      <c r="M148" s="16">
        <v>44.4</v>
      </c>
      <c r="N148" s="16">
        <v>62.1</v>
      </c>
      <c r="O148" s="16">
        <v>-17.7</v>
      </c>
      <c r="P148" s="16">
        <v>-0.46</v>
      </c>
      <c r="Q148" s="18">
        <v>20534.0</v>
      </c>
      <c r="R148" s="19" t="s">
        <v>1917</v>
      </c>
      <c r="S148" s="19" t="s">
        <v>1918</v>
      </c>
      <c r="T148" s="21"/>
    </row>
    <row r="149">
      <c r="A149" s="14">
        <v>16.0</v>
      </c>
      <c r="B149" s="15" t="s">
        <v>1919</v>
      </c>
      <c r="C149" s="16">
        <v>2019.0</v>
      </c>
      <c r="D149" s="16">
        <v>38.0</v>
      </c>
      <c r="E149" s="16">
        <v>9.0</v>
      </c>
      <c r="F149" s="16">
        <v>12.0</v>
      </c>
      <c r="G149" s="16">
        <v>17.0</v>
      </c>
      <c r="H149" s="16">
        <v>45.0</v>
      </c>
      <c r="I149" s="16">
        <v>65.0</v>
      </c>
      <c r="J149" s="16">
        <v>-20.0</v>
      </c>
      <c r="K149" s="16">
        <v>39.0</v>
      </c>
      <c r="L149" s="16">
        <v>1.03</v>
      </c>
      <c r="M149" s="16">
        <v>46.9</v>
      </c>
      <c r="N149" s="16">
        <v>55.1</v>
      </c>
      <c r="O149" s="16">
        <v>-8.2</v>
      </c>
      <c r="P149" s="16">
        <v>-0.22</v>
      </c>
      <c r="Q149" s="18">
        <v>30139.0</v>
      </c>
      <c r="R149" s="19" t="s">
        <v>1920</v>
      </c>
      <c r="S149" s="19" t="s">
        <v>1921</v>
      </c>
      <c r="T149" s="21"/>
    </row>
    <row r="150">
      <c r="A150" s="14">
        <v>17.0</v>
      </c>
      <c r="B150" s="15" t="s">
        <v>1922</v>
      </c>
      <c r="C150" s="16">
        <v>2019.0</v>
      </c>
      <c r="D150" s="16">
        <v>38.0</v>
      </c>
      <c r="E150" s="16">
        <v>9.0</v>
      </c>
      <c r="F150" s="16">
        <v>9.0</v>
      </c>
      <c r="G150" s="16">
        <v>20.0</v>
      </c>
      <c r="H150" s="16">
        <v>35.0</v>
      </c>
      <c r="I150" s="16">
        <v>60.0</v>
      </c>
      <c r="J150" s="16">
        <v>-25.0</v>
      </c>
      <c r="K150" s="16">
        <v>36.0</v>
      </c>
      <c r="L150" s="16">
        <v>0.95</v>
      </c>
      <c r="M150" s="16">
        <v>35.3</v>
      </c>
      <c r="N150" s="16">
        <v>59.1</v>
      </c>
      <c r="O150" s="16">
        <v>-23.8</v>
      </c>
      <c r="P150" s="16">
        <v>-0.63</v>
      </c>
      <c r="Q150" s="18">
        <v>30426.0</v>
      </c>
      <c r="R150" s="19" t="s">
        <v>1923</v>
      </c>
      <c r="S150" s="19" t="s">
        <v>1924</v>
      </c>
      <c r="T150" s="21"/>
    </row>
    <row r="151">
      <c r="A151" s="22">
        <v>18.0</v>
      </c>
      <c r="B151" s="15" t="s">
        <v>1925</v>
      </c>
      <c r="C151" s="16">
        <v>2019.0</v>
      </c>
      <c r="D151" s="16">
        <v>38.0</v>
      </c>
      <c r="E151" s="16">
        <v>10.0</v>
      </c>
      <c r="F151" s="16">
        <v>4.0</v>
      </c>
      <c r="G151" s="16">
        <v>24.0</v>
      </c>
      <c r="H151" s="16">
        <v>34.0</v>
      </c>
      <c r="I151" s="16">
        <v>69.0</v>
      </c>
      <c r="J151" s="16">
        <v>-35.0</v>
      </c>
      <c r="K151" s="16">
        <v>34.0</v>
      </c>
      <c r="L151" s="16">
        <v>0.89</v>
      </c>
      <c r="M151" s="16">
        <v>42.4</v>
      </c>
      <c r="N151" s="16">
        <v>61.5</v>
      </c>
      <c r="O151" s="16">
        <v>-19.1</v>
      </c>
      <c r="P151" s="16">
        <v>-0.5</v>
      </c>
      <c r="Q151" s="18">
        <v>31408.0</v>
      </c>
      <c r="R151" s="19" t="s">
        <v>1926</v>
      </c>
      <c r="S151" s="19" t="s">
        <v>1927</v>
      </c>
      <c r="T151" s="20" t="s">
        <v>905</v>
      </c>
    </row>
    <row r="152">
      <c r="A152" s="22">
        <v>19.0</v>
      </c>
      <c r="B152" s="15" t="s">
        <v>1928</v>
      </c>
      <c r="C152" s="16">
        <v>2019.0</v>
      </c>
      <c r="D152" s="16">
        <v>38.0</v>
      </c>
      <c r="E152" s="16">
        <v>7.0</v>
      </c>
      <c r="F152" s="16">
        <v>5.0</v>
      </c>
      <c r="G152" s="16">
        <v>26.0</v>
      </c>
      <c r="H152" s="16">
        <v>34.0</v>
      </c>
      <c r="I152" s="16">
        <v>81.0</v>
      </c>
      <c r="J152" s="16">
        <v>-47.0</v>
      </c>
      <c r="K152" s="16">
        <v>26.0</v>
      </c>
      <c r="L152" s="16">
        <v>0.68</v>
      </c>
      <c r="M152" s="16">
        <v>41.3</v>
      </c>
      <c r="N152" s="16">
        <v>68.2</v>
      </c>
      <c r="O152" s="16">
        <v>-26.8</v>
      </c>
      <c r="P152" s="16">
        <v>-0.71</v>
      </c>
      <c r="Q152" s="18">
        <v>24371.0</v>
      </c>
      <c r="R152" s="19" t="s">
        <v>1929</v>
      </c>
      <c r="S152" s="19" t="s">
        <v>1930</v>
      </c>
      <c r="T152" s="20" t="s">
        <v>905</v>
      </c>
    </row>
    <row r="153">
      <c r="A153" s="23">
        <v>20.0</v>
      </c>
      <c r="B153" s="24" t="s">
        <v>1931</v>
      </c>
      <c r="C153" s="16">
        <v>2019.0</v>
      </c>
      <c r="D153" s="25">
        <v>38.0</v>
      </c>
      <c r="E153" s="25">
        <v>3.0</v>
      </c>
      <c r="F153" s="25">
        <v>7.0</v>
      </c>
      <c r="G153" s="25">
        <v>28.0</v>
      </c>
      <c r="H153" s="25">
        <v>22.0</v>
      </c>
      <c r="I153" s="25">
        <v>76.0</v>
      </c>
      <c r="J153" s="25">
        <v>-54.0</v>
      </c>
      <c r="K153" s="25">
        <v>16.0</v>
      </c>
      <c r="L153" s="25">
        <v>0.42</v>
      </c>
      <c r="M153" s="25">
        <v>28.8</v>
      </c>
      <c r="N153" s="25">
        <v>60.9</v>
      </c>
      <c r="O153" s="25">
        <v>-32.2</v>
      </c>
      <c r="P153" s="25">
        <v>-0.85</v>
      </c>
      <c r="Q153" s="26">
        <v>23203.0</v>
      </c>
      <c r="R153" s="27" t="s">
        <v>1932</v>
      </c>
      <c r="S153" s="27" t="s">
        <v>1933</v>
      </c>
      <c r="T153" s="28" t="s">
        <v>905</v>
      </c>
    </row>
    <row r="154">
      <c r="A154" s="12" t="s">
        <v>831</v>
      </c>
      <c r="B154" s="13" t="s">
        <v>832</v>
      </c>
      <c r="C154" s="13" t="s">
        <v>3</v>
      </c>
      <c r="D154" s="13" t="s">
        <v>833</v>
      </c>
      <c r="E154" s="13" t="s">
        <v>834</v>
      </c>
      <c r="F154" s="13" t="s">
        <v>835</v>
      </c>
      <c r="G154" s="13" t="s">
        <v>836</v>
      </c>
      <c r="H154" s="13" t="s">
        <v>837</v>
      </c>
      <c r="I154" s="13" t="s">
        <v>838</v>
      </c>
      <c r="J154" s="13" t="s">
        <v>839</v>
      </c>
      <c r="K154" s="13" t="s">
        <v>840</v>
      </c>
      <c r="L154" s="13" t="s">
        <v>841</v>
      </c>
      <c r="M154" s="13" t="s">
        <v>842</v>
      </c>
      <c r="N154" s="13" t="s">
        <v>843</v>
      </c>
      <c r="O154" s="13" t="s">
        <v>844</v>
      </c>
      <c r="P154" s="13" t="s">
        <v>845</v>
      </c>
      <c r="Q154" s="13" t="s">
        <v>846</v>
      </c>
      <c r="R154" s="13" t="s">
        <v>847</v>
      </c>
      <c r="S154" s="13" t="s">
        <v>848</v>
      </c>
      <c r="T154" s="13" t="s">
        <v>849</v>
      </c>
    </row>
    <row r="155">
      <c r="A155" s="14">
        <v>1.0</v>
      </c>
      <c r="B155" s="15" t="s">
        <v>1934</v>
      </c>
      <c r="C155" s="16">
        <v>2018.0</v>
      </c>
      <c r="D155" s="16">
        <v>38.0</v>
      </c>
      <c r="E155" s="16">
        <v>32.0</v>
      </c>
      <c r="F155" s="16">
        <v>4.0</v>
      </c>
      <c r="G155" s="16">
        <v>2.0</v>
      </c>
      <c r="H155" s="16">
        <v>106.0</v>
      </c>
      <c r="I155" s="16">
        <v>27.0</v>
      </c>
      <c r="J155" s="17">
        <f>+79</f>
        <v>79</v>
      </c>
      <c r="K155" s="16">
        <v>100.0</v>
      </c>
      <c r="L155" s="16">
        <v>2.63</v>
      </c>
      <c r="M155" s="16">
        <v>78.6</v>
      </c>
      <c r="N155" s="16">
        <v>23.8</v>
      </c>
      <c r="O155" s="17">
        <f>+54.8</f>
        <v>54.8</v>
      </c>
      <c r="P155" s="17">
        <f>+1.44</f>
        <v>1.44</v>
      </c>
      <c r="Q155" s="18">
        <v>53812.0</v>
      </c>
      <c r="R155" s="19" t="s">
        <v>1935</v>
      </c>
      <c r="S155" s="19" t="s">
        <v>1936</v>
      </c>
      <c r="T155" s="20" t="s">
        <v>853</v>
      </c>
    </row>
    <row r="156">
      <c r="A156" s="14">
        <v>2.0</v>
      </c>
      <c r="B156" s="15" t="s">
        <v>1937</v>
      </c>
      <c r="C156" s="16">
        <v>2018.0</v>
      </c>
      <c r="D156" s="16">
        <v>38.0</v>
      </c>
      <c r="E156" s="16">
        <v>25.0</v>
      </c>
      <c r="F156" s="16">
        <v>6.0</v>
      </c>
      <c r="G156" s="16">
        <v>7.0</v>
      </c>
      <c r="H156" s="16">
        <v>68.0</v>
      </c>
      <c r="I156" s="16">
        <v>28.0</v>
      </c>
      <c r="J156" s="17">
        <f>+40</f>
        <v>40</v>
      </c>
      <c r="K156" s="16">
        <v>81.0</v>
      </c>
      <c r="L156" s="16">
        <v>2.13</v>
      </c>
      <c r="M156" s="16">
        <v>55.7</v>
      </c>
      <c r="N156" s="16">
        <v>40.7</v>
      </c>
      <c r="O156" s="17">
        <f>+15</f>
        <v>15</v>
      </c>
      <c r="P156" s="17">
        <f>+0.4</f>
        <v>0.4</v>
      </c>
      <c r="Q156" s="18">
        <v>74976.0</v>
      </c>
      <c r="R156" s="19" t="s">
        <v>1938</v>
      </c>
      <c r="S156" s="19" t="s">
        <v>1939</v>
      </c>
      <c r="T156" s="20" t="s">
        <v>853</v>
      </c>
    </row>
    <row r="157">
      <c r="A157" s="14">
        <v>3.0</v>
      </c>
      <c r="B157" s="15" t="s">
        <v>1940</v>
      </c>
      <c r="C157" s="16">
        <v>2018.0</v>
      </c>
      <c r="D157" s="16">
        <v>38.0</v>
      </c>
      <c r="E157" s="16">
        <v>23.0</v>
      </c>
      <c r="F157" s="16">
        <v>8.0</v>
      </c>
      <c r="G157" s="16">
        <v>7.0</v>
      </c>
      <c r="H157" s="16">
        <v>74.0</v>
      </c>
      <c r="I157" s="16">
        <v>36.0</v>
      </c>
      <c r="J157" s="17">
        <f>+38</f>
        <v>38</v>
      </c>
      <c r="K157" s="16">
        <v>77.0</v>
      </c>
      <c r="L157" s="16">
        <v>2.03</v>
      </c>
      <c r="M157" s="16">
        <v>64.7</v>
      </c>
      <c r="N157" s="16">
        <v>33.9</v>
      </c>
      <c r="O157" s="17">
        <f>+30.8</f>
        <v>30.8</v>
      </c>
      <c r="P157" s="17">
        <f>+0.81</f>
        <v>0.81</v>
      </c>
      <c r="Q157" s="18">
        <v>67496.0</v>
      </c>
      <c r="R157" s="19" t="s">
        <v>1941</v>
      </c>
      <c r="S157" s="19" t="s">
        <v>1942</v>
      </c>
      <c r="T157" s="20" t="s">
        <v>853</v>
      </c>
    </row>
    <row r="158">
      <c r="A158" s="14">
        <v>4.0</v>
      </c>
      <c r="B158" s="15" t="s">
        <v>1943</v>
      </c>
      <c r="C158" s="16">
        <v>2018.0</v>
      </c>
      <c r="D158" s="16">
        <v>38.0</v>
      </c>
      <c r="E158" s="16">
        <v>21.0</v>
      </c>
      <c r="F158" s="16">
        <v>12.0</v>
      </c>
      <c r="G158" s="16">
        <v>5.0</v>
      </c>
      <c r="H158" s="16">
        <v>84.0</v>
      </c>
      <c r="I158" s="16">
        <v>38.0</v>
      </c>
      <c r="J158" s="17">
        <f>+46</f>
        <v>46</v>
      </c>
      <c r="K158" s="16">
        <v>75.0</v>
      </c>
      <c r="L158" s="16">
        <v>1.97</v>
      </c>
      <c r="M158" s="16">
        <v>72.9</v>
      </c>
      <c r="N158" s="16">
        <v>33.8</v>
      </c>
      <c r="O158" s="17">
        <f>+39.1</f>
        <v>39.1</v>
      </c>
      <c r="P158" s="17">
        <f>+1.03</f>
        <v>1.03</v>
      </c>
      <c r="Q158" s="18">
        <v>53049.0</v>
      </c>
      <c r="R158" s="19" t="s">
        <v>1944</v>
      </c>
      <c r="S158" s="19" t="s">
        <v>1945</v>
      </c>
      <c r="T158" s="20" t="s">
        <v>853</v>
      </c>
    </row>
    <row r="159">
      <c r="A159" s="14">
        <v>5.0</v>
      </c>
      <c r="B159" s="15" t="s">
        <v>1946</v>
      </c>
      <c r="C159" s="16">
        <v>2018.0</v>
      </c>
      <c r="D159" s="16">
        <v>38.0</v>
      </c>
      <c r="E159" s="16">
        <v>21.0</v>
      </c>
      <c r="F159" s="16">
        <v>7.0</v>
      </c>
      <c r="G159" s="16">
        <v>10.0</v>
      </c>
      <c r="H159" s="16">
        <v>62.0</v>
      </c>
      <c r="I159" s="16">
        <v>38.0</v>
      </c>
      <c r="J159" s="17">
        <f>+24</f>
        <v>24</v>
      </c>
      <c r="K159" s="16">
        <v>70.0</v>
      </c>
      <c r="L159" s="16">
        <v>1.84</v>
      </c>
      <c r="M159" s="16">
        <v>54.4</v>
      </c>
      <c r="N159" s="16">
        <v>33.8</v>
      </c>
      <c r="O159" s="17">
        <f>+20.6</f>
        <v>20.6</v>
      </c>
      <c r="P159" s="17">
        <f t="shared" ref="P159:P160" si="5">+0.54</f>
        <v>0.54</v>
      </c>
      <c r="Q159" s="18">
        <v>41282.0</v>
      </c>
      <c r="R159" s="19" t="s">
        <v>1947</v>
      </c>
      <c r="S159" s="19" t="s">
        <v>1948</v>
      </c>
      <c r="T159" s="20" t="s">
        <v>1294</v>
      </c>
    </row>
    <row r="160">
      <c r="A160" s="14">
        <v>6.0</v>
      </c>
      <c r="B160" s="15" t="s">
        <v>1949</v>
      </c>
      <c r="C160" s="16">
        <v>2018.0</v>
      </c>
      <c r="D160" s="16">
        <v>38.0</v>
      </c>
      <c r="E160" s="16">
        <v>19.0</v>
      </c>
      <c r="F160" s="16">
        <v>6.0</v>
      </c>
      <c r="G160" s="16">
        <v>13.0</v>
      </c>
      <c r="H160" s="16">
        <v>74.0</v>
      </c>
      <c r="I160" s="16">
        <v>51.0</v>
      </c>
      <c r="J160" s="17">
        <f>+23</f>
        <v>23</v>
      </c>
      <c r="K160" s="16">
        <v>63.0</v>
      </c>
      <c r="L160" s="16">
        <v>1.66</v>
      </c>
      <c r="M160" s="16">
        <v>68.3</v>
      </c>
      <c r="N160" s="16">
        <v>47.8</v>
      </c>
      <c r="O160" s="17">
        <f>+20.5</f>
        <v>20.5</v>
      </c>
      <c r="P160" s="17">
        <f t="shared" si="5"/>
        <v>0.54</v>
      </c>
      <c r="Q160" s="18">
        <v>59323.0</v>
      </c>
      <c r="R160" s="19" t="s">
        <v>1950</v>
      </c>
      <c r="S160" s="19" t="s">
        <v>1951</v>
      </c>
      <c r="T160" s="20" t="s">
        <v>866</v>
      </c>
    </row>
    <row r="161">
      <c r="A161" s="14">
        <v>7.0</v>
      </c>
      <c r="B161" s="15" t="s">
        <v>1952</v>
      </c>
      <c r="C161" s="16">
        <v>2018.0</v>
      </c>
      <c r="D161" s="16">
        <v>38.0</v>
      </c>
      <c r="E161" s="16">
        <v>14.0</v>
      </c>
      <c r="F161" s="16">
        <v>12.0</v>
      </c>
      <c r="G161" s="16">
        <v>12.0</v>
      </c>
      <c r="H161" s="16">
        <v>36.0</v>
      </c>
      <c r="I161" s="16">
        <v>39.0</v>
      </c>
      <c r="J161" s="16">
        <v>-3.0</v>
      </c>
      <c r="K161" s="16">
        <v>54.0</v>
      </c>
      <c r="L161" s="16">
        <v>1.42</v>
      </c>
      <c r="M161" s="16">
        <v>32.3</v>
      </c>
      <c r="N161" s="16">
        <v>51.2</v>
      </c>
      <c r="O161" s="16">
        <v>-18.9</v>
      </c>
      <c r="P161" s="16">
        <v>-0.5</v>
      </c>
      <c r="Q161" s="18">
        <v>20688.0</v>
      </c>
      <c r="R161" s="19" t="s">
        <v>1953</v>
      </c>
      <c r="S161" s="19" t="s">
        <v>1954</v>
      </c>
      <c r="T161" s="20" t="s">
        <v>1345</v>
      </c>
    </row>
    <row r="162">
      <c r="A162" s="14">
        <v>8.0</v>
      </c>
      <c r="B162" s="15" t="s">
        <v>1955</v>
      </c>
      <c r="C162" s="16">
        <v>2018.0</v>
      </c>
      <c r="D162" s="16">
        <v>38.0</v>
      </c>
      <c r="E162" s="16">
        <v>13.0</v>
      </c>
      <c r="F162" s="16">
        <v>10.0</v>
      </c>
      <c r="G162" s="16">
        <v>15.0</v>
      </c>
      <c r="H162" s="16">
        <v>44.0</v>
      </c>
      <c r="I162" s="16">
        <v>58.0</v>
      </c>
      <c r="J162" s="16">
        <v>-14.0</v>
      </c>
      <c r="K162" s="16">
        <v>49.0</v>
      </c>
      <c r="L162" s="16">
        <v>1.29</v>
      </c>
      <c r="M162" s="16">
        <v>40.5</v>
      </c>
      <c r="N162" s="16">
        <v>52.4</v>
      </c>
      <c r="O162" s="16">
        <v>-11.9</v>
      </c>
      <c r="P162" s="16">
        <v>-0.31</v>
      </c>
      <c r="Q162" s="18">
        <v>38797.0</v>
      </c>
      <c r="R162" s="19" t="s">
        <v>1956</v>
      </c>
      <c r="S162" s="19" t="s">
        <v>1957</v>
      </c>
      <c r="T162" s="21"/>
    </row>
    <row r="163">
      <c r="A163" s="14">
        <v>9.0</v>
      </c>
      <c r="B163" s="15" t="s">
        <v>1958</v>
      </c>
      <c r="C163" s="16">
        <v>2018.0</v>
      </c>
      <c r="D163" s="16">
        <v>38.0</v>
      </c>
      <c r="E163" s="16">
        <v>12.0</v>
      </c>
      <c r="F163" s="16">
        <v>11.0</v>
      </c>
      <c r="G163" s="16">
        <v>15.0</v>
      </c>
      <c r="H163" s="16">
        <v>56.0</v>
      </c>
      <c r="I163" s="16">
        <v>60.0</v>
      </c>
      <c r="J163" s="16">
        <v>-4.0</v>
      </c>
      <c r="K163" s="16">
        <v>47.0</v>
      </c>
      <c r="L163" s="16">
        <v>1.24</v>
      </c>
      <c r="M163" s="16">
        <v>50.0</v>
      </c>
      <c r="N163" s="16">
        <v>48.1</v>
      </c>
      <c r="O163" s="17">
        <f>+1.9</f>
        <v>1.9</v>
      </c>
      <c r="P163" s="17">
        <f>+0.05</f>
        <v>0.05</v>
      </c>
      <c r="Q163" s="18">
        <v>31583.0</v>
      </c>
      <c r="R163" s="19" t="s">
        <v>1959</v>
      </c>
      <c r="S163" s="19" t="s">
        <v>1960</v>
      </c>
      <c r="T163" s="21"/>
    </row>
    <row r="164">
      <c r="A164" s="14">
        <v>10.0</v>
      </c>
      <c r="B164" s="15" t="s">
        <v>1961</v>
      </c>
      <c r="C164" s="16">
        <v>2018.0</v>
      </c>
      <c r="D164" s="16">
        <v>38.0</v>
      </c>
      <c r="E164" s="16">
        <v>12.0</v>
      </c>
      <c r="F164" s="16">
        <v>8.0</v>
      </c>
      <c r="G164" s="16">
        <v>18.0</v>
      </c>
      <c r="H164" s="16">
        <v>39.0</v>
      </c>
      <c r="I164" s="16">
        <v>47.0</v>
      </c>
      <c r="J164" s="16">
        <v>-8.0</v>
      </c>
      <c r="K164" s="16">
        <v>44.0</v>
      </c>
      <c r="L164" s="16">
        <v>1.16</v>
      </c>
      <c r="M164" s="16">
        <v>41.6</v>
      </c>
      <c r="N164" s="16">
        <v>52.4</v>
      </c>
      <c r="O164" s="16">
        <v>-10.8</v>
      </c>
      <c r="P164" s="16">
        <v>-0.28</v>
      </c>
      <c r="Q164" s="18">
        <v>51992.0</v>
      </c>
      <c r="R164" s="19" t="s">
        <v>1962</v>
      </c>
      <c r="S164" s="19" t="s">
        <v>1963</v>
      </c>
      <c r="T164" s="21"/>
    </row>
    <row r="165">
      <c r="A165" s="14">
        <v>11.0</v>
      </c>
      <c r="B165" s="15" t="s">
        <v>1964</v>
      </c>
      <c r="C165" s="16">
        <v>2018.0</v>
      </c>
      <c r="D165" s="16">
        <v>38.0</v>
      </c>
      <c r="E165" s="16">
        <v>11.0</v>
      </c>
      <c r="F165" s="16">
        <v>11.0</v>
      </c>
      <c r="G165" s="16">
        <v>16.0</v>
      </c>
      <c r="H165" s="16">
        <v>45.0</v>
      </c>
      <c r="I165" s="16">
        <v>55.0</v>
      </c>
      <c r="J165" s="16">
        <v>-10.0</v>
      </c>
      <c r="K165" s="16">
        <v>44.0</v>
      </c>
      <c r="L165" s="16">
        <v>1.16</v>
      </c>
      <c r="M165" s="16">
        <v>53.5</v>
      </c>
      <c r="N165" s="16">
        <v>48.2</v>
      </c>
      <c r="O165" s="17">
        <f>+5.2</f>
        <v>5.2</v>
      </c>
      <c r="P165" s="17">
        <f>+0.14</f>
        <v>0.14</v>
      </c>
      <c r="Q165" s="18">
        <v>25063.0</v>
      </c>
      <c r="R165" s="19" t="s">
        <v>1965</v>
      </c>
      <c r="S165" s="19" t="s">
        <v>1966</v>
      </c>
      <c r="T165" s="21"/>
    </row>
    <row r="166">
      <c r="A166" s="14">
        <v>12.0</v>
      </c>
      <c r="B166" s="15" t="s">
        <v>1967</v>
      </c>
      <c r="C166" s="16">
        <v>2018.0</v>
      </c>
      <c r="D166" s="16">
        <v>38.0</v>
      </c>
      <c r="E166" s="16">
        <v>11.0</v>
      </c>
      <c r="F166" s="16">
        <v>11.0</v>
      </c>
      <c r="G166" s="16">
        <v>16.0</v>
      </c>
      <c r="H166" s="16">
        <v>45.0</v>
      </c>
      <c r="I166" s="16">
        <v>61.0</v>
      </c>
      <c r="J166" s="16">
        <v>-16.0</v>
      </c>
      <c r="K166" s="16">
        <v>44.0</v>
      </c>
      <c r="L166" s="16">
        <v>1.16</v>
      </c>
      <c r="M166" s="16">
        <v>38.8</v>
      </c>
      <c r="N166" s="16">
        <v>59.2</v>
      </c>
      <c r="O166" s="16">
        <v>-20.4</v>
      </c>
      <c r="P166" s="16">
        <v>-0.54</v>
      </c>
      <c r="Q166" s="18">
        <v>10641.0</v>
      </c>
      <c r="R166" s="19" t="s">
        <v>1968</v>
      </c>
      <c r="S166" s="19" t="s">
        <v>1969</v>
      </c>
      <c r="T166" s="21"/>
    </row>
    <row r="167">
      <c r="A167" s="14">
        <v>13.0</v>
      </c>
      <c r="B167" s="15" t="s">
        <v>1970</v>
      </c>
      <c r="C167" s="16">
        <v>2018.0</v>
      </c>
      <c r="D167" s="16">
        <v>38.0</v>
      </c>
      <c r="E167" s="16">
        <v>10.0</v>
      </c>
      <c r="F167" s="16">
        <v>12.0</v>
      </c>
      <c r="G167" s="16">
        <v>16.0</v>
      </c>
      <c r="H167" s="16">
        <v>48.0</v>
      </c>
      <c r="I167" s="16">
        <v>68.0</v>
      </c>
      <c r="J167" s="16">
        <v>-20.0</v>
      </c>
      <c r="K167" s="16">
        <v>42.0</v>
      </c>
      <c r="L167" s="16">
        <v>1.11</v>
      </c>
      <c r="M167" s="16">
        <v>36.7</v>
      </c>
      <c r="N167" s="16">
        <v>55.1</v>
      </c>
      <c r="O167" s="16">
        <v>-18.4</v>
      </c>
      <c r="P167" s="16">
        <v>-0.48</v>
      </c>
      <c r="Q167" s="18">
        <v>56885.0</v>
      </c>
      <c r="R167" s="19" t="s">
        <v>1971</v>
      </c>
      <c r="S167" s="19" t="s">
        <v>1972</v>
      </c>
      <c r="T167" s="21"/>
    </row>
    <row r="168">
      <c r="A168" s="14">
        <v>14.0</v>
      </c>
      <c r="B168" s="15" t="s">
        <v>1973</v>
      </c>
      <c r="C168" s="16">
        <v>2018.0</v>
      </c>
      <c r="D168" s="16">
        <v>38.0</v>
      </c>
      <c r="E168" s="16">
        <v>11.0</v>
      </c>
      <c r="F168" s="16">
        <v>8.0</v>
      </c>
      <c r="G168" s="16">
        <v>19.0</v>
      </c>
      <c r="H168" s="16">
        <v>44.0</v>
      </c>
      <c r="I168" s="16">
        <v>64.0</v>
      </c>
      <c r="J168" s="16">
        <v>-20.0</v>
      </c>
      <c r="K168" s="16">
        <v>41.0</v>
      </c>
      <c r="L168" s="16">
        <v>1.08</v>
      </c>
      <c r="M168" s="16">
        <v>45.0</v>
      </c>
      <c r="N168" s="16">
        <v>51.8</v>
      </c>
      <c r="O168" s="16">
        <v>-6.8</v>
      </c>
      <c r="P168" s="16">
        <v>-0.18</v>
      </c>
      <c r="Q168" s="18">
        <v>20231.0</v>
      </c>
      <c r="R168" s="19" t="s">
        <v>1974</v>
      </c>
      <c r="S168" s="19" t="s">
        <v>1975</v>
      </c>
      <c r="T168" s="21"/>
    </row>
    <row r="169">
      <c r="A169" s="14">
        <v>15.0</v>
      </c>
      <c r="B169" s="15" t="s">
        <v>1976</v>
      </c>
      <c r="C169" s="16">
        <v>2018.0</v>
      </c>
      <c r="D169" s="16">
        <v>38.0</v>
      </c>
      <c r="E169" s="16">
        <v>9.0</v>
      </c>
      <c r="F169" s="16">
        <v>13.0</v>
      </c>
      <c r="G169" s="16">
        <v>16.0</v>
      </c>
      <c r="H169" s="16">
        <v>34.0</v>
      </c>
      <c r="I169" s="16">
        <v>54.0</v>
      </c>
      <c r="J169" s="16">
        <v>-20.0</v>
      </c>
      <c r="K169" s="16">
        <v>40.0</v>
      </c>
      <c r="L169" s="16">
        <v>1.05</v>
      </c>
      <c r="M169" s="16">
        <v>37.0</v>
      </c>
      <c r="N169" s="16">
        <v>50.8</v>
      </c>
      <c r="O169" s="16">
        <v>-13.8</v>
      </c>
      <c r="P169" s="16">
        <v>-0.36</v>
      </c>
      <c r="Q169" s="18">
        <v>30403.0</v>
      </c>
      <c r="R169" s="19" t="s">
        <v>1977</v>
      </c>
      <c r="S169" s="19" t="s">
        <v>1978</v>
      </c>
      <c r="T169" s="21"/>
    </row>
    <row r="170">
      <c r="A170" s="14">
        <v>16.0</v>
      </c>
      <c r="B170" s="15" t="s">
        <v>1979</v>
      </c>
      <c r="C170" s="16">
        <v>2018.0</v>
      </c>
      <c r="D170" s="16">
        <v>38.0</v>
      </c>
      <c r="E170" s="16">
        <v>9.0</v>
      </c>
      <c r="F170" s="16">
        <v>10.0</v>
      </c>
      <c r="G170" s="16">
        <v>19.0</v>
      </c>
      <c r="H170" s="16">
        <v>28.0</v>
      </c>
      <c r="I170" s="16">
        <v>58.0</v>
      </c>
      <c r="J170" s="16">
        <v>-30.0</v>
      </c>
      <c r="K170" s="16">
        <v>37.0</v>
      </c>
      <c r="L170" s="16">
        <v>0.97</v>
      </c>
      <c r="M170" s="16">
        <v>31.3</v>
      </c>
      <c r="N170" s="16">
        <v>48.5</v>
      </c>
      <c r="O170" s="16">
        <v>-17.2</v>
      </c>
      <c r="P170" s="16">
        <v>-0.45</v>
      </c>
      <c r="Q170" s="18">
        <v>24040.0</v>
      </c>
      <c r="R170" s="19" t="s">
        <v>1980</v>
      </c>
      <c r="S170" s="19" t="s">
        <v>1981</v>
      </c>
      <c r="T170" s="21"/>
    </row>
    <row r="171">
      <c r="A171" s="14">
        <v>17.0</v>
      </c>
      <c r="B171" s="15" t="s">
        <v>1982</v>
      </c>
      <c r="C171" s="16">
        <v>2018.0</v>
      </c>
      <c r="D171" s="16">
        <v>38.0</v>
      </c>
      <c r="E171" s="16">
        <v>7.0</v>
      </c>
      <c r="F171" s="16">
        <v>15.0</v>
      </c>
      <c r="G171" s="16">
        <v>16.0</v>
      </c>
      <c r="H171" s="16">
        <v>37.0</v>
      </c>
      <c r="I171" s="16">
        <v>56.0</v>
      </c>
      <c r="J171" s="16">
        <v>-19.0</v>
      </c>
      <c r="K171" s="16">
        <v>36.0</v>
      </c>
      <c r="L171" s="16">
        <v>0.95</v>
      </c>
      <c r="M171" s="16">
        <v>39.9</v>
      </c>
      <c r="N171" s="16">
        <v>45.2</v>
      </c>
      <c r="O171" s="16">
        <v>-5.3</v>
      </c>
      <c r="P171" s="16">
        <v>-0.14</v>
      </c>
      <c r="Q171" s="18">
        <v>30794.0</v>
      </c>
      <c r="R171" s="19" t="s">
        <v>1983</v>
      </c>
      <c r="S171" s="19" t="s">
        <v>1984</v>
      </c>
      <c r="T171" s="21"/>
    </row>
    <row r="172">
      <c r="A172" s="22">
        <v>18.0</v>
      </c>
      <c r="B172" s="15" t="s">
        <v>1985</v>
      </c>
      <c r="C172" s="16">
        <v>2018.0</v>
      </c>
      <c r="D172" s="16">
        <v>38.0</v>
      </c>
      <c r="E172" s="16">
        <v>8.0</v>
      </c>
      <c r="F172" s="16">
        <v>9.0</v>
      </c>
      <c r="G172" s="16">
        <v>21.0</v>
      </c>
      <c r="H172" s="16">
        <v>28.0</v>
      </c>
      <c r="I172" s="16">
        <v>56.0</v>
      </c>
      <c r="J172" s="16">
        <v>-28.0</v>
      </c>
      <c r="K172" s="16">
        <v>33.0</v>
      </c>
      <c r="L172" s="16">
        <v>0.87</v>
      </c>
      <c r="M172" s="16">
        <v>31.6</v>
      </c>
      <c r="N172" s="16">
        <v>58.6</v>
      </c>
      <c r="O172" s="16">
        <v>-27.0</v>
      </c>
      <c r="P172" s="16">
        <v>-0.71</v>
      </c>
      <c r="Q172" s="18">
        <v>20623.0</v>
      </c>
      <c r="R172" s="19" t="s">
        <v>1986</v>
      </c>
      <c r="S172" s="19" t="s">
        <v>1987</v>
      </c>
      <c r="T172" s="20" t="s">
        <v>905</v>
      </c>
    </row>
    <row r="173">
      <c r="A173" s="22">
        <v>19.0</v>
      </c>
      <c r="B173" s="15" t="s">
        <v>1988</v>
      </c>
      <c r="C173" s="16">
        <v>2018.0</v>
      </c>
      <c r="D173" s="16">
        <v>38.0</v>
      </c>
      <c r="E173" s="16">
        <v>7.0</v>
      </c>
      <c r="F173" s="16">
        <v>12.0</v>
      </c>
      <c r="G173" s="16">
        <v>19.0</v>
      </c>
      <c r="H173" s="16">
        <v>35.0</v>
      </c>
      <c r="I173" s="16">
        <v>68.0</v>
      </c>
      <c r="J173" s="16">
        <v>-33.0</v>
      </c>
      <c r="K173" s="16">
        <v>33.0</v>
      </c>
      <c r="L173" s="16">
        <v>0.87</v>
      </c>
      <c r="M173" s="16">
        <v>36.5</v>
      </c>
      <c r="N173" s="16">
        <v>62.5</v>
      </c>
      <c r="O173" s="16">
        <v>-26.0</v>
      </c>
      <c r="P173" s="16">
        <v>-0.69</v>
      </c>
      <c r="Q173" s="18">
        <v>29280.0</v>
      </c>
      <c r="R173" s="19" t="s">
        <v>1989</v>
      </c>
      <c r="S173" s="19" t="s">
        <v>1990</v>
      </c>
      <c r="T173" s="20" t="s">
        <v>905</v>
      </c>
    </row>
    <row r="174">
      <c r="A174" s="23">
        <v>20.0</v>
      </c>
      <c r="B174" s="24" t="s">
        <v>1991</v>
      </c>
      <c r="C174" s="16">
        <v>2018.0</v>
      </c>
      <c r="D174" s="25">
        <v>38.0</v>
      </c>
      <c r="E174" s="25">
        <v>6.0</v>
      </c>
      <c r="F174" s="25">
        <v>13.0</v>
      </c>
      <c r="G174" s="25">
        <v>19.0</v>
      </c>
      <c r="H174" s="25">
        <v>31.0</v>
      </c>
      <c r="I174" s="25">
        <v>56.0</v>
      </c>
      <c r="J174" s="25">
        <v>-25.0</v>
      </c>
      <c r="K174" s="25">
        <v>31.0</v>
      </c>
      <c r="L174" s="25">
        <v>0.82</v>
      </c>
      <c r="M174" s="25">
        <v>36.5</v>
      </c>
      <c r="N174" s="25">
        <v>47.9</v>
      </c>
      <c r="O174" s="25">
        <v>-11.4</v>
      </c>
      <c r="P174" s="25">
        <v>-0.3</v>
      </c>
      <c r="Q174" s="26">
        <v>24520.0</v>
      </c>
      <c r="R174" s="27" t="s">
        <v>1992</v>
      </c>
      <c r="S174" s="27" t="s">
        <v>1993</v>
      </c>
      <c r="T174" s="28" t="s">
        <v>905</v>
      </c>
    </row>
    <row r="176">
      <c r="A176" s="12" t="s">
        <v>831</v>
      </c>
      <c r="B176" s="13" t="s">
        <v>832</v>
      </c>
      <c r="C176" s="13" t="s">
        <v>3</v>
      </c>
      <c r="D176" s="13" t="s">
        <v>833</v>
      </c>
      <c r="E176" s="13" t="s">
        <v>834</v>
      </c>
      <c r="F176" s="13" t="s">
        <v>835</v>
      </c>
      <c r="G176" s="13" t="s">
        <v>836</v>
      </c>
      <c r="H176" s="13" t="s">
        <v>837</v>
      </c>
      <c r="I176" s="13" t="s">
        <v>838</v>
      </c>
      <c r="J176" s="13" t="s">
        <v>839</v>
      </c>
      <c r="K176" s="13" t="s">
        <v>840</v>
      </c>
      <c r="L176" s="13" t="s">
        <v>841</v>
      </c>
      <c r="M176" s="13" t="s">
        <v>846</v>
      </c>
      <c r="N176" s="13" t="s">
        <v>847</v>
      </c>
      <c r="O176" s="13" t="s">
        <v>848</v>
      </c>
      <c r="P176" s="13" t="s">
        <v>849</v>
      </c>
    </row>
    <row r="177">
      <c r="A177" s="14">
        <v>1.0</v>
      </c>
      <c r="B177" s="15" t="s">
        <v>1994</v>
      </c>
      <c r="C177" s="16">
        <v>2017.0</v>
      </c>
      <c r="D177" s="16">
        <v>38.0</v>
      </c>
      <c r="E177" s="16">
        <v>30.0</v>
      </c>
      <c r="F177" s="16">
        <v>3.0</v>
      </c>
      <c r="G177" s="16">
        <v>5.0</v>
      </c>
      <c r="H177" s="16">
        <v>85.0</v>
      </c>
      <c r="I177" s="16">
        <v>33.0</v>
      </c>
      <c r="J177" s="17">
        <f>+52</f>
        <v>52</v>
      </c>
      <c r="K177" s="16">
        <v>93.0</v>
      </c>
      <c r="L177" s="16">
        <v>2.45</v>
      </c>
      <c r="M177" s="18">
        <v>41508.0</v>
      </c>
      <c r="N177" s="19" t="s">
        <v>1995</v>
      </c>
      <c r="O177" s="19" t="s">
        <v>1996</v>
      </c>
      <c r="P177" s="20" t="s">
        <v>853</v>
      </c>
    </row>
    <row r="178">
      <c r="A178" s="14">
        <v>2.0</v>
      </c>
      <c r="B178" s="15" t="s">
        <v>1997</v>
      </c>
      <c r="C178" s="16">
        <v>2017.0</v>
      </c>
      <c r="D178" s="16">
        <v>38.0</v>
      </c>
      <c r="E178" s="16">
        <v>26.0</v>
      </c>
      <c r="F178" s="16">
        <v>8.0</v>
      </c>
      <c r="G178" s="16">
        <v>4.0</v>
      </c>
      <c r="H178" s="16">
        <v>86.0</v>
      </c>
      <c r="I178" s="16">
        <v>26.0</v>
      </c>
      <c r="J178" s="17">
        <f>+60</f>
        <v>60</v>
      </c>
      <c r="K178" s="16">
        <v>86.0</v>
      </c>
      <c r="L178" s="16">
        <v>2.26</v>
      </c>
      <c r="M178" s="18">
        <v>31639.0</v>
      </c>
      <c r="N178" s="19" t="s">
        <v>1998</v>
      </c>
      <c r="O178" s="19" t="s">
        <v>1999</v>
      </c>
      <c r="P178" s="20" t="s">
        <v>853</v>
      </c>
    </row>
    <row r="179">
      <c r="A179" s="14">
        <v>3.0</v>
      </c>
      <c r="B179" s="15" t="s">
        <v>2000</v>
      </c>
      <c r="C179" s="16">
        <v>2017.0</v>
      </c>
      <c r="D179" s="16">
        <v>38.0</v>
      </c>
      <c r="E179" s="16">
        <v>23.0</v>
      </c>
      <c r="F179" s="16">
        <v>9.0</v>
      </c>
      <c r="G179" s="16">
        <v>6.0</v>
      </c>
      <c r="H179" s="16">
        <v>80.0</v>
      </c>
      <c r="I179" s="16">
        <v>39.0</v>
      </c>
      <c r="J179" s="17">
        <f>+41</f>
        <v>41</v>
      </c>
      <c r="K179" s="16">
        <v>78.0</v>
      </c>
      <c r="L179" s="16">
        <v>2.05</v>
      </c>
      <c r="M179" s="18">
        <v>54019.0</v>
      </c>
      <c r="N179" s="19" t="s">
        <v>2001</v>
      </c>
      <c r="O179" s="19" t="s">
        <v>2002</v>
      </c>
      <c r="P179" s="20" t="s">
        <v>853</v>
      </c>
    </row>
    <row r="180">
      <c r="A180" s="14">
        <v>4.0</v>
      </c>
      <c r="B180" s="15" t="s">
        <v>2003</v>
      </c>
      <c r="C180" s="16">
        <v>2017.0</v>
      </c>
      <c r="D180" s="16">
        <v>38.0</v>
      </c>
      <c r="E180" s="16">
        <v>22.0</v>
      </c>
      <c r="F180" s="16">
        <v>10.0</v>
      </c>
      <c r="G180" s="16">
        <v>6.0</v>
      </c>
      <c r="H180" s="16">
        <v>78.0</v>
      </c>
      <c r="I180" s="16">
        <v>42.0</v>
      </c>
      <c r="J180" s="17">
        <f>+36</f>
        <v>36</v>
      </c>
      <c r="K180" s="16">
        <v>76.0</v>
      </c>
      <c r="L180" s="16">
        <v>2.0</v>
      </c>
      <c r="M180" s="18">
        <v>53016.0</v>
      </c>
      <c r="N180" s="19" t="s">
        <v>2004</v>
      </c>
      <c r="O180" s="19" t="s">
        <v>2005</v>
      </c>
      <c r="P180" s="20" t="s">
        <v>853</v>
      </c>
    </row>
    <row r="181">
      <c r="A181" s="14">
        <v>5.0</v>
      </c>
      <c r="B181" s="15" t="s">
        <v>2006</v>
      </c>
      <c r="C181" s="16">
        <v>2017.0</v>
      </c>
      <c r="D181" s="16">
        <v>38.0</v>
      </c>
      <c r="E181" s="16">
        <v>23.0</v>
      </c>
      <c r="F181" s="16">
        <v>6.0</v>
      </c>
      <c r="G181" s="16">
        <v>9.0</v>
      </c>
      <c r="H181" s="16">
        <v>77.0</v>
      </c>
      <c r="I181" s="16">
        <v>44.0</v>
      </c>
      <c r="J181" s="17">
        <f>+33</f>
        <v>33</v>
      </c>
      <c r="K181" s="16">
        <v>75.0</v>
      </c>
      <c r="L181" s="16">
        <v>1.97</v>
      </c>
      <c r="M181" s="18">
        <v>59957.0</v>
      </c>
      <c r="N181" s="19" t="s">
        <v>2007</v>
      </c>
      <c r="O181" s="19" t="s">
        <v>2008</v>
      </c>
      <c r="P181" s="20" t="s">
        <v>1294</v>
      </c>
    </row>
    <row r="182">
      <c r="A182" s="14">
        <v>6.0</v>
      </c>
      <c r="B182" s="15" t="s">
        <v>2009</v>
      </c>
      <c r="C182" s="16">
        <v>2017.0</v>
      </c>
      <c r="D182" s="16">
        <v>38.0</v>
      </c>
      <c r="E182" s="16">
        <v>18.0</v>
      </c>
      <c r="F182" s="16">
        <v>15.0</v>
      </c>
      <c r="G182" s="16">
        <v>5.0</v>
      </c>
      <c r="H182" s="16">
        <v>54.0</v>
      </c>
      <c r="I182" s="16">
        <v>29.0</v>
      </c>
      <c r="J182" s="17">
        <f>+25</f>
        <v>25</v>
      </c>
      <c r="K182" s="16">
        <v>69.0</v>
      </c>
      <c r="L182" s="16">
        <v>1.82</v>
      </c>
      <c r="M182" s="18">
        <v>75290.0</v>
      </c>
      <c r="N182" s="19" t="s">
        <v>2010</v>
      </c>
      <c r="O182" s="19" t="s">
        <v>2011</v>
      </c>
      <c r="P182" s="20" t="s">
        <v>2012</v>
      </c>
    </row>
    <row r="183">
      <c r="A183" s="14">
        <v>7.0</v>
      </c>
      <c r="B183" s="15" t="s">
        <v>2013</v>
      </c>
      <c r="C183" s="16">
        <v>2017.0</v>
      </c>
      <c r="D183" s="16">
        <v>38.0</v>
      </c>
      <c r="E183" s="16">
        <v>17.0</v>
      </c>
      <c r="F183" s="16">
        <v>10.0</v>
      </c>
      <c r="G183" s="16">
        <v>11.0</v>
      </c>
      <c r="H183" s="16">
        <v>62.0</v>
      </c>
      <c r="I183" s="16">
        <v>44.0</v>
      </c>
      <c r="J183" s="17">
        <f>+18</f>
        <v>18</v>
      </c>
      <c r="K183" s="16">
        <v>61.0</v>
      </c>
      <c r="L183" s="16">
        <v>1.61</v>
      </c>
      <c r="M183" s="18">
        <v>39310.0</v>
      </c>
      <c r="N183" s="19" t="s">
        <v>2014</v>
      </c>
      <c r="O183" s="19" t="s">
        <v>2015</v>
      </c>
      <c r="P183" s="20" t="s">
        <v>866</v>
      </c>
    </row>
    <row r="184">
      <c r="A184" s="14">
        <v>8.0</v>
      </c>
      <c r="B184" s="15" t="s">
        <v>2016</v>
      </c>
      <c r="C184" s="16">
        <v>2017.0</v>
      </c>
      <c r="D184" s="16">
        <v>38.0</v>
      </c>
      <c r="E184" s="16">
        <v>12.0</v>
      </c>
      <c r="F184" s="16">
        <v>10.0</v>
      </c>
      <c r="G184" s="16">
        <v>16.0</v>
      </c>
      <c r="H184" s="16">
        <v>41.0</v>
      </c>
      <c r="I184" s="16">
        <v>48.0</v>
      </c>
      <c r="J184" s="16">
        <v>-7.0</v>
      </c>
      <c r="K184" s="16">
        <v>46.0</v>
      </c>
      <c r="L184" s="16">
        <v>1.21</v>
      </c>
      <c r="M184" s="18">
        <v>30936.0</v>
      </c>
      <c r="N184" s="19" t="s">
        <v>2017</v>
      </c>
      <c r="O184" s="19" t="s">
        <v>2018</v>
      </c>
      <c r="P184" s="21"/>
    </row>
    <row r="185">
      <c r="A185" s="14">
        <v>9.0</v>
      </c>
      <c r="B185" s="15" t="s">
        <v>2019</v>
      </c>
      <c r="C185" s="16">
        <v>2017.0</v>
      </c>
      <c r="D185" s="16">
        <v>38.0</v>
      </c>
      <c r="E185" s="16">
        <v>12.0</v>
      </c>
      <c r="F185" s="16">
        <v>10.0</v>
      </c>
      <c r="G185" s="16">
        <v>16.0</v>
      </c>
      <c r="H185" s="16">
        <v>55.0</v>
      </c>
      <c r="I185" s="16">
        <v>67.0</v>
      </c>
      <c r="J185" s="16">
        <v>-12.0</v>
      </c>
      <c r="K185" s="16">
        <v>46.0</v>
      </c>
      <c r="L185" s="16">
        <v>1.21</v>
      </c>
      <c r="M185" s="18">
        <v>11182.0</v>
      </c>
      <c r="N185" s="19" t="s">
        <v>2020</v>
      </c>
      <c r="O185" s="19" t="s">
        <v>2021</v>
      </c>
      <c r="P185" s="21"/>
    </row>
    <row r="186">
      <c r="A186" s="14">
        <v>10.0</v>
      </c>
      <c r="B186" s="15" t="s">
        <v>2022</v>
      </c>
      <c r="C186" s="16">
        <v>2017.0</v>
      </c>
      <c r="D186" s="16">
        <v>38.0</v>
      </c>
      <c r="E186" s="16">
        <v>12.0</v>
      </c>
      <c r="F186" s="16">
        <v>9.0</v>
      </c>
      <c r="G186" s="16">
        <v>17.0</v>
      </c>
      <c r="H186" s="16">
        <v>43.0</v>
      </c>
      <c r="I186" s="16">
        <v>51.0</v>
      </c>
      <c r="J186" s="16">
        <v>-8.0</v>
      </c>
      <c r="K186" s="16">
        <v>45.0</v>
      </c>
      <c r="L186" s="16">
        <v>1.18</v>
      </c>
      <c r="M186" s="18">
        <v>23876.0</v>
      </c>
      <c r="N186" s="19" t="s">
        <v>2023</v>
      </c>
      <c r="O186" s="19" t="s">
        <v>2024</v>
      </c>
      <c r="P186" s="21"/>
    </row>
    <row r="187">
      <c r="A187" s="14">
        <v>11.0</v>
      </c>
      <c r="B187" s="15" t="s">
        <v>2025</v>
      </c>
      <c r="C187" s="16">
        <v>2017.0</v>
      </c>
      <c r="D187" s="16">
        <v>38.0</v>
      </c>
      <c r="E187" s="16">
        <v>12.0</v>
      </c>
      <c r="F187" s="16">
        <v>9.0</v>
      </c>
      <c r="G187" s="16">
        <v>17.0</v>
      </c>
      <c r="H187" s="16">
        <v>47.0</v>
      </c>
      <c r="I187" s="16">
        <v>64.0</v>
      </c>
      <c r="J187" s="16">
        <v>-17.0</v>
      </c>
      <c r="K187" s="16">
        <v>45.0</v>
      </c>
      <c r="L187" s="16">
        <v>1.18</v>
      </c>
      <c r="M187" s="18">
        <v>56972.0</v>
      </c>
      <c r="N187" s="19" t="s">
        <v>2026</v>
      </c>
      <c r="O187" s="19" t="s">
        <v>2027</v>
      </c>
      <c r="P187" s="21"/>
    </row>
    <row r="188">
      <c r="A188" s="14">
        <v>12.0</v>
      </c>
      <c r="B188" s="15" t="s">
        <v>2028</v>
      </c>
      <c r="C188" s="16">
        <v>2017.0</v>
      </c>
      <c r="D188" s="16">
        <v>38.0</v>
      </c>
      <c r="E188" s="16">
        <v>12.0</v>
      </c>
      <c r="F188" s="16">
        <v>8.0</v>
      </c>
      <c r="G188" s="16">
        <v>18.0</v>
      </c>
      <c r="H188" s="16">
        <v>48.0</v>
      </c>
      <c r="I188" s="16">
        <v>63.0</v>
      </c>
      <c r="J188" s="16">
        <v>-15.0</v>
      </c>
      <c r="K188" s="16">
        <v>44.0</v>
      </c>
      <c r="L188" s="16">
        <v>1.16</v>
      </c>
      <c r="M188" s="18">
        <v>31893.0</v>
      </c>
      <c r="N188" s="19" t="s">
        <v>2029</v>
      </c>
      <c r="O188" s="19" t="s">
        <v>2030</v>
      </c>
      <c r="P188" s="21"/>
    </row>
    <row r="189">
      <c r="A189" s="14">
        <v>13.0</v>
      </c>
      <c r="B189" s="15" t="s">
        <v>2031</v>
      </c>
      <c r="C189" s="16">
        <v>2017.0</v>
      </c>
      <c r="D189" s="16">
        <v>38.0</v>
      </c>
      <c r="E189" s="16">
        <v>11.0</v>
      </c>
      <c r="F189" s="16">
        <v>11.0</v>
      </c>
      <c r="G189" s="16">
        <v>16.0</v>
      </c>
      <c r="H189" s="16">
        <v>41.0</v>
      </c>
      <c r="I189" s="16">
        <v>56.0</v>
      </c>
      <c r="J189" s="16">
        <v>-15.0</v>
      </c>
      <c r="K189" s="16">
        <v>44.0</v>
      </c>
      <c r="L189" s="16">
        <v>1.16</v>
      </c>
      <c r="M189" s="18">
        <v>27433.0</v>
      </c>
      <c r="N189" s="19" t="s">
        <v>2032</v>
      </c>
      <c r="O189" s="19" t="s">
        <v>2033</v>
      </c>
      <c r="P189" s="21"/>
    </row>
    <row r="190">
      <c r="A190" s="14">
        <v>14.0</v>
      </c>
      <c r="B190" s="15" t="s">
        <v>2034</v>
      </c>
      <c r="C190" s="16">
        <v>2017.0</v>
      </c>
      <c r="D190" s="16">
        <v>38.0</v>
      </c>
      <c r="E190" s="16">
        <v>12.0</v>
      </c>
      <c r="F190" s="16">
        <v>5.0</v>
      </c>
      <c r="G190" s="16">
        <v>21.0</v>
      </c>
      <c r="H190" s="16">
        <v>50.0</v>
      </c>
      <c r="I190" s="16">
        <v>63.0</v>
      </c>
      <c r="J190" s="16">
        <v>-13.0</v>
      </c>
      <c r="K190" s="16">
        <v>41.0</v>
      </c>
      <c r="L190" s="16">
        <v>1.08</v>
      </c>
      <c r="M190" s="18">
        <v>25161.0</v>
      </c>
      <c r="N190" s="19" t="s">
        <v>2035</v>
      </c>
      <c r="O190" s="19" t="s">
        <v>2036</v>
      </c>
      <c r="P190" s="21"/>
    </row>
    <row r="191">
      <c r="A191" s="14">
        <v>15.0</v>
      </c>
      <c r="B191" s="15" t="s">
        <v>2037</v>
      </c>
      <c r="C191" s="16">
        <v>2017.0</v>
      </c>
      <c r="D191" s="16">
        <v>38.0</v>
      </c>
      <c r="E191" s="16">
        <v>12.0</v>
      </c>
      <c r="F191" s="16">
        <v>5.0</v>
      </c>
      <c r="G191" s="16">
        <v>21.0</v>
      </c>
      <c r="H191" s="16">
        <v>45.0</v>
      </c>
      <c r="I191" s="16">
        <v>70.0</v>
      </c>
      <c r="J191" s="16">
        <v>-25.0</v>
      </c>
      <c r="K191" s="16">
        <v>41.0</v>
      </c>
      <c r="L191" s="16">
        <v>1.08</v>
      </c>
      <c r="M191" s="18">
        <v>20619.0</v>
      </c>
      <c r="N191" s="19" t="s">
        <v>2038</v>
      </c>
      <c r="O191" s="19" t="s">
        <v>2039</v>
      </c>
      <c r="P191" s="21"/>
    </row>
    <row r="192">
      <c r="A192" s="14">
        <v>16.0</v>
      </c>
      <c r="B192" s="15" t="s">
        <v>2040</v>
      </c>
      <c r="C192" s="16">
        <v>2017.0</v>
      </c>
      <c r="D192" s="16">
        <v>38.0</v>
      </c>
      <c r="E192" s="16">
        <v>11.0</v>
      </c>
      <c r="F192" s="16">
        <v>7.0</v>
      </c>
      <c r="G192" s="16">
        <v>20.0</v>
      </c>
      <c r="H192" s="16">
        <v>39.0</v>
      </c>
      <c r="I192" s="16">
        <v>55.0</v>
      </c>
      <c r="J192" s="16">
        <v>-16.0</v>
      </c>
      <c r="K192" s="16">
        <v>40.0</v>
      </c>
      <c r="L192" s="16">
        <v>1.05</v>
      </c>
      <c r="M192" s="18">
        <v>20558.0</v>
      </c>
      <c r="N192" s="19" t="s">
        <v>2041</v>
      </c>
      <c r="O192" s="19" t="s">
        <v>2042</v>
      </c>
      <c r="P192" s="21"/>
    </row>
    <row r="193">
      <c r="A193" s="14">
        <v>17.0</v>
      </c>
      <c r="B193" s="15" t="s">
        <v>2043</v>
      </c>
      <c r="C193" s="16">
        <v>2017.0</v>
      </c>
      <c r="D193" s="16">
        <v>38.0</v>
      </c>
      <c r="E193" s="16">
        <v>11.0</v>
      </c>
      <c r="F193" s="16">
        <v>7.0</v>
      </c>
      <c r="G193" s="16">
        <v>20.0</v>
      </c>
      <c r="H193" s="16">
        <v>40.0</v>
      </c>
      <c r="I193" s="16">
        <v>68.0</v>
      </c>
      <c r="J193" s="16">
        <v>-28.0</v>
      </c>
      <c r="K193" s="16">
        <v>40.0</v>
      </c>
      <c r="L193" s="16">
        <v>1.05</v>
      </c>
      <c r="M193" s="18">
        <v>20571.0</v>
      </c>
      <c r="N193" s="19" t="s">
        <v>2044</v>
      </c>
      <c r="O193" s="19" t="s">
        <v>2045</v>
      </c>
      <c r="P193" s="21"/>
    </row>
    <row r="194">
      <c r="A194" s="22">
        <v>18.0</v>
      </c>
      <c r="B194" s="15" t="s">
        <v>2046</v>
      </c>
      <c r="C194" s="16">
        <v>2017.0</v>
      </c>
      <c r="D194" s="16">
        <v>38.0</v>
      </c>
      <c r="E194" s="16">
        <v>9.0</v>
      </c>
      <c r="F194" s="16">
        <v>7.0</v>
      </c>
      <c r="G194" s="16">
        <v>22.0</v>
      </c>
      <c r="H194" s="16">
        <v>37.0</v>
      </c>
      <c r="I194" s="16">
        <v>80.0</v>
      </c>
      <c r="J194" s="16">
        <v>-43.0</v>
      </c>
      <c r="K194" s="16">
        <v>34.0</v>
      </c>
      <c r="L194" s="16">
        <v>0.89</v>
      </c>
      <c r="M194" s="18">
        <v>20761.0</v>
      </c>
      <c r="N194" s="19" t="s">
        <v>2047</v>
      </c>
      <c r="O194" s="19" t="s">
        <v>2048</v>
      </c>
      <c r="P194" s="20" t="s">
        <v>905</v>
      </c>
    </row>
    <row r="195">
      <c r="A195" s="22">
        <v>19.0</v>
      </c>
      <c r="B195" s="15" t="s">
        <v>2049</v>
      </c>
      <c r="C195" s="16">
        <v>2017.0</v>
      </c>
      <c r="D195" s="16">
        <v>38.0</v>
      </c>
      <c r="E195" s="16">
        <v>5.0</v>
      </c>
      <c r="F195" s="16">
        <v>13.0</v>
      </c>
      <c r="G195" s="16">
        <v>20.0</v>
      </c>
      <c r="H195" s="16">
        <v>27.0</v>
      </c>
      <c r="I195" s="16">
        <v>53.0</v>
      </c>
      <c r="J195" s="16">
        <v>-26.0</v>
      </c>
      <c r="K195" s="16">
        <v>28.0</v>
      </c>
      <c r="L195" s="16">
        <v>0.74</v>
      </c>
      <c r="M195" s="18">
        <v>30449.0</v>
      </c>
      <c r="N195" s="19" t="s">
        <v>2050</v>
      </c>
      <c r="O195" s="19" t="s">
        <v>2051</v>
      </c>
      <c r="P195" s="20" t="s">
        <v>905</v>
      </c>
    </row>
    <row r="196">
      <c r="A196" s="23">
        <v>20.0</v>
      </c>
      <c r="B196" s="24" t="s">
        <v>2052</v>
      </c>
      <c r="C196" s="16">
        <v>2017.0</v>
      </c>
      <c r="D196" s="25">
        <v>38.0</v>
      </c>
      <c r="E196" s="25">
        <v>6.0</v>
      </c>
      <c r="F196" s="25">
        <v>6.0</v>
      </c>
      <c r="G196" s="25">
        <v>26.0</v>
      </c>
      <c r="H196" s="25">
        <v>29.0</v>
      </c>
      <c r="I196" s="25">
        <v>69.0</v>
      </c>
      <c r="J196" s="25">
        <v>-40.0</v>
      </c>
      <c r="K196" s="25">
        <v>24.0</v>
      </c>
      <c r="L196" s="25">
        <v>0.63</v>
      </c>
      <c r="M196" s="26">
        <v>41287.0</v>
      </c>
      <c r="N196" s="27" t="s">
        <v>2053</v>
      </c>
      <c r="O196" s="27" t="s">
        <v>2054</v>
      </c>
      <c r="P196" s="28" t="s">
        <v>905</v>
      </c>
    </row>
    <row r="198">
      <c r="A198" s="12" t="s">
        <v>831</v>
      </c>
      <c r="B198" s="13" t="s">
        <v>832</v>
      </c>
      <c r="C198" s="13" t="s">
        <v>3</v>
      </c>
      <c r="D198" s="13" t="s">
        <v>833</v>
      </c>
      <c r="E198" s="13" t="s">
        <v>834</v>
      </c>
      <c r="F198" s="13" t="s">
        <v>835</v>
      </c>
      <c r="G198" s="13" t="s">
        <v>836</v>
      </c>
      <c r="H198" s="13" t="s">
        <v>837</v>
      </c>
      <c r="I198" s="13" t="s">
        <v>838</v>
      </c>
      <c r="J198" s="13" t="s">
        <v>839</v>
      </c>
      <c r="K198" s="13" t="s">
        <v>840</v>
      </c>
      <c r="L198" s="13" t="s">
        <v>841</v>
      </c>
      <c r="M198" s="13" t="s">
        <v>846</v>
      </c>
      <c r="N198" s="13" t="s">
        <v>847</v>
      </c>
      <c r="O198" s="13" t="s">
        <v>848</v>
      </c>
      <c r="P198" s="13" t="s">
        <v>849</v>
      </c>
    </row>
    <row r="199">
      <c r="A199" s="14">
        <v>1.0</v>
      </c>
      <c r="B199" s="15" t="s">
        <v>2055</v>
      </c>
      <c r="C199" s="16">
        <v>2016.0</v>
      </c>
      <c r="D199" s="16">
        <v>38.0</v>
      </c>
      <c r="E199" s="16">
        <v>23.0</v>
      </c>
      <c r="F199" s="16">
        <v>12.0</v>
      </c>
      <c r="G199" s="16">
        <v>3.0</v>
      </c>
      <c r="H199" s="16">
        <v>68.0</v>
      </c>
      <c r="I199" s="16">
        <v>36.0</v>
      </c>
      <c r="J199" s="17">
        <f>+32</f>
        <v>32</v>
      </c>
      <c r="K199" s="16">
        <v>81.0</v>
      </c>
      <c r="L199" s="16">
        <v>2.13</v>
      </c>
      <c r="M199" s="18">
        <v>32021.0</v>
      </c>
      <c r="N199" s="19" t="s">
        <v>2056</v>
      </c>
      <c r="O199" s="19" t="s">
        <v>2057</v>
      </c>
      <c r="P199" s="20" t="s">
        <v>853</v>
      </c>
    </row>
    <row r="200">
      <c r="A200" s="14">
        <v>2.0</v>
      </c>
      <c r="B200" s="15" t="s">
        <v>2058</v>
      </c>
      <c r="C200" s="16">
        <v>2016.0</v>
      </c>
      <c r="D200" s="16">
        <v>38.0</v>
      </c>
      <c r="E200" s="16">
        <v>20.0</v>
      </c>
      <c r="F200" s="16">
        <v>11.0</v>
      </c>
      <c r="G200" s="16">
        <v>7.0</v>
      </c>
      <c r="H200" s="16">
        <v>65.0</v>
      </c>
      <c r="I200" s="16">
        <v>36.0</v>
      </c>
      <c r="J200" s="17">
        <f>+29</f>
        <v>29</v>
      </c>
      <c r="K200" s="16">
        <v>71.0</v>
      </c>
      <c r="L200" s="16">
        <v>1.87</v>
      </c>
      <c r="M200" s="18">
        <v>59944.0</v>
      </c>
      <c r="N200" s="19" t="s">
        <v>2059</v>
      </c>
      <c r="O200" s="19" t="s">
        <v>2060</v>
      </c>
      <c r="P200" s="20" t="s">
        <v>853</v>
      </c>
    </row>
    <row r="201">
      <c r="A201" s="14">
        <v>3.0</v>
      </c>
      <c r="B201" s="15" t="s">
        <v>2061</v>
      </c>
      <c r="C201" s="16">
        <v>2016.0</v>
      </c>
      <c r="D201" s="16">
        <v>38.0</v>
      </c>
      <c r="E201" s="16">
        <v>19.0</v>
      </c>
      <c r="F201" s="16">
        <v>13.0</v>
      </c>
      <c r="G201" s="16">
        <v>6.0</v>
      </c>
      <c r="H201" s="16">
        <v>69.0</v>
      </c>
      <c r="I201" s="16">
        <v>35.0</v>
      </c>
      <c r="J201" s="17">
        <f>+34</f>
        <v>34</v>
      </c>
      <c r="K201" s="16">
        <v>70.0</v>
      </c>
      <c r="L201" s="16">
        <v>1.84</v>
      </c>
      <c r="M201" s="18">
        <v>35776.0</v>
      </c>
      <c r="N201" s="19" t="s">
        <v>2062</v>
      </c>
      <c r="O201" s="19" t="s">
        <v>2063</v>
      </c>
      <c r="P201" s="20" t="s">
        <v>853</v>
      </c>
    </row>
    <row r="202">
      <c r="A202" s="14">
        <v>4.0</v>
      </c>
      <c r="B202" s="15" t="s">
        <v>2064</v>
      </c>
      <c r="C202" s="16">
        <v>2016.0</v>
      </c>
      <c r="D202" s="16">
        <v>38.0</v>
      </c>
      <c r="E202" s="16">
        <v>19.0</v>
      </c>
      <c r="F202" s="16">
        <v>9.0</v>
      </c>
      <c r="G202" s="16">
        <v>10.0</v>
      </c>
      <c r="H202" s="16">
        <v>71.0</v>
      </c>
      <c r="I202" s="16">
        <v>41.0</v>
      </c>
      <c r="J202" s="17">
        <f>+30</f>
        <v>30</v>
      </c>
      <c r="K202" s="16">
        <v>66.0</v>
      </c>
      <c r="L202" s="16">
        <v>1.74</v>
      </c>
      <c r="M202" s="18">
        <v>54041.0</v>
      </c>
      <c r="N202" s="19" t="s">
        <v>2065</v>
      </c>
      <c r="O202" s="19" t="s">
        <v>2066</v>
      </c>
      <c r="P202" s="20" t="s">
        <v>853</v>
      </c>
    </row>
    <row r="203">
      <c r="A203" s="14">
        <v>5.0</v>
      </c>
      <c r="B203" s="15" t="s">
        <v>2067</v>
      </c>
      <c r="C203" s="16">
        <v>2016.0</v>
      </c>
      <c r="D203" s="16">
        <v>38.0</v>
      </c>
      <c r="E203" s="16">
        <v>19.0</v>
      </c>
      <c r="F203" s="16">
        <v>9.0</v>
      </c>
      <c r="G203" s="16">
        <v>10.0</v>
      </c>
      <c r="H203" s="16">
        <v>49.0</v>
      </c>
      <c r="I203" s="16">
        <v>35.0</v>
      </c>
      <c r="J203" s="17">
        <f>+14</f>
        <v>14</v>
      </c>
      <c r="K203" s="16">
        <v>66.0</v>
      </c>
      <c r="L203" s="16">
        <v>1.74</v>
      </c>
      <c r="M203" s="18">
        <v>75279.0</v>
      </c>
      <c r="N203" s="19" t="s">
        <v>2068</v>
      </c>
      <c r="O203" s="19" t="s">
        <v>2069</v>
      </c>
      <c r="P203" s="20" t="s">
        <v>1294</v>
      </c>
    </row>
    <row r="204">
      <c r="A204" s="14">
        <v>6.0</v>
      </c>
      <c r="B204" s="15" t="s">
        <v>2070</v>
      </c>
      <c r="C204" s="16">
        <v>2016.0</v>
      </c>
      <c r="D204" s="16">
        <v>38.0</v>
      </c>
      <c r="E204" s="16">
        <v>18.0</v>
      </c>
      <c r="F204" s="16">
        <v>9.0</v>
      </c>
      <c r="G204" s="16">
        <v>11.0</v>
      </c>
      <c r="H204" s="16">
        <v>59.0</v>
      </c>
      <c r="I204" s="16">
        <v>41.0</v>
      </c>
      <c r="J204" s="17">
        <f>+18</f>
        <v>18</v>
      </c>
      <c r="K204" s="16">
        <v>63.0</v>
      </c>
      <c r="L204" s="16">
        <v>1.66</v>
      </c>
      <c r="M204" s="18">
        <v>30751.0</v>
      </c>
      <c r="N204" s="19" t="s">
        <v>2071</v>
      </c>
      <c r="O204" s="19" t="s">
        <v>2072</v>
      </c>
      <c r="P204" s="20" t="s">
        <v>1345</v>
      </c>
    </row>
    <row r="205">
      <c r="A205" s="14">
        <v>7.0</v>
      </c>
      <c r="B205" s="15" t="s">
        <v>2073</v>
      </c>
      <c r="C205" s="16">
        <v>2016.0</v>
      </c>
      <c r="D205" s="16">
        <v>38.0</v>
      </c>
      <c r="E205" s="16">
        <v>16.0</v>
      </c>
      <c r="F205" s="16">
        <v>14.0</v>
      </c>
      <c r="G205" s="16">
        <v>8.0</v>
      </c>
      <c r="H205" s="16">
        <v>65.0</v>
      </c>
      <c r="I205" s="16">
        <v>51.0</v>
      </c>
      <c r="J205" s="17">
        <f>+14</f>
        <v>14</v>
      </c>
      <c r="K205" s="16">
        <v>62.0</v>
      </c>
      <c r="L205" s="16">
        <v>1.63</v>
      </c>
      <c r="M205" s="18">
        <v>34910.0</v>
      </c>
      <c r="N205" s="19" t="s">
        <v>2074</v>
      </c>
      <c r="O205" s="19" t="s">
        <v>2075</v>
      </c>
      <c r="P205" s="20" t="s">
        <v>2076</v>
      </c>
    </row>
    <row r="206">
      <c r="A206" s="14">
        <v>8.0</v>
      </c>
      <c r="B206" s="15" t="s">
        <v>2077</v>
      </c>
      <c r="C206" s="16">
        <v>2016.0</v>
      </c>
      <c r="D206" s="16">
        <v>38.0</v>
      </c>
      <c r="E206" s="16">
        <v>16.0</v>
      </c>
      <c r="F206" s="16">
        <v>12.0</v>
      </c>
      <c r="G206" s="16">
        <v>10.0</v>
      </c>
      <c r="H206" s="16">
        <v>63.0</v>
      </c>
      <c r="I206" s="16">
        <v>50.0</v>
      </c>
      <c r="J206" s="17">
        <f>+13</f>
        <v>13</v>
      </c>
      <c r="K206" s="16">
        <v>60.0</v>
      </c>
      <c r="L206" s="16">
        <v>1.58</v>
      </c>
      <c r="M206" s="18">
        <v>43910.0</v>
      </c>
      <c r="N206" s="19" t="s">
        <v>2078</v>
      </c>
      <c r="O206" s="19" t="s">
        <v>2079</v>
      </c>
      <c r="P206" s="21"/>
    </row>
    <row r="207">
      <c r="A207" s="14">
        <v>9.0</v>
      </c>
      <c r="B207" s="15" t="s">
        <v>2080</v>
      </c>
      <c r="C207" s="16">
        <v>2016.0</v>
      </c>
      <c r="D207" s="16">
        <v>38.0</v>
      </c>
      <c r="E207" s="16">
        <v>14.0</v>
      </c>
      <c r="F207" s="16">
        <v>9.0</v>
      </c>
      <c r="G207" s="16">
        <v>15.0</v>
      </c>
      <c r="H207" s="16">
        <v>41.0</v>
      </c>
      <c r="I207" s="16">
        <v>55.0</v>
      </c>
      <c r="J207" s="16">
        <v>-14.0</v>
      </c>
      <c r="K207" s="16">
        <v>51.0</v>
      </c>
      <c r="L207" s="16">
        <v>1.34</v>
      </c>
      <c r="M207" s="18">
        <v>27534.0</v>
      </c>
      <c r="N207" s="19" t="s">
        <v>2081</v>
      </c>
      <c r="O207" s="19" t="s">
        <v>2082</v>
      </c>
      <c r="P207" s="21"/>
    </row>
    <row r="208">
      <c r="A208" s="14">
        <v>10.0</v>
      </c>
      <c r="B208" s="15" t="s">
        <v>2083</v>
      </c>
      <c r="C208" s="16">
        <v>2016.0</v>
      </c>
      <c r="D208" s="16">
        <v>38.0</v>
      </c>
      <c r="E208" s="16">
        <v>12.0</v>
      </c>
      <c r="F208" s="16">
        <v>14.0</v>
      </c>
      <c r="G208" s="16">
        <v>12.0</v>
      </c>
      <c r="H208" s="16">
        <v>59.0</v>
      </c>
      <c r="I208" s="16">
        <v>53.0</v>
      </c>
      <c r="J208" s="17">
        <f>+6</f>
        <v>6</v>
      </c>
      <c r="K208" s="16">
        <v>50.0</v>
      </c>
      <c r="L208" s="16">
        <v>1.32</v>
      </c>
      <c r="M208" s="18">
        <v>41500.0</v>
      </c>
      <c r="N208" s="19" t="s">
        <v>2084</v>
      </c>
      <c r="O208" s="19" t="s">
        <v>2085</v>
      </c>
      <c r="P208" s="21"/>
    </row>
    <row r="209">
      <c r="A209" s="14">
        <v>11.0</v>
      </c>
      <c r="B209" s="15" t="s">
        <v>2086</v>
      </c>
      <c r="C209" s="16">
        <v>2016.0</v>
      </c>
      <c r="D209" s="16">
        <v>38.0</v>
      </c>
      <c r="E209" s="16">
        <v>11.0</v>
      </c>
      <c r="F209" s="16">
        <v>14.0</v>
      </c>
      <c r="G209" s="16">
        <v>13.0</v>
      </c>
      <c r="H209" s="16">
        <v>59.0</v>
      </c>
      <c r="I209" s="16">
        <v>55.0</v>
      </c>
      <c r="J209" s="17">
        <f>+4</f>
        <v>4</v>
      </c>
      <c r="K209" s="16">
        <v>47.0</v>
      </c>
      <c r="L209" s="16">
        <v>1.24</v>
      </c>
      <c r="M209" s="18">
        <v>38124.0</v>
      </c>
      <c r="N209" s="19" t="s">
        <v>2087</v>
      </c>
      <c r="O209" s="19" t="s">
        <v>2088</v>
      </c>
      <c r="P209" s="21"/>
    </row>
    <row r="210">
      <c r="A210" s="14">
        <v>12.0</v>
      </c>
      <c r="B210" s="15" t="s">
        <v>2089</v>
      </c>
      <c r="C210" s="16">
        <v>2016.0</v>
      </c>
      <c r="D210" s="16">
        <v>38.0</v>
      </c>
      <c r="E210" s="16">
        <v>12.0</v>
      </c>
      <c r="F210" s="16">
        <v>11.0</v>
      </c>
      <c r="G210" s="16">
        <v>15.0</v>
      </c>
      <c r="H210" s="16">
        <v>42.0</v>
      </c>
      <c r="I210" s="16">
        <v>52.0</v>
      </c>
      <c r="J210" s="16">
        <v>-10.0</v>
      </c>
      <c r="K210" s="16">
        <v>47.0</v>
      </c>
      <c r="L210" s="16">
        <v>1.24</v>
      </c>
      <c r="M210" s="18">
        <v>20711.0</v>
      </c>
      <c r="N210" s="19" t="s">
        <v>2090</v>
      </c>
      <c r="O210" s="19" t="s">
        <v>2091</v>
      </c>
      <c r="P210" s="21"/>
    </row>
    <row r="211">
      <c r="A211" s="14">
        <v>13.0</v>
      </c>
      <c r="B211" s="15" t="s">
        <v>2092</v>
      </c>
      <c r="C211" s="16">
        <v>2016.0</v>
      </c>
      <c r="D211" s="16">
        <v>38.0</v>
      </c>
      <c r="E211" s="16">
        <v>12.0</v>
      </c>
      <c r="F211" s="16">
        <v>9.0</v>
      </c>
      <c r="G211" s="16">
        <v>17.0</v>
      </c>
      <c r="H211" s="16">
        <v>40.0</v>
      </c>
      <c r="I211" s="16">
        <v>50.0</v>
      </c>
      <c r="J211" s="16">
        <v>-10.0</v>
      </c>
      <c r="K211" s="16">
        <v>45.0</v>
      </c>
      <c r="L211" s="16">
        <v>1.18</v>
      </c>
      <c r="M211" s="18">
        <v>20594.0</v>
      </c>
      <c r="N211" s="19" t="s">
        <v>2093</v>
      </c>
      <c r="O211" s="19" t="s">
        <v>2094</v>
      </c>
      <c r="P211" s="21"/>
    </row>
    <row r="212">
      <c r="A212" s="14">
        <v>14.0</v>
      </c>
      <c r="B212" s="15" t="s">
        <v>2095</v>
      </c>
      <c r="C212" s="16">
        <v>2016.0</v>
      </c>
      <c r="D212" s="16">
        <v>38.0</v>
      </c>
      <c r="E212" s="16">
        <v>10.0</v>
      </c>
      <c r="F212" s="16">
        <v>13.0</v>
      </c>
      <c r="G212" s="16">
        <v>15.0</v>
      </c>
      <c r="H212" s="16">
        <v>34.0</v>
      </c>
      <c r="I212" s="16">
        <v>48.0</v>
      </c>
      <c r="J212" s="16">
        <v>-14.0</v>
      </c>
      <c r="K212" s="16">
        <v>43.0</v>
      </c>
      <c r="L212" s="16">
        <v>1.13</v>
      </c>
      <c r="M212" s="18">
        <v>24631.0</v>
      </c>
      <c r="N212" s="19" t="s">
        <v>2096</v>
      </c>
      <c r="O212" s="19" t="s">
        <v>2097</v>
      </c>
      <c r="P212" s="21"/>
    </row>
    <row r="213">
      <c r="A213" s="14">
        <v>15.0</v>
      </c>
      <c r="B213" s="15" t="s">
        <v>2098</v>
      </c>
      <c r="C213" s="16">
        <v>2016.0</v>
      </c>
      <c r="D213" s="16">
        <v>38.0</v>
      </c>
      <c r="E213" s="16">
        <v>11.0</v>
      </c>
      <c r="F213" s="16">
        <v>9.0</v>
      </c>
      <c r="G213" s="16">
        <v>18.0</v>
      </c>
      <c r="H213" s="16">
        <v>39.0</v>
      </c>
      <c r="I213" s="16">
        <v>51.0</v>
      </c>
      <c r="J213" s="16">
        <v>-12.0</v>
      </c>
      <c r="K213" s="16">
        <v>42.0</v>
      </c>
      <c r="L213" s="16">
        <v>1.11</v>
      </c>
      <c r="M213" s="18">
        <v>24825.0</v>
      </c>
      <c r="N213" s="19" t="s">
        <v>2099</v>
      </c>
      <c r="O213" s="19" t="s">
        <v>2100</v>
      </c>
      <c r="P213" s="21"/>
    </row>
    <row r="214">
      <c r="A214" s="14">
        <v>16.0</v>
      </c>
      <c r="B214" s="15" t="s">
        <v>2101</v>
      </c>
      <c r="C214" s="16">
        <v>2016.0</v>
      </c>
      <c r="D214" s="16">
        <v>38.0</v>
      </c>
      <c r="E214" s="16">
        <v>11.0</v>
      </c>
      <c r="F214" s="16">
        <v>9.0</v>
      </c>
      <c r="G214" s="16">
        <v>18.0</v>
      </c>
      <c r="H214" s="16">
        <v>45.0</v>
      </c>
      <c r="I214" s="16">
        <v>67.0</v>
      </c>
      <c r="J214" s="16">
        <v>-22.0</v>
      </c>
      <c r="K214" s="16">
        <v>42.0</v>
      </c>
      <c r="L214" s="16">
        <v>1.11</v>
      </c>
      <c r="M214" s="18">
        <v>11189.0</v>
      </c>
      <c r="N214" s="19" t="s">
        <v>2102</v>
      </c>
      <c r="O214" s="19" t="s">
        <v>2103</v>
      </c>
      <c r="P214" s="21"/>
    </row>
    <row r="215">
      <c r="A215" s="14">
        <v>17.0</v>
      </c>
      <c r="B215" s="15" t="s">
        <v>2104</v>
      </c>
      <c r="C215" s="16">
        <v>2016.0</v>
      </c>
      <c r="D215" s="16">
        <v>38.0</v>
      </c>
      <c r="E215" s="16">
        <v>9.0</v>
      </c>
      <c r="F215" s="16">
        <v>12.0</v>
      </c>
      <c r="G215" s="16">
        <v>17.0</v>
      </c>
      <c r="H215" s="16">
        <v>48.0</v>
      </c>
      <c r="I215" s="16">
        <v>62.0</v>
      </c>
      <c r="J215" s="16">
        <v>-14.0</v>
      </c>
      <c r="K215" s="16">
        <v>39.0</v>
      </c>
      <c r="L215" s="16">
        <v>1.03</v>
      </c>
      <c r="M215" s="18">
        <v>43071.0</v>
      </c>
      <c r="N215" s="19" t="s">
        <v>2105</v>
      </c>
      <c r="O215" s="19" t="s">
        <v>2106</v>
      </c>
      <c r="P215" s="21"/>
    </row>
    <row r="216">
      <c r="A216" s="22">
        <v>18.0</v>
      </c>
      <c r="B216" s="15" t="s">
        <v>2107</v>
      </c>
      <c r="C216" s="16">
        <v>2016.0</v>
      </c>
      <c r="D216" s="16">
        <v>38.0</v>
      </c>
      <c r="E216" s="16">
        <v>9.0</v>
      </c>
      <c r="F216" s="16">
        <v>10.0</v>
      </c>
      <c r="G216" s="16">
        <v>19.0</v>
      </c>
      <c r="H216" s="16">
        <v>44.0</v>
      </c>
      <c r="I216" s="16">
        <v>65.0</v>
      </c>
      <c r="J216" s="16">
        <v>-21.0</v>
      </c>
      <c r="K216" s="16">
        <v>37.0</v>
      </c>
      <c r="L216" s="16">
        <v>0.97</v>
      </c>
      <c r="M216" s="18">
        <v>49754.0</v>
      </c>
      <c r="N216" s="19" t="s">
        <v>2108</v>
      </c>
      <c r="O216" s="19" t="s">
        <v>2109</v>
      </c>
      <c r="P216" s="20" t="s">
        <v>905</v>
      </c>
    </row>
    <row r="217">
      <c r="A217" s="22">
        <v>19.0</v>
      </c>
      <c r="B217" s="15" t="s">
        <v>2110</v>
      </c>
      <c r="C217" s="16">
        <v>2016.0</v>
      </c>
      <c r="D217" s="16">
        <v>38.0</v>
      </c>
      <c r="E217" s="16">
        <v>9.0</v>
      </c>
      <c r="F217" s="16">
        <v>7.0</v>
      </c>
      <c r="G217" s="16">
        <v>22.0</v>
      </c>
      <c r="H217" s="16">
        <v>39.0</v>
      </c>
      <c r="I217" s="16">
        <v>67.0</v>
      </c>
      <c r="J217" s="16">
        <v>-28.0</v>
      </c>
      <c r="K217" s="16">
        <v>34.0</v>
      </c>
      <c r="L217" s="16">
        <v>0.89</v>
      </c>
      <c r="M217" s="18">
        <v>26972.0</v>
      </c>
      <c r="N217" s="19" t="s">
        <v>2111</v>
      </c>
      <c r="O217" s="19" t="s">
        <v>2112</v>
      </c>
      <c r="P217" s="20" t="s">
        <v>905</v>
      </c>
    </row>
    <row r="218">
      <c r="A218" s="23">
        <v>20.0</v>
      </c>
      <c r="B218" s="24" t="s">
        <v>2113</v>
      </c>
      <c r="C218" s="16">
        <v>2016.0</v>
      </c>
      <c r="D218" s="25">
        <v>38.0</v>
      </c>
      <c r="E218" s="25">
        <v>3.0</v>
      </c>
      <c r="F218" s="25">
        <v>8.0</v>
      </c>
      <c r="G218" s="25">
        <v>27.0</v>
      </c>
      <c r="H218" s="25">
        <v>27.0</v>
      </c>
      <c r="I218" s="25">
        <v>76.0</v>
      </c>
      <c r="J218" s="25">
        <v>-49.0</v>
      </c>
      <c r="K218" s="25">
        <v>17.0</v>
      </c>
      <c r="L218" s="25">
        <v>0.45</v>
      </c>
      <c r="M218" s="26">
        <v>33690.0</v>
      </c>
      <c r="N218" s="27" t="s">
        <v>2114</v>
      </c>
      <c r="O218" s="27" t="s">
        <v>2115</v>
      </c>
      <c r="P218" s="28" t="s">
        <v>905</v>
      </c>
    </row>
  </sheetData>
  <hyperlinks>
    <hyperlink r:id="rId1" ref="B2"/>
    <hyperlink r:id="rId2" ref="R2"/>
    <hyperlink r:id="rId3" ref="S2"/>
    <hyperlink r:id="rId4" ref="B3"/>
    <hyperlink r:id="rId5" ref="R3"/>
    <hyperlink r:id="rId6" ref="S3"/>
    <hyperlink r:id="rId7" ref="B4"/>
    <hyperlink r:id="rId8" ref="R4"/>
    <hyperlink r:id="rId9" ref="S4"/>
    <hyperlink r:id="rId10" ref="B5"/>
    <hyperlink r:id="rId11" ref="R5"/>
    <hyperlink r:id="rId12" ref="S5"/>
    <hyperlink r:id="rId13" ref="B6"/>
    <hyperlink r:id="rId14" ref="R6"/>
    <hyperlink r:id="rId15" ref="S6"/>
    <hyperlink r:id="rId16" ref="B7"/>
    <hyperlink r:id="rId17" ref="R7"/>
    <hyperlink r:id="rId18" ref="S7"/>
    <hyperlink r:id="rId19" ref="B8"/>
    <hyperlink r:id="rId20" ref="R8"/>
    <hyperlink r:id="rId21" ref="S8"/>
    <hyperlink r:id="rId22" ref="B9"/>
    <hyperlink r:id="rId23" ref="R9"/>
    <hyperlink r:id="rId24" ref="S9"/>
    <hyperlink r:id="rId25" ref="B10"/>
    <hyperlink r:id="rId26" ref="R10"/>
    <hyperlink r:id="rId27" ref="S10"/>
    <hyperlink r:id="rId28" ref="B11"/>
    <hyperlink r:id="rId29" ref="R11"/>
    <hyperlink r:id="rId30" ref="S11"/>
    <hyperlink r:id="rId31" ref="B12"/>
    <hyperlink r:id="rId32" ref="R12"/>
    <hyperlink r:id="rId33" ref="S12"/>
    <hyperlink r:id="rId34" ref="B13"/>
    <hyperlink r:id="rId35" ref="R13"/>
    <hyperlink r:id="rId36" ref="S13"/>
    <hyperlink r:id="rId37" ref="B14"/>
    <hyperlink r:id="rId38" ref="R14"/>
    <hyperlink r:id="rId39" ref="S14"/>
    <hyperlink r:id="rId40" ref="B15"/>
    <hyperlink r:id="rId41" ref="R15"/>
    <hyperlink r:id="rId42" ref="S15"/>
    <hyperlink r:id="rId43" ref="B16"/>
    <hyperlink r:id="rId44" ref="R16"/>
    <hyperlink r:id="rId45" ref="S16"/>
    <hyperlink r:id="rId46" ref="B17"/>
    <hyperlink r:id="rId47" ref="R17"/>
    <hyperlink r:id="rId48" ref="S17"/>
    <hyperlink r:id="rId49" ref="B18"/>
    <hyperlink r:id="rId50" ref="R18"/>
    <hyperlink r:id="rId51" ref="S18"/>
    <hyperlink r:id="rId52" ref="B19"/>
    <hyperlink r:id="rId53" ref="R19"/>
    <hyperlink r:id="rId54" ref="S19"/>
    <hyperlink r:id="rId55" ref="B20"/>
    <hyperlink r:id="rId56" ref="R20"/>
    <hyperlink r:id="rId57" ref="S20"/>
    <hyperlink r:id="rId58" ref="B21"/>
    <hyperlink r:id="rId59" ref="R21"/>
    <hyperlink r:id="rId60" ref="S21"/>
    <hyperlink r:id="rId61" ref="B24"/>
    <hyperlink r:id="rId62" ref="R24"/>
    <hyperlink r:id="rId63" ref="S24"/>
    <hyperlink r:id="rId64" ref="B25"/>
    <hyperlink r:id="rId65" ref="R25"/>
    <hyperlink r:id="rId66" ref="S25"/>
    <hyperlink r:id="rId67" ref="B26"/>
    <hyperlink r:id="rId68" ref="R26"/>
    <hyperlink r:id="rId69" ref="S26"/>
    <hyperlink r:id="rId70" ref="B27"/>
    <hyperlink r:id="rId71" ref="R27"/>
    <hyperlink r:id="rId72" ref="S27"/>
    <hyperlink r:id="rId73" ref="B28"/>
    <hyperlink r:id="rId74" ref="R28"/>
    <hyperlink r:id="rId75" ref="S28"/>
    <hyperlink r:id="rId76" ref="B29"/>
    <hyperlink r:id="rId77" ref="R29"/>
    <hyperlink r:id="rId78" ref="S29"/>
    <hyperlink r:id="rId79" ref="B30"/>
    <hyperlink r:id="rId80" ref="R30"/>
    <hyperlink r:id="rId81" ref="S30"/>
    <hyperlink r:id="rId82" ref="B31"/>
    <hyperlink r:id="rId83" ref="R31"/>
    <hyperlink r:id="rId84" ref="S31"/>
    <hyperlink r:id="rId85" ref="B32"/>
    <hyperlink r:id="rId86" ref="R32"/>
    <hyperlink r:id="rId87" ref="S32"/>
    <hyperlink r:id="rId88" ref="B33"/>
    <hyperlink r:id="rId89" ref="R33"/>
    <hyperlink r:id="rId90" ref="S33"/>
    <hyperlink r:id="rId91" ref="B34"/>
    <hyperlink r:id="rId92" ref="R34"/>
    <hyperlink r:id="rId93" ref="S34"/>
    <hyperlink r:id="rId94" ref="B35"/>
    <hyperlink r:id="rId95" ref="R35"/>
    <hyperlink r:id="rId96" ref="S35"/>
    <hyperlink r:id="rId97" ref="B36"/>
    <hyperlink r:id="rId98" ref="R36"/>
    <hyperlink r:id="rId99" ref="S36"/>
    <hyperlink r:id="rId100" ref="B37"/>
    <hyperlink r:id="rId101" ref="R37"/>
    <hyperlink r:id="rId102" ref="S37"/>
    <hyperlink r:id="rId103" ref="B38"/>
    <hyperlink r:id="rId104" ref="R38"/>
    <hyperlink r:id="rId105" ref="S38"/>
    <hyperlink r:id="rId106" ref="B39"/>
    <hyperlink r:id="rId107" ref="R39"/>
    <hyperlink r:id="rId108" ref="S39"/>
    <hyperlink r:id="rId109" ref="B40"/>
    <hyperlink r:id="rId110" ref="R40"/>
    <hyperlink r:id="rId111" ref="S40"/>
    <hyperlink r:id="rId112" ref="B41"/>
    <hyperlink r:id="rId113" ref="R41"/>
    <hyperlink r:id="rId114" ref="S41"/>
    <hyperlink r:id="rId115" ref="B42"/>
    <hyperlink r:id="rId116" ref="R42"/>
    <hyperlink r:id="rId117" ref="S42"/>
    <hyperlink r:id="rId118" ref="B43"/>
    <hyperlink r:id="rId119" ref="R43"/>
    <hyperlink r:id="rId120" ref="S43"/>
    <hyperlink r:id="rId121" ref="B46"/>
    <hyperlink r:id="rId122" ref="R46"/>
    <hyperlink r:id="rId123" ref="S46"/>
    <hyperlink r:id="rId124" ref="B47"/>
    <hyperlink r:id="rId125" ref="R47"/>
    <hyperlink r:id="rId126" ref="S47"/>
    <hyperlink r:id="rId127" ref="B48"/>
    <hyperlink r:id="rId128" ref="R48"/>
    <hyperlink r:id="rId129" ref="S48"/>
    <hyperlink r:id="rId130" ref="B49"/>
    <hyperlink r:id="rId131" ref="R49"/>
    <hyperlink r:id="rId132" ref="S49"/>
    <hyperlink r:id="rId133" ref="B50"/>
    <hyperlink r:id="rId134" ref="R50"/>
    <hyperlink r:id="rId135" ref="S50"/>
    <hyperlink r:id="rId136" ref="B51"/>
    <hyperlink r:id="rId137" ref="R51"/>
    <hyperlink r:id="rId138" ref="S51"/>
    <hyperlink r:id="rId139" ref="B52"/>
    <hyperlink r:id="rId140" ref="R52"/>
    <hyperlink r:id="rId141" ref="S52"/>
    <hyperlink r:id="rId142" ref="B53"/>
    <hyperlink r:id="rId143" ref="R53"/>
    <hyperlink r:id="rId144" ref="S53"/>
    <hyperlink r:id="rId145" ref="B54"/>
    <hyperlink r:id="rId146" ref="R54"/>
    <hyperlink r:id="rId147" ref="S54"/>
    <hyperlink r:id="rId148" ref="B55"/>
    <hyperlink r:id="rId149" ref="R55"/>
    <hyperlink r:id="rId150" ref="S55"/>
    <hyperlink r:id="rId151" ref="B56"/>
    <hyperlink r:id="rId152" ref="R56"/>
    <hyperlink r:id="rId153" ref="S56"/>
    <hyperlink r:id="rId154" ref="B57"/>
    <hyperlink r:id="rId155" ref="R57"/>
    <hyperlink r:id="rId156" ref="S57"/>
    <hyperlink r:id="rId157" ref="B58"/>
    <hyperlink r:id="rId158" ref="R58"/>
    <hyperlink r:id="rId159" ref="S58"/>
    <hyperlink r:id="rId160" ref="B59"/>
    <hyperlink r:id="rId161" ref="R59"/>
    <hyperlink r:id="rId162" ref="S59"/>
    <hyperlink r:id="rId163" ref="B60"/>
    <hyperlink r:id="rId164" ref="R60"/>
    <hyperlink r:id="rId165" ref="S60"/>
    <hyperlink r:id="rId166" ref="B61"/>
    <hyperlink r:id="rId167" ref="R61"/>
    <hyperlink r:id="rId168" ref="S61"/>
    <hyperlink r:id="rId169" ref="B62"/>
    <hyperlink r:id="rId170" ref="R62"/>
    <hyperlink r:id="rId171" ref="S62"/>
    <hyperlink r:id="rId172" ref="B63"/>
    <hyperlink r:id="rId173" ref="R63"/>
    <hyperlink r:id="rId174" ref="S63"/>
    <hyperlink r:id="rId175" ref="B64"/>
    <hyperlink r:id="rId176" ref="R64"/>
    <hyperlink r:id="rId177" ref="S64"/>
    <hyperlink r:id="rId178" ref="B65"/>
    <hyperlink r:id="rId179" ref="R65"/>
    <hyperlink r:id="rId180" ref="S65"/>
    <hyperlink r:id="rId181" ref="B68"/>
    <hyperlink r:id="rId182" ref="R68"/>
    <hyperlink r:id="rId183" ref="S68"/>
    <hyperlink r:id="rId184" ref="B69"/>
    <hyperlink r:id="rId185" ref="R69"/>
    <hyperlink r:id="rId186" ref="S69"/>
    <hyperlink r:id="rId187" ref="B70"/>
    <hyperlink r:id="rId188" ref="R70"/>
    <hyperlink r:id="rId189" ref="S70"/>
    <hyperlink r:id="rId190" ref="B71"/>
    <hyperlink r:id="rId191" ref="R71"/>
    <hyperlink r:id="rId192" ref="S71"/>
    <hyperlink r:id="rId193" ref="B72"/>
    <hyperlink r:id="rId194" ref="R72"/>
    <hyperlink r:id="rId195" ref="S72"/>
    <hyperlink r:id="rId196" ref="B73"/>
    <hyperlink r:id="rId197" ref="R73"/>
    <hyperlink r:id="rId198" ref="S73"/>
    <hyperlink r:id="rId199" ref="B74"/>
    <hyperlink r:id="rId200" ref="R74"/>
    <hyperlink r:id="rId201" ref="S74"/>
    <hyperlink r:id="rId202" ref="B75"/>
    <hyperlink r:id="rId203" ref="R75"/>
    <hyperlink r:id="rId204" ref="S75"/>
    <hyperlink r:id="rId205" ref="B76"/>
    <hyperlink r:id="rId206" ref="R76"/>
    <hyperlink r:id="rId207" ref="S76"/>
    <hyperlink r:id="rId208" ref="B77"/>
    <hyperlink r:id="rId209" ref="R77"/>
    <hyperlink r:id="rId210" ref="S77"/>
    <hyperlink r:id="rId211" ref="B78"/>
    <hyperlink r:id="rId212" ref="R78"/>
    <hyperlink r:id="rId213" ref="S78"/>
    <hyperlink r:id="rId214" ref="B79"/>
    <hyperlink r:id="rId215" ref="R79"/>
    <hyperlink r:id="rId216" ref="S79"/>
    <hyperlink r:id="rId217" ref="B80"/>
    <hyperlink r:id="rId218" ref="R80"/>
    <hyperlink r:id="rId219" ref="S80"/>
    <hyperlink r:id="rId220" ref="B81"/>
    <hyperlink r:id="rId221" ref="R81"/>
    <hyperlink r:id="rId222" ref="S81"/>
    <hyperlink r:id="rId223" ref="B82"/>
    <hyperlink r:id="rId224" ref="R82"/>
    <hyperlink r:id="rId225" ref="S82"/>
    <hyperlink r:id="rId226" ref="B83"/>
    <hyperlink r:id="rId227" ref="R83"/>
    <hyperlink r:id="rId228" ref="S83"/>
    <hyperlink r:id="rId229" ref="B84"/>
    <hyperlink r:id="rId230" ref="R84"/>
    <hyperlink r:id="rId231" ref="S84"/>
    <hyperlink r:id="rId232" ref="B85"/>
    <hyperlink r:id="rId233" ref="R85"/>
    <hyperlink r:id="rId234" ref="S85"/>
    <hyperlink r:id="rId235" ref="B86"/>
    <hyperlink r:id="rId236" ref="R86"/>
    <hyperlink r:id="rId237" ref="S86"/>
    <hyperlink r:id="rId238" ref="B87"/>
    <hyperlink r:id="rId239" ref="R87"/>
    <hyperlink r:id="rId240" ref="S87"/>
    <hyperlink r:id="rId241" ref="B90"/>
    <hyperlink r:id="rId242" ref="R90"/>
    <hyperlink r:id="rId243" ref="S90"/>
    <hyperlink r:id="rId244" ref="B91"/>
    <hyperlink r:id="rId245" ref="R91"/>
    <hyperlink r:id="rId246" ref="S91"/>
    <hyperlink r:id="rId247" ref="B92"/>
    <hyperlink r:id="rId248" ref="R92"/>
    <hyperlink r:id="rId249" ref="S92"/>
    <hyperlink r:id="rId250" ref="B93"/>
    <hyperlink r:id="rId251" ref="R93"/>
    <hyperlink r:id="rId252" ref="S93"/>
    <hyperlink r:id="rId253" ref="B94"/>
    <hyperlink r:id="rId254" ref="R94"/>
    <hyperlink r:id="rId255" ref="S94"/>
    <hyperlink r:id="rId256" ref="B95"/>
    <hyperlink r:id="rId257" ref="R95"/>
    <hyperlink r:id="rId258" ref="S95"/>
    <hyperlink r:id="rId259" ref="B96"/>
    <hyperlink r:id="rId260" ref="R96"/>
    <hyperlink r:id="rId261" ref="S96"/>
    <hyperlink r:id="rId262" ref="B97"/>
    <hyperlink r:id="rId263" ref="R97"/>
    <hyperlink r:id="rId264" ref="S97"/>
    <hyperlink r:id="rId265" ref="B98"/>
    <hyperlink r:id="rId266" ref="R98"/>
    <hyperlink r:id="rId267" ref="S98"/>
    <hyperlink r:id="rId268" ref="B99"/>
    <hyperlink r:id="rId269" ref="R99"/>
    <hyperlink r:id="rId270" ref="S99"/>
    <hyperlink r:id="rId271" ref="B100"/>
    <hyperlink r:id="rId272" ref="R100"/>
    <hyperlink r:id="rId273" ref="S100"/>
    <hyperlink r:id="rId274" ref="B101"/>
    <hyperlink r:id="rId275" ref="R101"/>
    <hyperlink r:id="rId276" ref="S101"/>
    <hyperlink r:id="rId277" ref="B102"/>
    <hyperlink r:id="rId278" ref="R102"/>
    <hyperlink r:id="rId279" ref="S102"/>
    <hyperlink r:id="rId280" ref="B103"/>
    <hyperlink r:id="rId281" ref="R103"/>
    <hyperlink r:id="rId282" ref="S103"/>
    <hyperlink r:id="rId283" ref="B104"/>
    <hyperlink r:id="rId284" ref="R104"/>
    <hyperlink r:id="rId285" ref="S104"/>
    <hyperlink r:id="rId286" ref="B105"/>
    <hyperlink r:id="rId287" ref="R105"/>
    <hyperlink r:id="rId288" ref="S105"/>
    <hyperlink r:id="rId289" ref="B106"/>
    <hyperlink r:id="rId290" ref="R106"/>
    <hyperlink r:id="rId291" ref="S106"/>
    <hyperlink r:id="rId292" ref="B107"/>
    <hyperlink r:id="rId293" ref="R107"/>
    <hyperlink r:id="rId294" ref="S107"/>
    <hyperlink r:id="rId295" ref="B108"/>
    <hyperlink r:id="rId296" ref="R108"/>
    <hyperlink r:id="rId297" ref="S108"/>
    <hyperlink r:id="rId298" ref="B109"/>
    <hyperlink r:id="rId299" ref="R109"/>
    <hyperlink r:id="rId300" ref="S109"/>
    <hyperlink r:id="rId301" ref="B112"/>
    <hyperlink r:id="rId302" ref="R112"/>
    <hyperlink r:id="rId303" ref="S112"/>
    <hyperlink r:id="rId304" ref="B113"/>
    <hyperlink r:id="rId305" ref="R113"/>
    <hyperlink r:id="rId306" ref="S113"/>
    <hyperlink r:id="rId307" ref="B114"/>
    <hyperlink r:id="rId308" ref="R114"/>
    <hyperlink r:id="rId309" ref="S114"/>
    <hyperlink r:id="rId310" ref="B115"/>
    <hyperlink r:id="rId311" ref="R115"/>
    <hyperlink r:id="rId312" ref="S115"/>
    <hyperlink r:id="rId313" ref="B116"/>
    <hyperlink r:id="rId314" ref="R116"/>
    <hyperlink r:id="rId315" ref="S116"/>
    <hyperlink r:id="rId316" ref="B117"/>
    <hyperlink r:id="rId317" ref="R117"/>
    <hyperlink r:id="rId318" ref="S117"/>
    <hyperlink r:id="rId319" ref="B118"/>
    <hyperlink r:id="rId320" ref="R118"/>
    <hyperlink r:id="rId321" ref="S118"/>
    <hyperlink r:id="rId322" ref="B119"/>
    <hyperlink r:id="rId323" ref="R119"/>
    <hyperlink r:id="rId324" ref="S119"/>
    <hyperlink r:id="rId325" ref="B120"/>
    <hyperlink r:id="rId326" ref="R120"/>
    <hyperlink r:id="rId327" ref="S120"/>
    <hyperlink r:id="rId328" ref="B121"/>
    <hyperlink r:id="rId329" ref="R121"/>
    <hyperlink r:id="rId330" ref="S121"/>
    <hyperlink r:id="rId331" ref="B122"/>
    <hyperlink r:id="rId332" ref="R122"/>
    <hyperlink r:id="rId333" ref="S122"/>
    <hyperlink r:id="rId334" ref="B123"/>
    <hyperlink r:id="rId335" ref="R123"/>
    <hyperlink r:id="rId336" ref="S123"/>
    <hyperlink r:id="rId337" ref="B124"/>
    <hyperlink r:id="rId338" ref="R124"/>
    <hyperlink r:id="rId339" ref="S124"/>
    <hyperlink r:id="rId340" ref="B125"/>
    <hyperlink r:id="rId341" ref="R125"/>
    <hyperlink r:id="rId342" ref="S125"/>
    <hyperlink r:id="rId343" ref="B126"/>
    <hyperlink r:id="rId344" ref="R126"/>
    <hyperlink r:id="rId345" ref="S126"/>
    <hyperlink r:id="rId346" ref="B127"/>
    <hyperlink r:id="rId347" ref="R127"/>
    <hyperlink r:id="rId348" ref="S127"/>
    <hyperlink r:id="rId349" ref="B128"/>
    <hyperlink r:id="rId350" ref="R128"/>
    <hyperlink r:id="rId351" ref="S128"/>
    <hyperlink r:id="rId352" ref="B129"/>
    <hyperlink r:id="rId353" ref="R129"/>
    <hyperlink r:id="rId354" ref="S129"/>
    <hyperlink r:id="rId355" ref="B130"/>
    <hyperlink r:id="rId356" ref="R130"/>
    <hyperlink r:id="rId357" ref="S130"/>
    <hyperlink r:id="rId358" ref="B131"/>
    <hyperlink r:id="rId359" ref="R131"/>
    <hyperlink r:id="rId360" ref="S131"/>
    <hyperlink r:id="rId361" ref="B134"/>
    <hyperlink r:id="rId362" ref="R134"/>
    <hyperlink r:id="rId363" ref="S134"/>
    <hyperlink r:id="rId364" ref="B135"/>
    <hyperlink r:id="rId365" ref="R135"/>
    <hyperlink r:id="rId366" ref="S135"/>
    <hyperlink r:id="rId367" ref="B136"/>
    <hyperlink r:id="rId368" ref="R136"/>
    <hyperlink r:id="rId369" ref="S136"/>
    <hyperlink r:id="rId370" ref="B137"/>
    <hyperlink r:id="rId371" ref="R137"/>
    <hyperlink r:id="rId372" ref="S137"/>
    <hyperlink r:id="rId373" ref="B138"/>
    <hyperlink r:id="rId374" ref="R138"/>
    <hyperlink r:id="rId375" ref="S138"/>
    <hyperlink r:id="rId376" ref="B139"/>
    <hyperlink r:id="rId377" ref="R139"/>
    <hyperlink r:id="rId378" ref="S139"/>
    <hyperlink r:id="rId379" ref="B140"/>
    <hyperlink r:id="rId380" ref="R140"/>
    <hyperlink r:id="rId381" ref="S140"/>
    <hyperlink r:id="rId382" ref="B141"/>
    <hyperlink r:id="rId383" ref="R141"/>
    <hyperlink r:id="rId384" ref="S141"/>
    <hyperlink r:id="rId385" ref="B142"/>
    <hyperlink r:id="rId386" ref="R142"/>
    <hyperlink r:id="rId387" ref="S142"/>
    <hyperlink r:id="rId388" ref="B143"/>
    <hyperlink r:id="rId389" ref="R143"/>
    <hyperlink r:id="rId390" ref="S143"/>
    <hyperlink r:id="rId391" ref="B144"/>
    <hyperlink r:id="rId392" ref="R144"/>
    <hyperlink r:id="rId393" ref="S144"/>
    <hyperlink r:id="rId394" ref="B145"/>
    <hyperlink r:id="rId395" ref="R145"/>
    <hyperlink r:id="rId396" ref="S145"/>
    <hyperlink r:id="rId397" ref="B146"/>
    <hyperlink r:id="rId398" ref="R146"/>
    <hyperlink r:id="rId399" ref="S146"/>
    <hyperlink r:id="rId400" ref="B147"/>
    <hyperlink r:id="rId401" ref="R147"/>
    <hyperlink r:id="rId402" ref="S147"/>
    <hyperlink r:id="rId403" ref="B148"/>
    <hyperlink r:id="rId404" ref="R148"/>
    <hyperlink r:id="rId405" ref="S148"/>
    <hyperlink r:id="rId406" ref="B149"/>
    <hyperlink r:id="rId407" ref="R149"/>
    <hyperlink r:id="rId408" ref="S149"/>
    <hyperlink r:id="rId409" ref="B150"/>
    <hyperlink r:id="rId410" ref="R150"/>
    <hyperlink r:id="rId411" ref="S150"/>
    <hyperlink r:id="rId412" ref="B151"/>
    <hyperlink r:id="rId413" ref="R151"/>
    <hyperlink r:id="rId414" ref="S151"/>
    <hyperlink r:id="rId415" ref="B152"/>
    <hyperlink r:id="rId416" ref="R152"/>
    <hyperlink r:id="rId417" ref="S152"/>
    <hyperlink r:id="rId418" ref="B153"/>
    <hyperlink r:id="rId419" ref="R153"/>
    <hyperlink r:id="rId420" ref="S153"/>
    <hyperlink r:id="rId421" ref="B155"/>
    <hyperlink r:id="rId422" ref="R155"/>
    <hyperlink r:id="rId423" ref="S155"/>
    <hyperlink r:id="rId424" ref="B156"/>
    <hyperlink r:id="rId425" ref="R156"/>
    <hyperlink r:id="rId426" ref="S156"/>
    <hyperlink r:id="rId427" ref="B157"/>
    <hyperlink r:id="rId428" ref="R157"/>
    <hyperlink r:id="rId429" ref="S157"/>
    <hyperlink r:id="rId430" ref="B158"/>
    <hyperlink r:id="rId431" ref="R158"/>
    <hyperlink r:id="rId432" ref="S158"/>
    <hyperlink r:id="rId433" ref="B159"/>
    <hyperlink r:id="rId434" ref="R159"/>
    <hyperlink r:id="rId435" ref="S159"/>
    <hyperlink r:id="rId436" ref="B160"/>
    <hyperlink r:id="rId437" ref="R160"/>
    <hyperlink r:id="rId438" ref="S160"/>
    <hyperlink r:id="rId439" ref="B161"/>
    <hyperlink r:id="rId440" ref="R161"/>
    <hyperlink r:id="rId441" ref="S161"/>
    <hyperlink r:id="rId442" ref="B162"/>
    <hyperlink r:id="rId443" ref="R162"/>
    <hyperlink r:id="rId444" ref="S162"/>
    <hyperlink r:id="rId445" ref="B163"/>
    <hyperlink r:id="rId446" ref="R163"/>
    <hyperlink r:id="rId447" ref="S163"/>
    <hyperlink r:id="rId448" ref="B164"/>
    <hyperlink r:id="rId449" ref="R164"/>
    <hyperlink r:id="rId450" ref="S164"/>
    <hyperlink r:id="rId451" ref="B165"/>
    <hyperlink r:id="rId452" ref="R165"/>
    <hyperlink r:id="rId453" ref="S165"/>
    <hyperlink r:id="rId454" ref="B166"/>
    <hyperlink r:id="rId455" ref="R166"/>
    <hyperlink r:id="rId456" ref="S166"/>
    <hyperlink r:id="rId457" ref="B167"/>
    <hyperlink r:id="rId458" ref="R167"/>
    <hyperlink r:id="rId459" ref="S167"/>
    <hyperlink r:id="rId460" ref="B168"/>
    <hyperlink r:id="rId461" ref="R168"/>
    <hyperlink r:id="rId462" ref="S168"/>
    <hyperlink r:id="rId463" ref="B169"/>
    <hyperlink r:id="rId464" ref="R169"/>
    <hyperlink r:id="rId465" ref="S169"/>
    <hyperlink r:id="rId466" ref="B170"/>
    <hyperlink r:id="rId467" ref="R170"/>
    <hyperlink r:id="rId468" ref="S170"/>
    <hyperlink r:id="rId469" ref="B171"/>
    <hyperlink r:id="rId470" ref="R171"/>
    <hyperlink r:id="rId471" ref="S171"/>
    <hyperlink r:id="rId472" ref="B172"/>
    <hyperlink r:id="rId473" ref="R172"/>
    <hyperlink r:id="rId474" ref="S172"/>
    <hyperlink r:id="rId475" ref="B173"/>
    <hyperlink r:id="rId476" ref="R173"/>
    <hyperlink r:id="rId477" ref="S173"/>
    <hyperlink r:id="rId478" ref="B174"/>
    <hyperlink r:id="rId479" ref="R174"/>
    <hyperlink r:id="rId480" ref="S174"/>
    <hyperlink r:id="rId481" ref="B177"/>
    <hyperlink r:id="rId482" ref="N177"/>
    <hyperlink r:id="rId483" ref="O177"/>
    <hyperlink r:id="rId484" ref="B178"/>
    <hyperlink r:id="rId485" ref="N178"/>
    <hyperlink r:id="rId486" ref="O178"/>
    <hyperlink r:id="rId487" ref="B179"/>
    <hyperlink r:id="rId488" ref="N179"/>
    <hyperlink r:id="rId489" ref="O179"/>
    <hyperlink r:id="rId490" ref="B180"/>
    <hyperlink r:id="rId491" ref="N180"/>
    <hyperlink r:id="rId492" ref="O180"/>
    <hyperlink r:id="rId493" ref="B181"/>
    <hyperlink r:id="rId494" ref="N181"/>
    <hyperlink r:id="rId495" ref="O181"/>
    <hyperlink r:id="rId496" ref="B182"/>
    <hyperlink r:id="rId497" ref="N182"/>
    <hyperlink r:id="rId498" ref="O182"/>
    <hyperlink r:id="rId499" ref="B183"/>
    <hyperlink r:id="rId500" ref="N183"/>
    <hyperlink r:id="rId501" ref="O183"/>
    <hyperlink r:id="rId502" ref="B184"/>
    <hyperlink r:id="rId503" ref="N184"/>
    <hyperlink r:id="rId504" ref="O184"/>
    <hyperlink r:id="rId505" ref="B185"/>
    <hyperlink r:id="rId506" ref="N185"/>
    <hyperlink r:id="rId507" ref="O185"/>
    <hyperlink r:id="rId508" ref="B186"/>
    <hyperlink r:id="rId509" ref="N186"/>
    <hyperlink r:id="rId510" ref="O186"/>
    <hyperlink r:id="rId511" ref="B187"/>
    <hyperlink r:id="rId512" ref="N187"/>
    <hyperlink r:id="rId513" ref="O187"/>
    <hyperlink r:id="rId514" ref="B188"/>
    <hyperlink r:id="rId515" ref="N188"/>
    <hyperlink r:id="rId516" ref="O188"/>
    <hyperlink r:id="rId517" ref="B189"/>
    <hyperlink r:id="rId518" ref="N189"/>
    <hyperlink r:id="rId519" ref="O189"/>
    <hyperlink r:id="rId520" ref="B190"/>
    <hyperlink r:id="rId521" ref="N190"/>
    <hyperlink r:id="rId522" ref="O190"/>
    <hyperlink r:id="rId523" ref="B191"/>
    <hyperlink r:id="rId524" ref="N191"/>
    <hyperlink r:id="rId525" ref="O191"/>
    <hyperlink r:id="rId526" ref="B192"/>
    <hyperlink r:id="rId527" ref="N192"/>
    <hyperlink r:id="rId528" ref="O192"/>
    <hyperlink r:id="rId529" ref="B193"/>
    <hyperlink r:id="rId530" ref="N193"/>
    <hyperlink r:id="rId531" ref="O193"/>
    <hyperlink r:id="rId532" ref="B194"/>
    <hyperlink r:id="rId533" ref="N194"/>
    <hyperlink r:id="rId534" ref="O194"/>
    <hyperlink r:id="rId535" ref="B195"/>
    <hyperlink r:id="rId536" ref="N195"/>
    <hyperlink r:id="rId537" ref="O195"/>
    <hyperlink r:id="rId538" ref="B196"/>
    <hyperlink r:id="rId539" ref="N196"/>
    <hyperlink r:id="rId540" ref="O196"/>
    <hyperlink r:id="rId541" ref="B199"/>
    <hyperlink r:id="rId542" ref="N199"/>
    <hyperlink r:id="rId543" ref="O199"/>
    <hyperlink r:id="rId544" ref="B200"/>
    <hyperlink r:id="rId545" ref="N200"/>
    <hyperlink r:id="rId546" ref="O200"/>
    <hyperlink r:id="rId547" ref="B201"/>
    <hyperlink r:id="rId548" ref="N201"/>
    <hyperlink r:id="rId549" ref="O201"/>
    <hyperlink r:id="rId550" ref="B202"/>
    <hyperlink r:id="rId551" ref="N202"/>
    <hyperlink r:id="rId552" ref="O202"/>
    <hyperlink r:id="rId553" ref="B203"/>
    <hyperlink r:id="rId554" ref="N203"/>
    <hyperlink r:id="rId555" ref="O203"/>
    <hyperlink r:id="rId556" ref="B204"/>
    <hyperlink r:id="rId557" ref="N204"/>
    <hyperlink r:id="rId558" ref="O204"/>
    <hyperlink r:id="rId559" ref="B205"/>
    <hyperlink r:id="rId560" ref="N205"/>
    <hyperlink r:id="rId561" ref="O205"/>
    <hyperlink r:id="rId562" ref="B206"/>
    <hyperlink r:id="rId563" ref="N206"/>
    <hyperlink r:id="rId564" ref="O206"/>
    <hyperlink r:id="rId565" ref="B207"/>
    <hyperlink r:id="rId566" ref="N207"/>
    <hyperlink r:id="rId567" ref="O207"/>
    <hyperlink r:id="rId568" ref="B208"/>
    <hyperlink r:id="rId569" ref="N208"/>
    <hyperlink r:id="rId570" ref="O208"/>
    <hyperlink r:id="rId571" ref="B209"/>
    <hyperlink r:id="rId572" ref="N209"/>
    <hyperlink r:id="rId573" ref="O209"/>
    <hyperlink r:id="rId574" ref="B210"/>
    <hyperlink r:id="rId575" ref="N210"/>
    <hyperlink r:id="rId576" ref="O210"/>
    <hyperlink r:id="rId577" ref="B211"/>
    <hyperlink r:id="rId578" ref="N211"/>
    <hyperlink r:id="rId579" ref="O211"/>
    <hyperlink r:id="rId580" ref="B212"/>
    <hyperlink r:id="rId581" ref="N212"/>
    <hyperlink r:id="rId582" ref="O212"/>
    <hyperlink r:id="rId583" ref="B213"/>
    <hyperlink r:id="rId584" ref="N213"/>
    <hyperlink r:id="rId585" ref="O213"/>
    <hyperlink r:id="rId586" ref="B214"/>
    <hyperlink r:id="rId587" ref="N214"/>
    <hyperlink r:id="rId588" ref="O214"/>
    <hyperlink r:id="rId589" ref="B215"/>
    <hyperlink r:id="rId590" ref="N215"/>
    <hyperlink r:id="rId591" ref="O215"/>
    <hyperlink r:id="rId592" ref="B216"/>
    <hyperlink r:id="rId593" ref="N216"/>
    <hyperlink r:id="rId594" ref="O216"/>
    <hyperlink r:id="rId595" ref="B217"/>
    <hyperlink r:id="rId596" ref="N217"/>
    <hyperlink r:id="rId597" ref="O217"/>
    <hyperlink r:id="rId598" ref="B218"/>
    <hyperlink r:id="rId599" ref="N218"/>
    <hyperlink r:id="rId600" ref="O218"/>
  </hyperlinks>
  <drawing r:id="rId601"/>
</worksheet>
</file>