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1df47ddc5df2fd8/Desktop/WIM Project/"/>
    </mc:Choice>
  </mc:AlternateContent>
  <xr:revisionPtr revIDLastSave="222" documentId="11_9D120964ED8CA02F142AA36E9DB0AE3401CCCD76" xr6:coauthVersionLast="47" xr6:coauthVersionMax="47" xr10:uidLastSave="{BB59A95E-7176-487E-8B72-C96A89DCBA53}"/>
  <bookViews>
    <workbookView xWindow="-28920" yWindow="-120" windowWidth="29040" windowHeight="15720" activeTab="1" xr2:uid="{00000000-000D-0000-FFFF-FFFF00000000}"/>
  </bookViews>
  <sheets>
    <sheet name="AFL" sheetId="1" r:id="rId1"/>
    <sheet name="Ligue 1" sheetId="2" r:id="rId2"/>
    <sheet name="Prem Leagu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9" i="3" l="1"/>
  <c r="J208" i="3"/>
  <c r="J206" i="3"/>
  <c r="J205" i="3"/>
  <c r="J204" i="3"/>
  <c r="J203" i="3"/>
  <c r="J202" i="3"/>
  <c r="J201" i="3"/>
  <c r="J200" i="3"/>
  <c r="J199" i="3"/>
  <c r="J183" i="3"/>
  <c r="J182" i="3"/>
  <c r="J181" i="3"/>
  <c r="J180" i="3"/>
  <c r="J179" i="3"/>
  <c r="J178" i="3"/>
  <c r="J177" i="3"/>
  <c r="P165" i="3"/>
  <c r="O165" i="3"/>
  <c r="P163" i="3"/>
  <c r="O163" i="3"/>
  <c r="P160" i="3"/>
  <c r="O160" i="3"/>
  <c r="J160" i="3"/>
  <c r="P159" i="3"/>
  <c r="O159" i="3"/>
  <c r="J159" i="3"/>
  <c r="P158" i="3"/>
  <c r="O158" i="3"/>
  <c r="J158" i="3"/>
  <c r="P157" i="3"/>
  <c r="O157" i="3"/>
  <c r="J157" i="3"/>
  <c r="P156" i="3"/>
  <c r="O156" i="3"/>
  <c r="J156" i="3"/>
  <c r="P155" i="3"/>
  <c r="O155" i="3"/>
  <c r="J155" i="3"/>
  <c r="P142" i="3"/>
  <c r="O142" i="3"/>
  <c r="J142" i="3"/>
  <c r="P141" i="3"/>
  <c r="O141" i="3"/>
  <c r="J141" i="3"/>
  <c r="P140" i="3"/>
  <c r="O140" i="3"/>
  <c r="J140" i="3"/>
  <c r="P139" i="3"/>
  <c r="O139" i="3"/>
  <c r="J139" i="3"/>
  <c r="P138" i="3"/>
  <c r="O138" i="3"/>
  <c r="J138" i="3"/>
  <c r="P137" i="3"/>
  <c r="O137" i="3"/>
  <c r="J137" i="3"/>
  <c r="P136" i="3"/>
  <c r="O136" i="3"/>
  <c r="J136" i="3"/>
  <c r="P135" i="3"/>
  <c r="O135" i="3"/>
  <c r="J135" i="3"/>
  <c r="P134" i="3"/>
  <c r="O134" i="3"/>
  <c r="J134" i="3"/>
  <c r="P123" i="3"/>
  <c r="O123" i="3"/>
  <c r="P122" i="3"/>
  <c r="O122" i="3"/>
  <c r="J119" i="3"/>
  <c r="P118" i="3"/>
  <c r="O118" i="3"/>
  <c r="J118" i="3"/>
  <c r="J117" i="3"/>
  <c r="P116" i="3"/>
  <c r="O116" i="3"/>
  <c r="J116" i="3"/>
  <c r="P115" i="3"/>
  <c r="O115" i="3"/>
  <c r="J115" i="3"/>
  <c r="P114" i="3"/>
  <c r="O114" i="3"/>
  <c r="J114" i="3"/>
  <c r="P113" i="3"/>
  <c r="O113" i="3"/>
  <c r="J113" i="3"/>
  <c r="P112" i="3"/>
  <c r="O112" i="3"/>
  <c r="J112" i="3"/>
  <c r="P105" i="3"/>
  <c r="O105" i="3"/>
  <c r="P100" i="3"/>
  <c r="O100" i="3"/>
  <c r="J100" i="3"/>
  <c r="J98" i="3"/>
  <c r="P97" i="3"/>
  <c r="O97" i="3"/>
  <c r="J97" i="3"/>
  <c r="P96" i="3"/>
  <c r="O96" i="3"/>
  <c r="J96" i="3"/>
  <c r="P95" i="3"/>
  <c r="O95" i="3"/>
  <c r="J95" i="3"/>
  <c r="P94" i="3"/>
  <c r="O94" i="3"/>
  <c r="J94" i="3"/>
  <c r="P93" i="3"/>
  <c r="O93" i="3"/>
  <c r="J93" i="3"/>
  <c r="P92" i="3"/>
  <c r="O92" i="3"/>
  <c r="J92" i="3"/>
  <c r="P91" i="3"/>
  <c r="O91" i="3"/>
  <c r="J91" i="3"/>
  <c r="P90" i="3"/>
  <c r="O90" i="3"/>
  <c r="J90" i="3"/>
  <c r="P79" i="3"/>
  <c r="O79" i="3"/>
  <c r="J79" i="3"/>
  <c r="P76" i="3"/>
  <c r="O76" i="3"/>
  <c r="J75" i="3"/>
  <c r="J74" i="3"/>
  <c r="P73" i="3"/>
  <c r="O73" i="3"/>
  <c r="P72" i="3"/>
  <c r="O72" i="3"/>
  <c r="J72" i="3"/>
  <c r="P71" i="3"/>
  <c r="O71" i="3"/>
  <c r="J71" i="3"/>
  <c r="P70" i="3"/>
  <c r="O70" i="3"/>
  <c r="J70" i="3"/>
  <c r="P69" i="3"/>
  <c r="O69" i="3"/>
  <c r="J69" i="3"/>
  <c r="P68" i="3"/>
  <c r="O68" i="3"/>
  <c r="J68" i="3"/>
  <c r="J55" i="3"/>
  <c r="P54" i="3"/>
  <c r="O54" i="3"/>
  <c r="J54" i="3"/>
  <c r="P53" i="3"/>
  <c r="O53" i="3"/>
  <c r="J53" i="3"/>
  <c r="J52" i="3"/>
  <c r="P51" i="3"/>
  <c r="O51" i="3"/>
  <c r="J51" i="3"/>
  <c r="P50" i="3"/>
  <c r="O50" i="3"/>
  <c r="J50" i="3"/>
  <c r="P49" i="3"/>
  <c r="O49" i="3"/>
  <c r="J49" i="3"/>
  <c r="P48" i="3"/>
  <c r="O48" i="3"/>
  <c r="J48" i="3"/>
  <c r="P47" i="3"/>
  <c r="O47" i="3"/>
  <c r="J47" i="3"/>
  <c r="P46" i="3"/>
  <c r="O46" i="3"/>
  <c r="J46" i="3"/>
  <c r="P39" i="3"/>
  <c r="O39" i="3"/>
  <c r="P34" i="3"/>
  <c r="O34" i="3"/>
  <c r="P30" i="3"/>
  <c r="O30" i="3"/>
  <c r="J30" i="3"/>
  <c r="P29" i="3"/>
  <c r="O29" i="3"/>
  <c r="J29" i="3"/>
  <c r="P28" i="3"/>
  <c r="O28" i="3"/>
  <c r="J28" i="3"/>
  <c r="P27" i="3"/>
  <c r="O27" i="3"/>
  <c r="J27" i="3"/>
  <c r="P26" i="3"/>
  <c r="O26" i="3"/>
  <c r="J26" i="3"/>
  <c r="P25" i="3"/>
  <c r="O25" i="3"/>
  <c r="J25" i="3"/>
  <c r="P24" i="3"/>
  <c r="O24" i="3"/>
  <c r="J24" i="3"/>
  <c r="P13" i="3"/>
  <c r="O13" i="3"/>
  <c r="P12" i="3"/>
  <c r="O12" i="3"/>
  <c r="P11" i="3"/>
  <c r="O11" i="3"/>
  <c r="J11" i="3"/>
  <c r="P10" i="3"/>
  <c r="O10" i="3"/>
  <c r="J10" i="3"/>
  <c r="P9" i="3"/>
  <c r="O9" i="3"/>
  <c r="J9" i="3"/>
  <c r="J8" i="3"/>
  <c r="P7" i="3"/>
  <c r="O7" i="3"/>
  <c r="J7" i="3"/>
  <c r="P6" i="3"/>
  <c r="O6" i="3"/>
  <c r="J6" i="3"/>
  <c r="P5" i="3"/>
  <c r="O5" i="3"/>
  <c r="J5" i="3"/>
  <c r="P4" i="3"/>
  <c r="O4" i="3"/>
  <c r="J4" i="3"/>
  <c r="P3" i="3"/>
  <c r="O3" i="3"/>
  <c r="J3" i="3"/>
  <c r="P2" i="3"/>
  <c r="O2" i="3"/>
  <c r="J2" i="3"/>
  <c r="J229" i="2"/>
  <c r="J228" i="2"/>
  <c r="J225" i="2"/>
  <c r="J222" i="2"/>
  <c r="J221" i="2"/>
  <c r="J220" i="2"/>
  <c r="J219" i="2"/>
  <c r="J218" i="2"/>
  <c r="J217" i="2"/>
  <c r="J200" i="2"/>
  <c r="J199" i="2"/>
  <c r="J198" i="2"/>
  <c r="J197" i="2"/>
  <c r="J196" i="2"/>
  <c r="J195" i="2"/>
  <c r="P186" i="2"/>
  <c r="O186" i="2"/>
  <c r="P182" i="2"/>
  <c r="O182" i="2"/>
  <c r="J182" i="2"/>
  <c r="P181" i="2"/>
  <c r="O181" i="2"/>
  <c r="J180" i="2"/>
  <c r="P178" i="2"/>
  <c r="O178" i="2"/>
  <c r="J178" i="2"/>
  <c r="P177" i="2"/>
  <c r="O177" i="2"/>
  <c r="J177" i="2"/>
  <c r="P176" i="2"/>
  <c r="O176" i="2"/>
  <c r="J176" i="2"/>
  <c r="P175" i="2"/>
  <c r="O175" i="2"/>
  <c r="J175" i="2"/>
  <c r="P174" i="2"/>
  <c r="O174" i="2"/>
  <c r="J174" i="2"/>
  <c r="P173" i="2"/>
  <c r="O173" i="2"/>
  <c r="J173" i="2"/>
  <c r="P163" i="2"/>
  <c r="O163" i="2"/>
  <c r="P162" i="2"/>
  <c r="O162" i="2"/>
  <c r="J161" i="2"/>
  <c r="P160" i="2"/>
  <c r="O160" i="2"/>
  <c r="J160" i="2"/>
  <c r="P156" i="2"/>
  <c r="O156" i="2"/>
  <c r="J156" i="2"/>
  <c r="P155" i="2"/>
  <c r="O155" i="2"/>
  <c r="J155" i="2"/>
  <c r="P154" i="2"/>
  <c r="O154" i="2"/>
  <c r="J154" i="2"/>
  <c r="P153" i="2"/>
  <c r="O153" i="2"/>
  <c r="J153" i="2"/>
  <c r="P152" i="2"/>
  <c r="O152" i="2"/>
  <c r="J152" i="2"/>
  <c r="P151" i="2"/>
  <c r="O151" i="2"/>
  <c r="J151" i="2"/>
  <c r="J140" i="2"/>
  <c r="P139" i="2"/>
  <c r="O139" i="2"/>
  <c r="P138" i="2"/>
  <c r="O138" i="2"/>
  <c r="P137" i="2"/>
  <c r="O137" i="2"/>
  <c r="P136" i="2"/>
  <c r="O136" i="2"/>
  <c r="J136" i="2"/>
  <c r="P135" i="2"/>
  <c r="O135" i="2"/>
  <c r="J135" i="2"/>
  <c r="P134" i="2"/>
  <c r="O134" i="2"/>
  <c r="J134" i="2"/>
  <c r="J133" i="2"/>
  <c r="P132" i="2"/>
  <c r="O132" i="2"/>
  <c r="J132" i="2"/>
  <c r="P131" i="2"/>
  <c r="O131" i="2"/>
  <c r="J131" i="2"/>
  <c r="P130" i="2"/>
  <c r="O130" i="2"/>
  <c r="J130" i="2"/>
  <c r="P129" i="2"/>
  <c r="O129" i="2"/>
  <c r="J129" i="2"/>
  <c r="P121" i="2"/>
  <c r="O121" i="2"/>
  <c r="P113" i="2"/>
  <c r="O113" i="2"/>
  <c r="J113" i="2"/>
  <c r="P112" i="2"/>
  <c r="O112" i="2"/>
  <c r="J112" i="2"/>
  <c r="J111" i="2"/>
  <c r="P110" i="2"/>
  <c r="O110" i="2"/>
  <c r="J110" i="2"/>
  <c r="P109" i="2"/>
  <c r="O109" i="2"/>
  <c r="J109" i="2"/>
  <c r="P108" i="2"/>
  <c r="O108" i="2"/>
  <c r="J108" i="2"/>
  <c r="P107" i="2"/>
  <c r="O107" i="2"/>
  <c r="J107" i="2"/>
  <c r="P94" i="2"/>
  <c r="O94" i="2"/>
  <c r="J93" i="2"/>
  <c r="P92" i="2"/>
  <c r="O92" i="2"/>
  <c r="J92" i="2"/>
  <c r="P91" i="2"/>
  <c r="O91" i="2"/>
  <c r="J91" i="2"/>
  <c r="P90" i="2"/>
  <c r="O90" i="2"/>
  <c r="J90" i="2"/>
  <c r="P89" i="2"/>
  <c r="O89" i="2"/>
  <c r="J89" i="2"/>
  <c r="P88" i="2"/>
  <c r="O88" i="2"/>
  <c r="J88" i="2"/>
  <c r="P87" i="2"/>
  <c r="O87" i="2"/>
  <c r="J87" i="2"/>
  <c r="P86" i="2"/>
  <c r="O86" i="2"/>
  <c r="J86" i="2"/>
  <c r="P85" i="2"/>
  <c r="O85" i="2"/>
  <c r="J85" i="2"/>
  <c r="J74" i="2"/>
  <c r="P73" i="2"/>
  <c r="O73" i="2"/>
  <c r="P71" i="2"/>
  <c r="O71" i="2"/>
  <c r="J71" i="2"/>
  <c r="P69" i="2"/>
  <c r="O69" i="2"/>
  <c r="J69" i="2"/>
  <c r="P68" i="2"/>
  <c r="O68" i="2"/>
  <c r="J68" i="2"/>
  <c r="P67" i="2"/>
  <c r="O67" i="2"/>
  <c r="J67" i="2"/>
  <c r="P66" i="2"/>
  <c r="O66" i="2"/>
  <c r="J66" i="2"/>
  <c r="P65" i="2"/>
  <c r="O65" i="2"/>
  <c r="J65" i="2"/>
  <c r="P64" i="2"/>
  <c r="O64" i="2"/>
  <c r="J64" i="2"/>
  <c r="P63" i="2"/>
  <c r="O63" i="2"/>
  <c r="J63" i="2"/>
  <c r="P52" i="2"/>
  <c r="O52" i="2"/>
  <c r="J52" i="2"/>
  <c r="P50" i="2"/>
  <c r="O50" i="2"/>
  <c r="J50" i="2"/>
  <c r="P49" i="2"/>
  <c r="O49" i="2"/>
  <c r="J49" i="2"/>
  <c r="P47" i="2"/>
  <c r="O47" i="2"/>
  <c r="J47" i="2"/>
  <c r="P46" i="2"/>
  <c r="O46" i="2"/>
  <c r="J46" i="2"/>
  <c r="P45" i="2"/>
  <c r="O45" i="2"/>
  <c r="J45" i="2"/>
  <c r="P44" i="2"/>
  <c r="O44" i="2"/>
  <c r="J44" i="2"/>
  <c r="P43" i="2"/>
  <c r="O43" i="2"/>
  <c r="J43" i="2"/>
  <c r="P32" i="2"/>
  <c r="O32" i="2"/>
  <c r="J32" i="2"/>
  <c r="P30" i="2"/>
  <c r="O30" i="2"/>
  <c r="J30" i="2"/>
  <c r="P29" i="2"/>
  <c r="O29" i="2"/>
  <c r="J29" i="2"/>
  <c r="P27" i="2"/>
  <c r="O27" i="2"/>
  <c r="J27" i="2"/>
  <c r="P26" i="2"/>
  <c r="O26" i="2"/>
  <c r="J26" i="2"/>
  <c r="P25" i="2"/>
  <c r="O25" i="2"/>
  <c r="J25" i="2"/>
  <c r="P24" i="2"/>
  <c r="O24" i="2"/>
  <c r="J24" i="2"/>
  <c r="P23" i="2"/>
  <c r="O23" i="2"/>
  <c r="J23" i="2"/>
  <c r="P14" i="2"/>
  <c r="O14" i="2"/>
  <c r="J14" i="2"/>
  <c r="P12" i="2"/>
  <c r="O12" i="2"/>
  <c r="J12" i="2"/>
  <c r="P10" i="2"/>
  <c r="O10" i="2"/>
  <c r="J10" i="2"/>
  <c r="J9" i="2"/>
  <c r="P8" i="2"/>
  <c r="O8" i="2"/>
  <c r="J8" i="2"/>
  <c r="P7" i="2"/>
  <c r="O7" i="2"/>
  <c r="J7" i="2"/>
  <c r="P6" i="2"/>
  <c r="O6" i="2"/>
  <c r="J6" i="2"/>
  <c r="P5" i="2"/>
  <c r="O5" i="2"/>
  <c r="J5" i="2"/>
  <c r="P4" i="2"/>
  <c r="O4" i="2"/>
  <c r="J4" i="2"/>
  <c r="P3" i="2"/>
  <c r="O3" i="2"/>
  <c r="J3" i="2"/>
</calcChain>
</file>

<file path=xl/sharedStrings.xml><?xml version="1.0" encoding="utf-8"?>
<sst xmlns="http://schemas.openxmlformats.org/spreadsheetml/2006/main" count="6903" uniqueCount="3452">
  <si>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</si>
  <si>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</si>
  <si>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t>Year</t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</si>
  <si>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</si>
  <si>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</si>
  <si>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</si>
  <si>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</si>
  <si>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</si>
  <si>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</si>
  <si>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</si>
  <si>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</si>
  <si>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</si>
  <si>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</si>
  <si>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</si>
  <si>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</si>
  <si>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b/>
        <u/>
        <sz val="10"/>
        <color rgb="FF1155CC"/>
        <rFont val="Arial"/>
      </rPr>
      <t>MR</t>
    </r>
  </si>
  <si>
    <r>
      <rPr>
        <u/>
        <sz val="10"/>
        <color rgb="FF1155CC"/>
        <rFont val="Arial"/>
      </rPr>
      <t>Adelaide</t>
    </r>
  </si>
  <si>
    <t>11-0-1</t>
  </si>
  <si>
    <t>7-0-4</t>
  </si>
  <si>
    <t>339.244 (58%)</t>
  </si>
  <si>
    <t>234.231 (50%)</t>
  </si>
  <si>
    <t>1 (78.26)</t>
  </si>
  <si>
    <r>
      <rPr>
        <u/>
        <sz val="10"/>
        <color rgb="FF1155CC"/>
        <rFont val="Arial"/>
      </rPr>
      <t>Geelong</t>
    </r>
  </si>
  <si>
    <t>9-0-2</t>
  </si>
  <si>
    <t>8-0-4</t>
  </si>
  <si>
    <t>356.289 (55%)</t>
  </si>
  <si>
    <t>249.220 (53%)</t>
  </si>
  <si>
    <t>2 (73.91)</t>
  </si>
  <si>
    <r>
      <rPr>
        <u/>
        <sz val="10"/>
        <color rgb="FF1155CC"/>
        <rFont val="Arial"/>
      </rPr>
      <t>Brisbane Lions</t>
    </r>
  </si>
  <si>
    <t>297.279 (52%)</t>
  </si>
  <si>
    <t>263.226 (54%)</t>
  </si>
  <si>
    <t>3 (71.74)</t>
  </si>
  <si>
    <r>
      <rPr>
        <u/>
        <sz val="10"/>
        <color rgb="FF1155CC"/>
        <rFont val="Arial"/>
      </rPr>
      <t>Collingwood</t>
    </r>
  </si>
  <si>
    <t>9-0-3</t>
  </si>
  <si>
    <t>286.275 (51%)</t>
  </si>
  <si>
    <t>236.211 (53%)</t>
  </si>
  <si>
    <t>4 (69.57)</t>
  </si>
  <si>
    <r>
      <rPr>
        <u/>
        <sz val="10"/>
        <color rgb="FF1155CC"/>
        <rFont val="Arial"/>
      </rPr>
      <t>Greater Western Sydney</t>
    </r>
  </si>
  <si>
    <t>8-0-3</t>
  </si>
  <si>
    <t>312.242 (56%)</t>
  </si>
  <si>
    <t>259.280 (48%)</t>
  </si>
  <si>
    <t>5 (69.57)</t>
  </si>
  <si>
    <r>
      <rPr>
        <u/>
        <sz val="10"/>
        <color rgb="FF1155CC"/>
        <rFont val="Arial"/>
      </rPr>
      <t>Fremantle</t>
    </r>
  </si>
  <si>
    <t>288.250 (54%)</t>
  </si>
  <si>
    <t>265.225 (54%)</t>
  </si>
  <si>
    <t>6 (69.57)</t>
  </si>
  <si>
    <r>
      <rPr>
        <u/>
        <sz val="10"/>
        <color rgb="FF1155CC"/>
        <rFont val="Arial"/>
      </rPr>
      <t>Gold Coast</t>
    </r>
  </si>
  <si>
    <t>6-0-6</t>
  </si>
  <si>
    <t>317.271 (54%)</t>
  </si>
  <si>
    <t>252.228 (53%)</t>
  </si>
  <si>
    <t>7 (65.22)</t>
  </si>
  <si>
    <r>
      <rPr>
        <u/>
        <sz val="10"/>
        <color rgb="FF1155CC"/>
        <rFont val="Arial"/>
      </rPr>
      <t>Hawthorn</t>
    </r>
  </si>
  <si>
    <t>10-0-1</t>
  </si>
  <si>
    <t>5-0-7</t>
  </si>
  <si>
    <t>300.245 (55%)</t>
  </si>
  <si>
    <t>240.251 (49%)</t>
  </si>
  <si>
    <t>8 (65.22)</t>
  </si>
  <si>
    <r>
      <rPr>
        <u/>
        <sz val="10"/>
        <color rgb="FF1155CC"/>
        <rFont val="Arial"/>
      </rPr>
      <t>Western Bulldogs</t>
    </r>
  </si>
  <si>
    <t>7-0-5</t>
  </si>
  <si>
    <t>369.279 (57%)</t>
  </si>
  <si>
    <t>265.230 (54%)</t>
  </si>
  <si>
    <t>9 (60.87)</t>
  </si>
  <si>
    <r>
      <rPr>
        <u/>
        <sz val="10"/>
        <color rgb="FF1155CC"/>
        <rFont val="Arial"/>
      </rPr>
      <t>Sydney</t>
    </r>
  </si>
  <si>
    <t>5-0-6</t>
  </si>
  <si>
    <t>264.261 (50%)</t>
  </si>
  <si>
    <t>276.246 (53%)</t>
  </si>
  <si>
    <t>10 (52.17)</t>
  </si>
  <si>
    <r>
      <rPr>
        <u/>
        <sz val="10"/>
        <color rgb="FF1155CC"/>
        <rFont val="Arial"/>
      </rPr>
      <t>Carlton</t>
    </r>
  </si>
  <si>
    <t>4-0-7</t>
  </si>
  <si>
    <t>259.245 (51%)</t>
  </si>
  <si>
    <t>274.217 (56%)</t>
  </si>
  <si>
    <t>11 (39.13)</t>
  </si>
  <si>
    <r>
      <rPr>
        <u/>
        <sz val="10"/>
        <color rgb="FF1155CC"/>
        <rFont val="Arial"/>
      </rPr>
      <t>St Kilda</t>
    </r>
  </si>
  <si>
    <t>268.231 (54%)</t>
  </si>
  <si>
    <t>301.271 (53%)</t>
  </si>
  <si>
    <t>12 (39.13)</t>
  </si>
  <si>
    <r>
      <rPr>
        <u/>
        <sz val="10"/>
        <color rgb="FF1155CC"/>
        <rFont val="Arial"/>
      </rPr>
      <t>Port Adelaide</t>
    </r>
  </si>
  <si>
    <t>2-0-9</t>
  </si>
  <si>
    <t>244.241 (50%)</t>
  </si>
  <si>
    <t>310.276 (53%)</t>
  </si>
  <si>
    <t>13 (39.13)</t>
  </si>
  <si>
    <r>
      <rPr>
        <u/>
        <sz val="10"/>
        <color rgb="FF1155CC"/>
        <rFont val="Arial"/>
      </rPr>
      <t>Melbourne</t>
    </r>
  </si>
  <si>
    <t>271.276 (50%)</t>
  </si>
  <si>
    <t>300.238 (56%)</t>
  </si>
  <si>
    <t>14 (30.43)</t>
  </si>
  <si>
    <r>
      <rPr>
        <u/>
        <sz val="10"/>
        <color rgb="FF1155CC"/>
        <rFont val="Arial"/>
      </rPr>
      <t>Essendon</t>
    </r>
  </si>
  <si>
    <t>2-0-10</t>
  </si>
  <si>
    <t>220.215 (51%)</t>
  </si>
  <si>
    <t>324.265 (55%)</t>
  </si>
  <si>
    <t>15 (26.09)</t>
  </si>
  <si>
    <r>
      <rPr>
        <u/>
        <sz val="10"/>
        <color rgb="FF1155CC"/>
        <rFont val="Arial"/>
      </rPr>
      <t>North Melbourne</t>
    </r>
  </si>
  <si>
    <t>267.203 (57%)</t>
  </si>
  <si>
    <t>347.283 (55%)</t>
  </si>
  <si>
    <t>16 (23.91)</t>
  </si>
  <si>
    <r>
      <rPr>
        <u/>
        <sz val="10"/>
        <color rgb="FF1155CC"/>
        <rFont val="Arial"/>
      </rPr>
      <t>Richmond</t>
    </r>
  </si>
  <si>
    <t>4-0-8</t>
  </si>
  <si>
    <t>1-0-10</t>
  </si>
  <si>
    <t>204.225 (48%)</t>
  </si>
  <si>
    <t>318.289 (52%)</t>
  </si>
  <si>
    <t>17 (21.74)</t>
  </si>
  <si>
    <r>
      <rPr>
        <u/>
        <sz val="10"/>
        <color rgb="FF1155CC"/>
        <rFont val="Arial"/>
      </rPr>
      <t>West Coast</t>
    </r>
  </si>
  <si>
    <t>0-0-12</t>
  </si>
  <si>
    <t>209.212 (50%)</t>
  </si>
  <si>
    <t>357.296 (55%)</t>
  </si>
  <si>
    <t>18 (4.35)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</si>
  <si>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</si>
  <si>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</si>
  <si>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</si>
  <si>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</si>
  <si>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</si>
  <si>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</si>
  <si>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</si>
  <si>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</si>
  <si>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</si>
  <si>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</si>
  <si>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</si>
  <si>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</si>
  <si>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</si>
  <si>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</si>
  <si>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b/>
        <u/>
        <sz val="10"/>
        <color rgb="FF1155CC"/>
        <rFont val="Arial"/>
      </rPr>
      <t>MR</t>
    </r>
  </si>
  <si>
    <r>
      <rPr>
        <u/>
        <sz val="10"/>
        <color rgb="FF1155CC"/>
        <rFont val="Arial"/>
      </rPr>
      <t>Sydney</t>
    </r>
  </si>
  <si>
    <t>328.274 (54%)</t>
  </si>
  <si>
    <t>252.257 (50%)</t>
  </si>
  <si>
    <t>1 (73.91)</t>
  </si>
  <si>
    <r>
      <rPr>
        <u/>
        <sz val="10"/>
        <color rgb="FF1155CC"/>
        <rFont val="Arial"/>
      </rPr>
      <t>Port Adelaide</t>
    </r>
  </si>
  <si>
    <t>284.307 (48%)</t>
  </si>
  <si>
    <t>253.234 (52%)</t>
  </si>
  <si>
    <t>2 (69.57)</t>
  </si>
  <si>
    <r>
      <rPr>
        <u/>
        <sz val="10"/>
        <color rgb="FF1155CC"/>
        <rFont val="Arial"/>
      </rPr>
      <t>Geelong</t>
    </r>
  </si>
  <si>
    <t>321.238 (57%)</t>
  </si>
  <si>
    <t>282.236 (54%)</t>
  </si>
  <si>
    <t>3 (65.22)</t>
  </si>
  <si>
    <r>
      <rPr>
        <u/>
        <sz val="10"/>
        <color rgb="FF1155CC"/>
        <rFont val="Arial"/>
      </rPr>
      <t>Greater Western Sydney</t>
    </r>
  </si>
  <si>
    <t>303.216 (58%)</t>
  </si>
  <si>
    <t>264.280 (49%)</t>
  </si>
  <si>
    <t>4 (65.22)</t>
  </si>
  <si>
    <r>
      <rPr>
        <u/>
        <sz val="10"/>
        <color rgb="FF1155CC"/>
        <rFont val="Arial"/>
      </rPr>
      <t>Brisbane Lions</t>
    </r>
  </si>
  <si>
    <t>304.306 (50%)</t>
  </si>
  <si>
    <t>254.223 (53%)</t>
  </si>
  <si>
    <t>5 (63.04)</t>
  </si>
  <si>
    <r>
      <rPr>
        <u/>
        <sz val="10"/>
        <color rgb="FF1155CC"/>
        <rFont val="Arial"/>
      </rPr>
      <t>Western Bulldogs</t>
    </r>
  </si>
  <si>
    <t>312.299 (51%)</t>
  </si>
  <si>
    <t>255.206 (55%)</t>
  </si>
  <si>
    <t>6 (60.87)</t>
  </si>
  <si>
    <r>
      <rPr>
        <u/>
        <sz val="10"/>
        <color rgb="FF1155CC"/>
        <rFont val="Arial"/>
      </rPr>
      <t>Hawthorn</t>
    </r>
  </si>
  <si>
    <t>306.254 (55%)</t>
  </si>
  <si>
    <t>256.227 (53%)</t>
  </si>
  <si>
    <t>7 (60.87)</t>
  </si>
  <si>
    <r>
      <rPr>
        <u/>
        <sz val="10"/>
        <color rgb="FF1155CC"/>
        <rFont val="Arial"/>
      </rPr>
      <t>Carlton</t>
    </r>
  </si>
  <si>
    <t>6-0-5</t>
  </si>
  <si>
    <t>316.255 (55%)</t>
  </si>
  <si>
    <t>285.242 (54%)</t>
  </si>
  <si>
    <t>8 (56.52)</t>
  </si>
  <si>
    <r>
      <rPr>
        <u/>
        <sz val="10"/>
        <color rgb="FF1155CC"/>
        <rFont val="Arial"/>
      </rPr>
      <t>Collingwood</t>
    </r>
  </si>
  <si>
    <t>288.263 (52%)</t>
  </si>
  <si>
    <t>283.245 (54%)</t>
  </si>
  <si>
    <t>9 (56.52)</t>
  </si>
  <si>
    <r>
      <rPr>
        <u/>
        <sz val="10"/>
        <color rgb="FF1155CC"/>
        <rFont val="Arial"/>
      </rPr>
      <t>Fremantle</t>
    </r>
  </si>
  <si>
    <t>286.248 (54%)</t>
  </si>
  <si>
    <t>253.237 (52%)</t>
  </si>
  <si>
    <t>10 (54.35)</t>
  </si>
  <si>
    <r>
      <rPr>
        <u/>
        <sz val="10"/>
        <color rgb="FF1155CC"/>
        <rFont val="Arial"/>
      </rPr>
      <t>Essendon</t>
    </r>
  </si>
  <si>
    <t>275.242 (53%)</t>
  </si>
  <si>
    <t>298.236 (56%)</t>
  </si>
  <si>
    <t>11 (50.00)</t>
  </si>
  <si>
    <r>
      <rPr>
        <u/>
        <sz val="10"/>
        <color rgb="FF1155CC"/>
        <rFont val="Arial"/>
      </rPr>
      <t>St Kilda</t>
    </r>
  </si>
  <si>
    <t>254.224 (53%)</t>
  </si>
  <si>
    <t>253.240 (51%)</t>
  </si>
  <si>
    <t>12 (47.83)</t>
  </si>
  <si>
    <r>
      <rPr>
        <u/>
        <sz val="10"/>
        <color rgb="FF1155CC"/>
        <rFont val="Arial"/>
      </rPr>
      <t>Gold Coast</t>
    </r>
  </si>
  <si>
    <t>281.239 (54%)</t>
  </si>
  <si>
    <t>287.221 (56%)</t>
  </si>
  <si>
    <t>13 (47.83)</t>
  </si>
  <si>
    <r>
      <rPr>
        <u/>
        <sz val="10"/>
        <color rgb="FF1155CC"/>
        <rFont val="Arial"/>
      </rPr>
      <t>Melbourne</t>
    </r>
  </si>
  <si>
    <t>259.231 (53%)</t>
  </si>
  <si>
    <t>261.246 (51%)</t>
  </si>
  <si>
    <t>14 (47.83)</t>
  </si>
  <si>
    <r>
      <rPr>
        <u/>
        <sz val="10"/>
        <color rgb="FF1155CC"/>
        <rFont val="Arial"/>
      </rPr>
      <t>Adelaide</t>
    </r>
  </si>
  <si>
    <t>3-0-8</t>
  </si>
  <si>
    <t>279.232 (55%)</t>
  </si>
  <si>
    <t>274.279 (50%)</t>
  </si>
  <si>
    <t>15 (36.96)</t>
  </si>
  <si>
    <r>
      <rPr>
        <u/>
        <sz val="10"/>
        <color rgb="FF1155CC"/>
        <rFont val="Arial"/>
      </rPr>
      <t>West Coast</t>
    </r>
  </si>
  <si>
    <t>229.220 (51%)</t>
  </si>
  <si>
    <t>347.257 (57%)</t>
  </si>
  <si>
    <t>16 (21.74)</t>
  </si>
  <si>
    <r>
      <rPr>
        <u/>
        <sz val="10"/>
        <color rgb="FF1155CC"/>
        <rFont val="Arial"/>
      </rPr>
      <t>North Melbourne</t>
    </r>
  </si>
  <si>
    <t>1-0-11</t>
  </si>
  <si>
    <t>244.155 (61%)</t>
  </si>
  <si>
    <t>374.306 (55%)</t>
  </si>
  <si>
    <t>17 (13.04)</t>
  </si>
  <si>
    <r>
      <rPr>
        <u/>
        <sz val="10"/>
        <color rgb="FF1155CC"/>
        <rFont val="Arial"/>
      </rPr>
      <t>Richmond</t>
    </r>
  </si>
  <si>
    <t>211.239 (47%)</t>
  </si>
  <si>
    <t>349.270 (56%)</t>
  </si>
  <si>
    <t>18 (8.70)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</si>
  <si>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</si>
  <si>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</si>
  <si>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</si>
  <si>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</si>
  <si>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</si>
  <si>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</si>
  <si>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</si>
  <si>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</si>
  <si>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</si>
  <si>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</si>
  <si>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</si>
  <si>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</si>
  <si>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</si>
  <si>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</si>
  <si>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u/>
        <sz val="10"/>
        <color rgb="FF1155CC"/>
        <rFont val="Arial"/>
      </rPr>
      <t>Collingwood</t>
    </r>
  </si>
  <si>
    <t>10-0-2</t>
  </si>
  <si>
    <t>317.240 (57%)</t>
  </si>
  <si>
    <t>239.253 (49%)</t>
  </si>
  <si>
    <r>
      <rPr>
        <u/>
        <sz val="10"/>
        <color rgb="FF1155CC"/>
        <rFont val="Arial"/>
      </rPr>
      <t>Brisbane Lions</t>
    </r>
  </si>
  <si>
    <t>12-0-0</t>
  </si>
  <si>
    <t>316.284 (53%)</t>
  </si>
  <si>
    <t>260.211 (55%)</t>
  </si>
  <si>
    <r>
      <rPr>
        <u/>
        <sz val="10"/>
        <color rgb="FF1155CC"/>
        <rFont val="Arial"/>
      </rPr>
      <t>Port Adelaide</t>
    </r>
  </si>
  <si>
    <t>310.289 (52%)</t>
  </si>
  <si>
    <t>280.226 (55%)</t>
  </si>
  <si>
    <r>
      <rPr>
        <u/>
        <sz val="10"/>
        <color rgb="FF1155CC"/>
        <rFont val="Arial"/>
      </rPr>
      <t>Melbourne</t>
    </r>
  </si>
  <si>
    <t>305.249 (55%)</t>
  </si>
  <si>
    <t>240.220 (52%)</t>
  </si>
  <si>
    <r>
      <rPr>
        <u/>
        <sz val="10"/>
        <color rgb="FF1155CC"/>
        <rFont val="Arial"/>
      </rPr>
      <t>Carlton</t>
    </r>
  </si>
  <si>
    <t>275.272 (50%)</t>
  </si>
  <si>
    <t>243.239 (50%)</t>
  </si>
  <si>
    <r>
      <rPr>
        <u/>
        <sz val="10"/>
        <color rgb="FF1155CC"/>
        <rFont val="Arial"/>
      </rPr>
      <t>St Kilda</t>
    </r>
  </si>
  <si>
    <t>260.215 (55%)</t>
  </si>
  <si>
    <t>235.237 (50%)</t>
  </si>
  <si>
    <r>
      <rPr>
        <u/>
        <sz val="10"/>
        <color rgb="FF1155CC"/>
        <rFont val="Arial"/>
      </rPr>
      <t>Greater Western Sydney</t>
    </r>
  </si>
  <si>
    <t>294.254 (54%)</t>
  </si>
  <si>
    <t>269.271 (50%)</t>
  </si>
  <si>
    <r>
      <rPr>
        <u/>
        <sz val="10"/>
        <color rgb="FF1155CC"/>
        <rFont val="Arial"/>
      </rPr>
      <t>Sydney</t>
    </r>
  </si>
  <si>
    <t>299.256 (54%)</t>
  </si>
  <si>
    <t>271.237 (53%)</t>
  </si>
  <si>
    <r>
      <rPr>
        <u/>
        <sz val="10"/>
        <color rgb="FF1155CC"/>
        <rFont val="Arial"/>
      </rPr>
      <t>Western Bulldogs</t>
    </r>
  </si>
  <si>
    <t>276.263 (51%)</t>
  </si>
  <si>
    <t>256.230 (53%)</t>
  </si>
  <si>
    <r>
      <rPr>
        <u/>
        <sz val="10"/>
        <color rgb="FF1155CC"/>
        <rFont val="Arial"/>
      </rPr>
      <t>Adelaide</t>
    </r>
  </si>
  <si>
    <t>319.279 (53%)</t>
  </si>
  <si>
    <t>272.245 (53%)</t>
  </si>
  <si>
    <r>
      <rPr>
        <u/>
        <sz val="10"/>
        <color rgb="FF1155CC"/>
        <rFont val="Arial"/>
      </rPr>
      <t>Essendon</t>
    </r>
  </si>
  <si>
    <t>267.236 (53%)</t>
  </si>
  <si>
    <t>300.250 (55%)</t>
  </si>
  <si>
    <r>
      <rPr>
        <u/>
        <sz val="10"/>
        <color rgb="FF1155CC"/>
        <rFont val="Arial"/>
      </rPr>
      <t>Geelong</t>
    </r>
  </si>
  <si>
    <t>306.252 (55%)</t>
  </si>
  <si>
    <t>268.247 (52%)</t>
  </si>
  <si>
    <r>
      <rPr>
        <u/>
        <sz val="10"/>
        <color rgb="FF1155CC"/>
        <rFont val="Arial"/>
      </rPr>
      <t>Richmond</t>
    </r>
  </si>
  <si>
    <t>265.266 (50%)</t>
  </si>
  <si>
    <t>287.261 (52%)</t>
  </si>
  <si>
    <r>
      <rPr>
        <u/>
        <sz val="10"/>
        <color rgb="FF1155CC"/>
        <rFont val="Arial"/>
      </rPr>
      <t>Fremantle</t>
    </r>
  </si>
  <si>
    <t>271.209 (56%)</t>
  </si>
  <si>
    <t>279.224 (55%)</t>
  </si>
  <si>
    <r>
      <rPr>
        <u/>
        <sz val="10"/>
        <color rgb="FF1155CC"/>
        <rFont val="Arial"/>
      </rPr>
      <t>Gold Coast</t>
    </r>
  </si>
  <si>
    <t>265.249 (52%)</t>
  </si>
  <si>
    <t>294.242 (55%)</t>
  </si>
  <si>
    <r>
      <rPr>
        <u/>
        <sz val="10"/>
        <color rgb="FF1155CC"/>
        <rFont val="Arial"/>
      </rPr>
      <t>Hawthorn</t>
    </r>
  </si>
  <si>
    <t>243.228 (52%)</t>
  </si>
  <si>
    <t>311.235 (57%)</t>
  </si>
  <si>
    <r>
      <rPr>
        <u/>
        <sz val="10"/>
        <color rgb="FF1155CC"/>
        <rFont val="Arial"/>
      </rPr>
      <t>North Melbourne</t>
    </r>
  </si>
  <si>
    <t>243.199 (55%)</t>
  </si>
  <si>
    <t>338.290 (54%)</t>
  </si>
  <si>
    <r>
      <rPr>
        <u/>
        <sz val="10"/>
        <color rgb="FF1155CC"/>
        <rFont val="Arial"/>
      </rPr>
      <t>West Coast</t>
    </r>
  </si>
  <si>
    <t>204.194 (51%)</t>
  </si>
  <si>
    <t>393.316 (55%)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</si>
  <si>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</si>
  <si>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</si>
  <si>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</si>
  <si>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</si>
  <si>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</si>
  <si>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</si>
  <si>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</si>
  <si>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</si>
  <si>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</si>
  <si>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</si>
  <si>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</si>
  <si>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</si>
  <si>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</si>
  <si>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</si>
  <si>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u/>
        <sz val="10"/>
        <color rgb="FF1155CC"/>
        <rFont val="Arial"/>
      </rPr>
      <t>Geelong</t>
    </r>
  </si>
  <si>
    <t>310.286 (52%)</t>
  </si>
  <si>
    <t>219.174 (56%)</t>
  </si>
  <si>
    <r>
      <rPr>
        <u/>
        <sz val="10"/>
        <color rgb="FF1155CC"/>
        <rFont val="Arial"/>
      </rPr>
      <t>Melbourne</t>
    </r>
  </si>
  <si>
    <t>279.262 (52%)</t>
  </si>
  <si>
    <t>212.211 (50%)</t>
  </si>
  <si>
    <r>
      <rPr>
        <u/>
        <sz val="10"/>
        <color rgb="FF1155CC"/>
        <rFont val="Arial"/>
      </rPr>
      <t>Sydney</t>
    </r>
  </si>
  <si>
    <t>300.267 (53%)</t>
  </si>
  <si>
    <t>232.224 (51%)</t>
  </si>
  <si>
    <r>
      <rPr>
        <u/>
        <sz val="10"/>
        <color rgb="FF1155CC"/>
        <rFont val="Arial"/>
      </rPr>
      <t>Collingwood</t>
    </r>
  </si>
  <si>
    <t>259.209 (55%)</t>
  </si>
  <si>
    <r>
      <rPr>
        <u/>
        <sz val="10"/>
        <color rgb="FF1155CC"/>
        <rFont val="Arial"/>
      </rPr>
      <t>Fremantle</t>
    </r>
  </si>
  <si>
    <t>251.233 (52%)</t>
  </si>
  <si>
    <t>214.202 (51%)</t>
  </si>
  <si>
    <r>
      <rPr>
        <u/>
        <sz val="10"/>
        <color rgb="FF1155CC"/>
        <rFont val="Arial"/>
      </rPr>
      <t>Brisbane Lions</t>
    </r>
  </si>
  <si>
    <t>319.233 (58%)</t>
  </si>
  <si>
    <t>262.227 (54%)</t>
  </si>
  <si>
    <r>
      <rPr>
        <u/>
        <sz val="10"/>
        <color rgb="FF1155CC"/>
        <rFont val="Arial"/>
      </rPr>
      <t>Richmond</t>
    </r>
  </si>
  <si>
    <t>318.257 (55%)</t>
  </si>
  <si>
    <t>254.256 (50%)</t>
  </si>
  <si>
    <r>
      <rPr>
        <u/>
        <sz val="10"/>
        <color rgb="FF1155CC"/>
        <rFont val="Arial"/>
      </rPr>
      <t>Western Bulldogs</t>
    </r>
  </si>
  <si>
    <t>287.251 (53%)</t>
  </si>
  <si>
    <t>265.222 (54%)</t>
  </si>
  <si>
    <r>
      <rPr>
        <u/>
        <sz val="10"/>
        <color rgb="FF1155CC"/>
        <rFont val="Arial"/>
      </rPr>
      <t>Carlton</t>
    </r>
  </si>
  <si>
    <t>268.249 (52%)</t>
  </si>
  <si>
    <t>248.226 (52%)</t>
  </si>
  <si>
    <r>
      <rPr>
        <u/>
        <sz val="10"/>
        <color rgb="FF1155CC"/>
        <rFont val="Arial"/>
      </rPr>
      <t>St Kilda</t>
    </r>
  </si>
  <si>
    <t>247.221 (53%)</t>
  </si>
  <si>
    <t>247.233 (51%)</t>
  </si>
  <si>
    <r>
      <rPr>
        <u/>
        <sz val="10"/>
        <color rgb="FF1155CC"/>
        <rFont val="Arial"/>
      </rPr>
      <t>Port Adelaide</t>
    </r>
  </si>
  <si>
    <t>261.240 (52%)</t>
  </si>
  <si>
    <t>233.240 (49%)</t>
  </si>
  <si>
    <r>
      <rPr>
        <u/>
        <sz val="10"/>
        <color rgb="FF1155CC"/>
        <rFont val="Arial"/>
      </rPr>
      <t>Gold Coast</t>
    </r>
  </si>
  <si>
    <t>271.245 (53%)</t>
  </si>
  <si>
    <t>261.254 (51%)</t>
  </si>
  <si>
    <r>
      <rPr>
        <u/>
        <sz val="10"/>
        <color rgb="FF1155CC"/>
        <rFont val="Arial"/>
      </rPr>
      <t>Hawthorn</t>
    </r>
  </si>
  <si>
    <t>262.215 (55%)</t>
  </si>
  <si>
    <t>291.245 (54%)</t>
  </si>
  <si>
    <r>
      <rPr>
        <u/>
        <sz val="10"/>
        <color rgb="FF1155CC"/>
        <rFont val="Arial"/>
      </rPr>
      <t>Adelaide</t>
    </r>
  </si>
  <si>
    <t>249.227 (52%)</t>
  </si>
  <si>
    <t>293.228 (56%)</t>
  </si>
  <si>
    <r>
      <rPr>
        <u/>
        <sz val="10"/>
        <color rgb="FF1155CC"/>
        <rFont val="Arial"/>
      </rPr>
      <t>Essendon</t>
    </r>
  </si>
  <si>
    <t>249.243 (51%)</t>
  </si>
  <si>
    <t>307.245 (56%)</t>
  </si>
  <si>
    <r>
      <rPr>
        <u/>
        <sz val="10"/>
        <color rgb="FF1155CC"/>
        <rFont val="Arial"/>
      </rPr>
      <t>Greater Western Sydney</t>
    </r>
  </si>
  <si>
    <t>237.209 (53%)</t>
  </si>
  <si>
    <t>280.247 (53%)</t>
  </si>
  <si>
    <r>
      <rPr>
        <u/>
        <sz val="10"/>
        <color rgb="FF1155CC"/>
        <rFont val="Arial"/>
      </rPr>
      <t>West Coast</t>
    </r>
  </si>
  <si>
    <t>212.157 (57%)</t>
  </si>
  <si>
    <t>355.259 (58%)</t>
  </si>
  <si>
    <r>
      <rPr>
        <u/>
        <sz val="10"/>
        <color rgb="FF1155CC"/>
        <rFont val="Arial"/>
      </rPr>
      <t>North Melbourne</t>
    </r>
  </si>
  <si>
    <t>0-0-11</t>
  </si>
  <si>
    <t>193.179 (52%)</t>
  </si>
  <si>
    <t>349.303 (54%)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</si>
  <si>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</si>
  <si>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</si>
  <si>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</si>
  <si>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</si>
  <si>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</si>
  <si>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</si>
  <si>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</si>
  <si>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</si>
  <si>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</si>
  <si>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</si>
  <si>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</si>
  <si>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</si>
  <si>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</si>
  <si>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</si>
  <si>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u/>
        <sz val="10"/>
        <color rgb="FF1155CC"/>
        <rFont val="Arial"/>
      </rPr>
      <t>Melbourne</t>
    </r>
  </si>
  <si>
    <t>270.268 (50%)</t>
  </si>
  <si>
    <t>211.177 (54%)</t>
  </si>
  <si>
    <r>
      <rPr>
        <u/>
        <sz val="10"/>
        <color rgb="FF1155CC"/>
        <rFont val="Arial"/>
      </rPr>
      <t>Port Adelaide</t>
    </r>
  </si>
  <si>
    <t>276.228 (55%)</t>
  </si>
  <si>
    <t>210.232 (48%)</t>
  </si>
  <si>
    <r>
      <rPr>
        <u/>
        <sz val="10"/>
        <color rgb="FF1155CC"/>
        <rFont val="Arial"/>
      </rPr>
      <t>Geelong</t>
    </r>
  </si>
  <si>
    <t>269.231 (54%)</t>
  </si>
  <si>
    <t>205.226 (48%)</t>
  </si>
  <si>
    <r>
      <rPr>
        <u/>
        <sz val="10"/>
        <color rgb="FF1155CC"/>
        <rFont val="Arial"/>
      </rPr>
      <t>Brisbane Lions</t>
    </r>
  </si>
  <si>
    <t>313.253 (55%)</t>
  </si>
  <si>
    <t>231.213 (52%)</t>
  </si>
  <si>
    <r>
      <rPr>
        <u/>
        <sz val="10"/>
        <color rgb="FF1155CC"/>
        <rFont val="Arial"/>
      </rPr>
      <t>Western Bulldogs</t>
    </r>
  </si>
  <si>
    <t>288.266 (52%)</t>
  </si>
  <si>
    <t>215.211 (50%)</t>
  </si>
  <si>
    <r>
      <rPr>
        <u/>
        <sz val="10"/>
        <color rgb="FF1155CC"/>
        <rFont val="Arial"/>
      </rPr>
      <t>Sydney</t>
    </r>
  </si>
  <si>
    <t>237.234 (50%)</t>
  </si>
  <si>
    <r>
      <rPr>
        <u/>
        <sz val="10"/>
        <color rgb="FF1155CC"/>
        <rFont val="Arial"/>
      </rPr>
      <t>Greater Western Sydney</t>
    </r>
  </si>
  <si>
    <t>258.220 (54%)</t>
  </si>
  <si>
    <t>255.243 (51%)</t>
  </si>
  <si>
    <r>
      <rPr>
        <u/>
        <sz val="10"/>
        <color rgb="FF1155CC"/>
        <rFont val="Arial"/>
      </rPr>
      <t>Essendon</t>
    </r>
  </si>
  <si>
    <t>287.231 (55%)</t>
  </si>
  <si>
    <t>261.224 (54%)</t>
  </si>
  <si>
    <r>
      <rPr>
        <u/>
        <sz val="10"/>
        <color rgb="FF1155CC"/>
        <rFont val="Arial"/>
      </rPr>
      <t>West Coast</t>
    </r>
  </si>
  <si>
    <t>257.210 (55%)</t>
  </si>
  <si>
    <t>274.236 (54%)</t>
  </si>
  <si>
    <r>
      <rPr>
        <u/>
        <sz val="10"/>
        <color rgb="FF1155CC"/>
        <rFont val="Arial"/>
      </rPr>
      <t>St Kilda</t>
    </r>
  </si>
  <si>
    <t>237.222 (52%)</t>
  </si>
  <si>
    <t>260.236 (52%)</t>
  </si>
  <si>
    <r>
      <rPr>
        <u/>
        <sz val="10"/>
        <color rgb="FF1155CC"/>
        <rFont val="Arial"/>
      </rPr>
      <t>Fremantle</t>
    </r>
  </si>
  <si>
    <t>219.264 (45%)</t>
  </si>
  <si>
    <t>265.235 (53%)</t>
  </si>
  <si>
    <r>
      <rPr>
        <u/>
        <sz val="10"/>
        <color rgb="FF1155CC"/>
        <rFont val="Arial"/>
      </rPr>
      <t>Richmond</t>
    </r>
  </si>
  <si>
    <t>253.225 (53%)</t>
  </si>
  <si>
    <t>258.232 (53%)</t>
  </si>
  <si>
    <r>
      <rPr>
        <u/>
        <sz val="10"/>
        <color rgb="FF1155CC"/>
        <rFont val="Arial"/>
      </rPr>
      <t>Carlton</t>
    </r>
  </si>
  <si>
    <t>250.246 (50%)</t>
  </si>
  <si>
    <t>288.244 (54%)</t>
  </si>
  <si>
    <r>
      <rPr>
        <u/>
        <sz val="10"/>
        <color rgb="FF1155CC"/>
        <rFont val="Arial"/>
      </rPr>
      <t>Hawthorn</t>
    </r>
  </si>
  <si>
    <t>239.195 (55%)</t>
  </si>
  <si>
    <t>282.220 (56%)</t>
  </si>
  <si>
    <r>
      <rPr>
        <u/>
        <sz val="10"/>
        <color rgb="FF1155CC"/>
        <rFont val="Arial"/>
      </rPr>
      <t>Adelaide</t>
    </r>
  </si>
  <si>
    <t>230.236 (49%)</t>
  </si>
  <si>
    <t>287.249 (54%)</t>
  </si>
  <si>
    <r>
      <rPr>
        <u/>
        <sz val="10"/>
        <color rgb="FF1155CC"/>
        <rFont val="Arial"/>
      </rPr>
      <t>Gold Coast</t>
    </r>
  </si>
  <si>
    <t>201.224 (47%)</t>
  </si>
  <si>
    <t>268.255 (51%)</t>
  </si>
  <si>
    <r>
      <rPr>
        <u/>
        <sz val="10"/>
        <color rgb="FF1155CC"/>
        <rFont val="Arial"/>
      </rPr>
      <t>Collingwood</t>
    </r>
  </si>
  <si>
    <t>225.207 (52%)</t>
  </si>
  <si>
    <t>269.204 (57%)</t>
  </si>
  <si>
    <r>
      <rPr>
        <u/>
        <sz val="10"/>
        <color rgb="FF1155CC"/>
        <rFont val="Arial"/>
      </rPr>
      <t>North Melbourne</t>
    </r>
  </si>
  <si>
    <t>210.198 (51%)</t>
  </si>
  <si>
    <t>299.281 (52%)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</si>
  <si>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</si>
  <si>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</si>
  <si>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</si>
  <si>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</si>
  <si>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</si>
  <si>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</si>
  <si>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</si>
  <si>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</si>
  <si>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</si>
  <si>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</si>
  <si>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</si>
  <si>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</si>
  <si>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</si>
  <si>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</si>
  <si>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u/>
        <sz val="10"/>
        <color rgb="FF1155CC"/>
        <rFont val="Arial"/>
      </rPr>
      <t>Port Adelaide</t>
    </r>
  </si>
  <si>
    <t>8-0-1</t>
  </si>
  <si>
    <t>6-0-2</t>
  </si>
  <si>
    <t>168.177 (49%)</t>
  </si>
  <si>
    <t>127.107 (54%)</t>
  </si>
  <si>
    <r>
      <rPr>
        <u/>
        <sz val="10"/>
        <color rgb="FF1155CC"/>
        <rFont val="Arial"/>
      </rPr>
      <t>Brisbane Lions</t>
    </r>
  </si>
  <si>
    <t>9-0-0</t>
  </si>
  <si>
    <t>5-0-3</t>
  </si>
  <si>
    <t>165.194 (46%)</t>
  </si>
  <si>
    <t>139.114 (55%)</t>
  </si>
  <si>
    <r>
      <rPr>
        <u/>
        <sz val="10"/>
        <color rgb="FF1155CC"/>
        <rFont val="Arial"/>
      </rPr>
      <t>Richmond</t>
    </r>
  </si>
  <si>
    <t>7-0-1</t>
  </si>
  <si>
    <t>164.151 (52%)</t>
  </si>
  <si>
    <t>124.130 (49%)</t>
  </si>
  <si>
    <r>
      <rPr>
        <u/>
        <sz val="10"/>
        <color rgb="FF1155CC"/>
        <rFont val="Arial"/>
      </rPr>
      <t>Geelong</t>
    </r>
  </si>
  <si>
    <t>6-0-3</t>
  </si>
  <si>
    <t>182.141 (56%)</t>
  </si>
  <si>
    <t>129.127 (50%)</t>
  </si>
  <si>
    <r>
      <rPr>
        <u/>
        <sz val="10"/>
        <color rgb="FF1155CC"/>
        <rFont val="Arial"/>
      </rPr>
      <t>West Coast</t>
    </r>
  </si>
  <si>
    <t>3-0-5</t>
  </si>
  <si>
    <t>162.123 (57%)</t>
  </si>
  <si>
    <t>133.138 (49%)</t>
  </si>
  <si>
    <r>
      <rPr>
        <u/>
        <sz val="10"/>
        <color rgb="FF1155CC"/>
        <rFont val="Arial"/>
      </rPr>
      <t>St Kilda</t>
    </r>
  </si>
  <si>
    <t>4-0-5</t>
  </si>
  <si>
    <t>171.133 (56%)</t>
  </si>
  <si>
    <t>142.145 (49%)</t>
  </si>
  <si>
    <r>
      <rPr>
        <u/>
        <sz val="10"/>
        <color rgb="FF1155CC"/>
        <rFont val="Arial"/>
      </rPr>
      <t>Western Bulldogs</t>
    </r>
  </si>
  <si>
    <t>5-0-4</t>
  </si>
  <si>
    <t>159.149 (52%)</t>
  </si>
  <si>
    <t>149.140 (52%)</t>
  </si>
  <si>
    <r>
      <rPr>
        <u/>
        <sz val="10"/>
        <color rgb="FF1155CC"/>
        <rFont val="Arial"/>
      </rPr>
      <t>Collingwood</t>
    </r>
  </si>
  <si>
    <t>139.131 (51%)</t>
  </si>
  <si>
    <t>131.95 (58%)</t>
  </si>
  <si>
    <r>
      <rPr>
        <u/>
        <sz val="10"/>
        <color rgb="FF1155CC"/>
        <rFont val="Arial"/>
      </rPr>
      <t>Melbourne</t>
    </r>
  </si>
  <si>
    <t>155.133 (54%)</t>
  </si>
  <si>
    <t>142.134 (51%)</t>
  </si>
  <si>
    <r>
      <rPr>
        <u/>
        <sz val="10"/>
        <color rgb="FF1155CC"/>
        <rFont val="Arial"/>
      </rPr>
      <t>Greater Western Sydney</t>
    </r>
  </si>
  <si>
    <t>3-0-6</t>
  </si>
  <si>
    <t>145.137 (51%)</t>
  </si>
  <si>
    <t>151.147 (51%)</t>
  </si>
  <si>
    <r>
      <rPr>
        <u/>
        <sz val="10"/>
        <color rgb="FF1155CC"/>
        <rFont val="Arial"/>
      </rPr>
      <t>Carlton</t>
    </r>
  </si>
  <si>
    <t>2-0-6</t>
  </si>
  <si>
    <t>146.141 (51%)</t>
  </si>
  <si>
    <t>158.130 (55%)</t>
  </si>
  <si>
    <r>
      <rPr>
        <u/>
        <sz val="10"/>
        <color rgb="FF1155CC"/>
        <rFont val="Arial"/>
      </rPr>
      <t>Fremantle</t>
    </r>
  </si>
  <si>
    <t>4-0-6</t>
  </si>
  <si>
    <t>3-0-4</t>
  </si>
  <si>
    <t>127.104 (55%)</t>
  </si>
  <si>
    <t>131.138 (49%)</t>
  </si>
  <si>
    <r>
      <rPr>
        <u/>
        <sz val="10"/>
        <color rgb="FF1155CC"/>
        <rFont val="Arial"/>
      </rPr>
      <t>Essendon</t>
    </r>
  </si>
  <si>
    <t>136.122 (53%)</t>
  </si>
  <si>
    <t>172.153 (53%)</t>
  </si>
  <si>
    <r>
      <rPr>
        <u/>
        <sz val="10"/>
        <color rgb="FF1155CC"/>
        <rFont val="Arial"/>
      </rPr>
      <t>Gold Coast</t>
    </r>
  </si>
  <si>
    <t>1-0-6</t>
  </si>
  <si>
    <t>142.144 (50%)</t>
  </si>
  <si>
    <t>160.139 (54%)</t>
  </si>
  <si>
    <r>
      <rPr>
        <u/>
        <sz val="10"/>
        <color rgb="FF1155CC"/>
        <rFont val="Arial"/>
      </rPr>
      <t>Hawthorn</t>
    </r>
  </si>
  <si>
    <t>2-0-8</t>
  </si>
  <si>
    <t>147.122 (55%)</t>
  </si>
  <si>
    <t>175.144 (55%)</t>
  </si>
  <si>
    <r>
      <rPr>
        <u/>
        <sz val="10"/>
        <color rgb="FF1155CC"/>
        <rFont val="Arial"/>
      </rPr>
      <t>Sydney</t>
    </r>
  </si>
  <si>
    <t>2-0-7</t>
  </si>
  <si>
    <t>128.122 (51%)</t>
  </si>
  <si>
    <t>153.159 (49%)</t>
  </si>
  <si>
    <r>
      <rPr>
        <u/>
        <sz val="10"/>
        <color rgb="FF1155CC"/>
        <rFont val="Arial"/>
      </rPr>
      <t>North Melbourne</t>
    </r>
  </si>
  <si>
    <t>1-0-8</t>
  </si>
  <si>
    <t>124.114 (52%)</t>
  </si>
  <si>
    <t>170.185 (48%)</t>
  </si>
  <si>
    <r>
      <rPr>
        <u/>
        <sz val="10"/>
        <color rgb="FF1155CC"/>
        <rFont val="Arial"/>
      </rPr>
      <t>Adelaide</t>
    </r>
  </si>
  <si>
    <t>116.130 (47%)</t>
  </si>
  <si>
    <t>190.143 (57%)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</si>
  <si>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</si>
  <si>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</si>
  <si>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</si>
  <si>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</si>
  <si>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</si>
  <si>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</si>
  <si>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</si>
  <si>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</si>
  <si>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</si>
  <si>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</si>
  <si>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</si>
  <si>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</si>
  <si>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</si>
  <si>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</si>
  <si>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u/>
        <sz val="10"/>
        <color rgb="FF1155CC"/>
        <rFont val="Arial"/>
      </rPr>
      <t>Geelong</t>
    </r>
  </si>
  <si>
    <t>291.238 (55%)</t>
  </si>
  <si>
    <t>203.244 (45%)</t>
  </si>
  <si>
    <r>
      <rPr>
        <u/>
        <sz val="10"/>
        <color rgb="FF1155CC"/>
        <rFont val="Arial"/>
      </rPr>
      <t>Brisbane Lions</t>
    </r>
  </si>
  <si>
    <t>288.276 (51%)</t>
  </si>
  <si>
    <t>243.236 (51%)</t>
  </si>
  <si>
    <r>
      <rPr>
        <u/>
        <sz val="10"/>
        <color rgb="FF1155CC"/>
        <rFont val="Arial"/>
      </rPr>
      <t>Richmond</t>
    </r>
  </si>
  <si>
    <t>244.200 (55%)</t>
  </si>
  <si>
    <r>
      <rPr>
        <u/>
        <sz val="10"/>
        <color rgb="FF1155CC"/>
        <rFont val="Arial"/>
      </rPr>
      <t>Collingwood</t>
    </r>
  </si>
  <si>
    <t>274.241 (53%)</t>
  </si>
  <si>
    <t>230.221 (51%)</t>
  </si>
  <si>
    <r>
      <rPr>
        <u/>
        <sz val="10"/>
        <color rgb="FF1155CC"/>
        <rFont val="Arial"/>
      </rPr>
      <t>West Coast</t>
    </r>
  </si>
  <si>
    <t>282.210 (57%)</t>
  </si>
  <si>
    <t>239.257 (48%)</t>
  </si>
  <si>
    <r>
      <rPr>
        <u/>
        <sz val="10"/>
        <color rgb="FF1155CC"/>
        <rFont val="Arial"/>
      </rPr>
      <t>Greater Western Sydney</t>
    </r>
  </si>
  <si>
    <t>283.228 (55%)</t>
  </si>
  <si>
    <t>243.211 (54%)</t>
  </si>
  <si>
    <r>
      <rPr>
        <u/>
        <sz val="10"/>
        <color rgb="FF1155CC"/>
        <rFont val="Arial"/>
      </rPr>
      <t>Western Bulldogs</t>
    </r>
  </si>
  <si>
    <t>279.267 (51%)</t>
  </si>
  <si>
    <t>264.226 (54%)</t>
  </si>
  <si>
    <r>
      <rPr>
        <u/>
        <sz val="10"/>
        <color rgb="FF1155CC"/>
        <rFont val="Arial"/>
      </rPr>
      <t>Essendon</t>
    </r>
  </si>
  <si>
    <t>247.220 (53%)</t>
  </si>
  <si>
    <t>253.266 (49%)</t>
  </si>
  <si>
    <r>
      <rPr>
        <u/>
        <sz val="10"/>
        <color rgb="FF1155CC"/>
        <rFont val="Arial"/>
      </rPr>
      <t>Hawthorn</t>
    </r>
  </si>
  <si>
    <t>250.242 (51%)</t>
  </si>
  <si>
    <t>228.234 (49%)</t>
  </si>
  <si>
    <r>
      <rPr>
        <u/>
        <sz val="10"/>
        <color rgb="FF1155CC"/>
        <rFont val="Arial"/>
      </rPr>
      <t>Port Adelaide</t>
    </r>
  </si>
  <si>
    <t>257.264 (49%)</t>
  </si>
  <si>
    <r>
      <rPr>
        <u/>
        <sz val="10"/>
        <color rgb="FF1155CC"/>
        <rFont val="Arial"/>
      </rPr>
      <t>Adelaide</t>
    </r>
  </si>
  <si>
    <t>256.240 (52%)</t>
  </si>
  <si>
    <t>252.249 (50%)</t>
  </si>
  <si>
    <r>
      <rPr>
        <u/>
        <sz val="10"/>
        <color rgb="FF1155CC"/>
        <rFont val="Arial"/>
      </rPr>
      <t>North Melbourne</t>
    </r>
  </si>
  <si>
    <t>265.234 (53%)</t>
  </si>
  <si>
    <t>265.244 (52%)</t>
  </si>
  <si>
    <r>
      <rPr>
        <u/>
        <sz val="10"/>
        <color rgb="FF1155CC"/>
        <rFont val="Arial"/>
      </rPr>
      <t>Fremantle</t>
    </r>
  </si>
  <si>
    <t>225.229 (50%)</t>
  </si>
  <si>
    <t>245.248 (50%)</t>
  </si>
  <si>
    <r>
      <rPr>
        <u/>
        <sz val="10"/>
        <color rgb="FF1155CC"/>
        <rFont val="Arial"/>
      </rPr>
      <t>St Kilda</t>
    </r>
  </si>
  <si>
    <t>233.247 (49%)</t>
  </si>
  <si>
    <t>294.197 (60%)</t>
  </si>
  <si>
    <r>
      <rPr>
        <u/>
        <sz val="10"/>
        <color rgb="FF1155CC"/>
        <rFont val="Arial"/>
      </rPr>
      <t>Sydney</t>
    </r>
  </si>
  <si>
    <t>248.218 (53%)</t>
  </si>
  <si>
    <t>246.270 (48%)</t>
  </si>
  <si>
    <r>
      <rPr>
        <u/>
        <sz val="10"/>
        <color rgb="FF1155CC"/>
        <rFont val="Arial"/>
      </rPr>
      <t>Carlton</t>
    </r>
  </si>
  <si>
    <t>231.223 (51%)</t>
  </si>
  <si>
    <t>276.249 (53%)</t>
  </si>
  <si>
    <r>
      <rPr>
        <u/>
        <sz val="10"/>
        <color rgb="FF1155CC"/>
        <rFont val="Arial"/>
      </rPr>
      <t>Melbourne</t>
    </r>
  </si>
  <si>
    <t>223.231 (49%)</t>
  </si>
  <si>
    <t>297.213 (58%)</t>
  </si>
  <si>
    <r>
      <rPr>
        <u/>
        <sz val="10"/>
        <color rgb="FF1155CC"/>
        <rFont val="Arial"/>
      </rPr>
      <t>Gold Coast</t>
    </r>
  </si>
  <si>
    <t>194.187 (51%)</t>
  </si>
  <si>
    <t>330.252 (57%)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</si>
  <si>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</si>
  <si>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</si>
  <si>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</si>
  <si>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</si>
  <si>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</si>
  <si>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</si>
  <si>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</si>
  <si>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</si>
  <si>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</si>
  <si>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</si>
  <si>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</si>
  <si>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</si>
  <si>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</si>
  <si>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</si>
  <si>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u/>
        <sz val="10"/>
        <color rgb="FF1155CC"/>
        <rFont val="Arial"/>
      </rPr>
      <t>Richmond</t>
    </r>
  </si>
  <si>
    <t>11-0-0</t>
  </si>
  <si>
    <t>311.277 (53%)</t>
  </si>
  <si>
    <t>232.182 (56%)</t>
  </si>
  <si>
    <r>
      <rPr>
        <u/>
        <sz val="10"/>
        <color rgb="FF1155CC"/>
        <rFont val="Arial"/>
      </rPr>
      <t>West Coast</t>
    </r>
  </si>
  <si>
    <t>295.242 (55%)</t>
  </si>
  <si>
    <t>241.211 (53%)</t>
  </si>
  <si>
    <r>
      <rPr>
        <u/>
        <sz val="10"/>
        <color rgb="FF1155CC"/>
        <rFont val="Arial"/>
      </rPr>
      <t>Collingwood</t>
    </r>
  </si>
  <si>
    <t>300.246 (55%)</t>
  </si>
  <si>
    <t>251.193 (57%)</t>
  </si>
  <si>
    <r>
      <rPr>
        <u/>
        <sz val="10"/>
        <color rgb="FF1155CC"/>
        <rFont val="Arial"/>
      </rPr>
      <t>Hawthorn</t>
    </r>
  </si>
  <si>
    <t>290.232 (56%)</t>
  </si>
  <si>
    <t>236.226 (51%)</t>
  </si>
  <si>
    <r>
      <rPr>
        <u/>
        <sz val="10"/>
        <color rgb="FF1155CC"/>
        <rFont val="Arial"/>
      </rPr>
      <t>Melbourne</t>
    </r>
  </si>
  <si>
    <t>336.283 (54%)</t>
  </si>
  <si>
    <t>256.213 (55%)</t>
  </si>
  <si>
    <r>
      <rPr>
        <u/>
        <sz val="10"/>
        <color rgb="FF1155CC"/>
        <rFont val="Arial"/>
      </rPr>
      <t>Sydney</t>
    </r>
  </si>
  <si>
    <t>268.214 (56%)</t>
  </si>
  <si>
    <t>231.278 (45%)</t>
  </si>
  <si>
    <r>
      <rPr>
        <u/>
        <sz val="10"/>
        <color rgb="FF1155CC"/>
        <rFont val="Arial"/>
      </rPr>
      <t>Greater Western Sydney</t>
    </r>
  </si>
  <si>
    <t>268.290 (48%)</t>
  </si>
  <si>
    <t>239.227 (51%)</t>
  </si>
  <si>
    <r>
      <rPr>
        <u/>
        <sz val="10"/>
        <color rgb="FF1155CC"/>
        <rFont val="Arial"/>
      </rPr>
      <t>Geelong</t>
    </r>
  </si>
  <si>
    <t>298.257 (54%)</t>
  </si>
  <si>
    <t>216.258 (46%)</t>
  </si>
  <si>
    <r>
      <rPr>
        <u/>
        <sz val="10"/>
        <color rgb="FF1155CC"/>
        <rFont val="Arial"/>
      </rPr>
      <t>North Melbourne</t>
    </r>
  </si>
  <si>
    <t>285.240 (54%)</t>
  </si>
  <si>
    <t>259.236 (52%)</t>
  </si>
  <si>
    <r>
      <rPr>
        <u/>
        <sz val="10"/>
        <color rgb="FF1155CC"/>
        <rFont val="Arial"/>
      </rPr>
      <t>Port Adelaide</t>
    </r>
  </si>
  <si>
    <t>259.226 (53%)</t>
  </si>
  <si>
    <t>241.208 (54%)</t>
  </si>
  <si>
    <r>
      <rPr>
        <u/>
        <sz val="10"/>
        <color rgb="FF1155CC"/>
        <rFont val="Arial"/>
      </rPr>
      <t>Essendon</t>
    </r>
  </si>
  <si>
    <t>280.252 (53%)</t>
  </si>
  <si>
    <t>264.254 (51%)</t>
  </si>
  <si>
    <r>
      <rPr>
        <u/>
        <sz val="10"/>
        <color rgb="FF1155CC"/>
        <rFont val="Arial"/>
      </rPr>
      <t>Adelaide</t>
    </r>
  </si>
  <si>
    <t>268.257 (51%)</t>
  </si>
  <si>
    <r>
      <rPr>
        <u/>
        <sz val="10"/>
        <color rgb="FF1155CC"/>
        <rFont val="Arial"/>
      </rPr>
      <t>Western Bulldogs</t>
    </r>
  </si>
  <si>
    <t>224.231 (49%)</t>
  </si>
  <si>
    <t>300.237 (56%)</t>
  </si>
  <si>
    <r>
      <rPr>
        <u/>
        <sz val="10"/>
        <color rgb="FF1155CC"/>
        <rFont val="Arial"/>
      </rPr>
      <t>Fremantle</t>
    </r>
  </si>
  <si>
    <t>224.212 (51%)</t>
  </si>
  <si>
    <t>294.277 (51%)</t>
  </si>
  <si>
    <r>
      <rPr>
        <u/>
        <sz val="10"/>
        <color rgb="FF1155CC"/>
        <rFont val="Arial"/>
      </rPr>
      <t>Brisbane Lions</t>
    </r>
  </si>
  <si>
    <t>266.229 (54%)</t>
  </si>
  <si>
    <t>297.267 (53%)</t>
  </si>
  <si>
    <r>
      <rPr>
        <u/>
        <sz val="10"/>
        <color rgb="FF1155CC"/>
        <rFont val="Arial"/>
      </rPr>
      <t>St Kilda</t>
    </r>
  </si>
  <si>
    <t>225.256 (47%)</t>
  </si>
  <si>
    <t>310.265 (54%)</t>
  </si>
  <si>
    <r>
      <rPr>
        <u/>
        <sz val="10"/>
        <color rgb="FF1155CC"/>
        <rFont val="Arial"/>
      </rPr>
      <t>Gold Coast</t>
    </r>
  </si>
  <si>
    <t>181.222 (45%)</t>
  </si>
  <si>
    <t>311.316 (50%)</t>
  </si>
  <si>
    <r>
      <rPr>
        <u/>
        <sz val="10"/>
        <color rgb="FF1155CC"/>
        <rFont val="Arial"/>
      </rPr>
      <t>Carlton</t>
    </r>
  </si>
  <si>
    <t>192.201 (49%)</t>
  </si>
  <si>
    <t>335.272 (55%)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</si>
  <si>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</si>
  <si>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</si>
  <si>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</si>
  <si>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</si>
  <si>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</si>
  <si>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</si>
  <si>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</si>
  <si>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</si>
  <si>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</si>
  <si>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</si>
  <si>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</si>
  <si>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</si>
  <si>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</si>
  <si>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</si>
  <si>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u/>
        <sz val="10"/>
        <color rgb="FF1155CC"/>
        <rFont val="Arial"/>
      </rPr>
      <t>Adelaide</t>
    </r>
  </si>
  <si>
    <t>354.291 (55%)</t>
  </si>
  <si>
    <t>260.216 (55%)</t>
  </si>
  <si>
    <r>
      <rPr>
        <u/>
        <sz val="10"/>
        <color rgb="FF1155CC"/>
        <rFont val="Arial"/>
      </rPr>
      <t>Geelong</t>
    </r>
  </si>
  <si>
    <t>313.256 (55%)</t>
  </si>
  <si>
    <t>260.258 (50%)</t>
  </si>
  <si>
    <r>
      <rPr>
        <u/>
        <sz val="10"/>
        <color rgb="FF1155CC"/>
        <rFont val="Arial"/>
      </rPr>
      <t>Richmond</t>
    </r>
  </si>
  <si>
    <t>287.270 (52%)</t>
  </si>
  <si>
    <t>242.232 (51%)</t>
  </si>
  <si>
    <r>
      <rPr>
        <u/>
        <sz val="10"/>
        <color rgb="FF1155CC"/>
        <rFont val="Arial"/>
      </rPr>
      <t>Greater Western Sydney</t>
    </r>
  </si>
  <si>
    <t>302.269 (53%)</t>
  </si>
  <si>
    <t>262.240 (52%)</t>
  </si>
  <si>
    <r>
      <rPr>
        <u/>
        <sz val="10"/>
        <color rgb="FF1155CC"/>
        <rFont val="Arial"/>
      </rPr>
      <t>Port Adelaide</t>
    </r>
  </si>
  <si>
    <t>313.290 (52%)</t>
  </si>
  <si>
    <t>239.237 (50%)</t>
  </si>
  <si>
    <r>
      <rPr>
        <u/>
        <sz val="10"/>
        <color rgb="FF1155CC"/>
        <rFont val="Arial"/>
      </rPr>
      <t>Sydney</t>
    </r>
  </si>
  <si>
    <t>305.263 (54%)</t>
  </si>
  <si>
    <t>237.229 (51%)</t>
  </si>
  <si>
    <r>
      <rPr>
        <u/>
        <sz val="10"/>
        <color rgb="FF1155CC"/>
        <rFont val="Arial"/>
      </rPr>
      <t>Essendon</t>
    </r>
  </si>
  <si>
    <t>311.269 (54%)</t>
  </si>
  <si>
    <r>
      <rPr>
        <u/>
        <sz val="10"/>
        <color rgb="FF1155CC"/>
        <rFont val="Arial"/>
      </rPr>
      <t>West Coast</t>
    </r>
  </si>
  <si>
    <t>288.236 (55%)</t>
  </si>
  <si>
    <t>266.262 (50%)</t>
  </si>
  <si>
    <r>
      <rPr>
        <u/>
        <sz val="10"/>
        <color rgb="FF1155CC"/>
        <rFont val="Arial"/>
      </rPr>
      <t>Melbourne</t>
    </r>
  </si>
  <si>
    <t>302.223 (58%)</t>
  </si>
  <si>
    <t>280.254 (52%)</t>
  </si>
  <si>
    <r>
      <rPr>
        <u/>
        <sz val="10"/>
        <color rgb="FF1155CC"/>
        <rFont val="Arial"/>
      </rPr>
      <t>Western Bulldogs</t>
    </r>
  </si>
  <si>
    <t>260.297 (47%)</t>
  </si>
  <si>
    <t>279.239 (54%)</t>
  </si>
  <si>
    <r>
      <rPr>
        <u/>
        <sz val="10"/>
        <color rgb="FF1155CC"/>
        <rFont val="Arial"/>
      </rPr>
      <t>St Kilda</t>
    </r>
  </si>
  <si>
    <t>271.299 (48%)</t>
  </si>
  <si>
    <t>291.240 (55%)</t>
  </si>
  <si>
    <r>
      <rPr>
        <u/>
        <sz val="10"/>
        <color rgb="FF1155CC"/>
        <rFont val="Arial"/>
      </rPr>
      <t>Hawthorn</t>
    </r>
  </si>
  <si>
    <t>273.226 (55%)</t>
  </si>
  <si>
    <t>301.249 (55%)</t>
  </si>
  <si>
    <r>
      <rPr>
        <u/>
        <sz val="10"/>
        <color rgb="FF1155CC"/>
        <rFont val="Arial"/>
      </rPr>
      <t>Collingwood</t>
    </r>
  </si>
  <si>
    <t>278.276 (50%)</t>
  </si>
  <si>
    <t>287.241 (54%)</t>
  </si>
  <si>
    <r>
      <rPr>
        <u/>
        <sz val="10"/>
        <color rgb="FF1155CC"/>
        <rFont val="Arial"/>
      </rPr>
      <t>Fremantle</t>
    </r>
  </si>
  <si>
    <t>231.221 (51%)</t>
  </si>
  <si>
    <t>317.258 (55%)</t>
  </si>
  <si>
    <r>
      <rPr>
        <u/>
        <sz val="10"/>
        <color rgb="FF1155CC"/>
        <rFont val="Arial"/>
      </rPr>
      <t>North Melbourne</t>
    </r>
  </si>
  <si>
    <t>290.243 (54%)</t>
  </si>
  <si>
    <t>331.278 (54%)</t>
  </si>
  <si>
    <r>
      <rPr>
        <u/>
        <sz val="10"/>
        <color rgb="FF1155CC"/>
        <rFont val="Arial"/>
      </rPr>
      <t>Carlton</t>
    </r>
  </si>
  <si>
    <t>232.202 (53%)</t>
  </si>
  <si>
    <t>299.244 (55%)</t>
  </si>
  <si>
    <r>
      <rPr>
        <u/>
        <sz val="10"/>
        <color rgb="FF1155CC"/>
        <rFont val="Arial"/>
      </rPr>
      <t>Gold Coast</t>
    </r>
  </si>
  <si>
    <t>257.214 (55%)</t>
  </si>
  <si>
    <t>337.289 (54%)</t>
  </si>
  <si>
    <r>
      <rPr>
        <u/>
        <sz val="10"/>
        <color rgb="FF1155CC"/>
        <rFont val="Arial"/>
      </rPr>
      <t>Brisbane Lions</t>
    </r>
  </si>
  <si>
    <t>276.221 (56%)</t>
  </si>
  <si>
    <t>367.324 (53%)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</si>
  <si>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</si>
  <si>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</si>
  <si>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</si>
  <si>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</si>
  <si>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</si>
  <si>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</si>
  <si>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</si>
  <si>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</si>
  <si>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</si>
  <si>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</si>
  <si>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</si>
  <si>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</si>
  <si>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</si>
  <si>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</si>
  <si>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u/>
        <sz val="10"/>
        <color rgb="FF1155CC"/>
        <rFont val="Arial"/>
      </rPr>
      <t>Sydney</t>
    </r>
  </si>
  <si>
    <t>326.265 (55%)</t>
  </si>
  <si>
    <t>208.221 (48%)</t>
  </si>
  <si>
    <r>
      <rPr>
        <u/>
        <sz val="10"/>
        <color rgb="FF1155CC"/>
        <rFont val="Arial"/>
      </rPr>
      <t>Geelong</t>
    </r>
  </si>
  <si>
    <t>325.285 (53%)</t>
  </si>
  <si>
    <t>227.192 (54%)</t>
  </si>
  <si>
    <r>
      <rPr>
        <u/>
        <sz val="10"/>
        <color rgb="FF1155CC"/>
        <rFont val="Arial"/>
      </rPr>
      <t>Hawthorn</t>
    </r>
  </si>
  <si>
    <t>312.262 (54%)</t>
  </si>
  <si>
    <t>263.222 (54%)</t>
  </si>
  <si>
    <r>
      <rPr>
        <u/>
        <sz val="10"/>
        <color rgb="FF1155CC"/>
        <rFont val="Arial"/>
      </rPr>
      <t>Greater Western Sydney</t>
    </r>
  </si>
  <si>
    <t>351.274 (56%)</t>
  </si>
  <si>
    <t>240.223 (52%)</t>
  </si>
  <si>
    <r>
      <rPr>
        <u/>
        <sz val="10"/>
        <color rgb="FF1155CC"/>
        <rFont val="Arial"/>
      </rPr>
      <t>Adelaide</t>
    </r>
  </si>
  <si>
    <t>363.305 (54%)</t>
  </si>
  <si>
    <t>260.235 (53%)</t>
  </si>
  <si>
    <r>
      <rPr>
        <u/>
        <sz val="10"/>
        <color rgb="FF1155CC"/>
        <rFont val="Arial"/>
      </rPr>
      <t>West Coast</t>
    </r>
  </si>
  <si>
    <t>323.243 (57%)</t>
  </si>
  <si>
    <t>240.238 (50%)</t>
  </si>
  <si>
    <r>
      <rPr>
        <u/>
        <sz val="10"/>
        <color rgb="FF1155CC"/>
        <rFont val="Arial"/>
      </rPr>
      <t>Western Bulldogs</t>
    </r>
  </si>
  <si>
    <t>237.187 (56%)</t>
  </si>
  <si>
    <r>
      <rPr>
        <u/>
        <sz val="10"/>
        <color rgb="FF1155CC"/>
        <rFont val="Arial"/>
      </rPr>
      <t>North Melbourne</t>
    </r>
  </si>
  <si>
    <t>284.252 (53%)</t>
  </si>
  <si>
    <t>264.275 (49%)</t>
  </si>
  <si>
    <r>
      <rPr>
        <u/>
        <sz val="10"/>
        <color rgb="FF1155CC"/>
        <rFont val="Arial"/>
      </rPr>
      <t>St Kilda</t>
    </r>
  </si>
  <si>
    <t>286.237 (55%)</t>
  </si>
  <si>
    <t>300.241 (55%)</t>
  </si>
  <si>
    <r>
      <rPr>
        <u/>
        <sz val="10"/>
        <color rgb="FF1155CC"/>
        <rFont val="Arial"/>
      </rPr>
      <t>Port Adelaide</t>
    </r>
  </si>
  <si>
    <t>300.255 (54%)</t>
  </si>
  <si>
    <t>275.289 (49%)</t>
  </si>
  <si>
    <r>
      <rPr>
        <u/>
        <sz val="10"/>
        <color rgb="FF1155CC"/>
        <rFont val="Arial"/>
      </rPr>
      <t>Melbourne</t>
    </r>
  </si>
  <si>
    <t>286.228 (56%)</t>
  </si>
  <si>
    <r>
      <rPr>
        <u/>
        <sz val="10"/>
        <color rgb="FF1155CC"/>
        <rFont val="Arial"/>
      </rPr>
      <t>Collingwood</t>
    </r>
  </si>
  <si>
    <t>276.254 (52%)</t>
  </si>
  <si>
    <t>294.234 (56%)</t>
  </si>
  <si>
    <r>
      <rPr>
        <u/>
        <sz val="10"/>
        <color rgb="FF1155CC"/>
        <rFont val="Arial"/>
      </rPr>
      <t>Richmond</t>
    </r>
  </si>
  <si>
    <t>247.231 (52%)</t>
  </si>
  <si>
    <t>314.271 (54%)</t>
  </si>
  <si>
    <r>
      <rPr>
        <u/>
        <sz val="10"/>
        <color rgb="FF1155CC"/>
        <rFont val="Arial"/>
      </rPr>
      <t>Carlton</t>
    </r>
  </si>
  <si>
    <t>224.224 (50%)</t>
  </si>
  <si>
    <t>287.256 (53%)</t>
  </si>
  <si>
    <r>
      <rPr>
        <u/>
        <sz val="10"/>
        <color rgb="FF1155CC"/>
        <rFont val="Arial"/>
      </rPr>
      <t>Gold Coast</t>
    </r>
  </si>
  <si>
    <t>258.230 (53%)</t>
  </si>
  <si>
    <t>328.305 (52%)</t>
  </si>
  <si>
    <r>
      <rPr>
        <u/>
        <sz val="10"/>
        <color rgb="FF1155CC"/>
        <rFont val="Arial"/>
      </rPr>
      <t>Fremantle</t>
    </r>
  </si>
  <si>
    <t>227.212 (52%)</t>
  </si>
  <si>
    <t>306.283 (52%)</t>
  </si>
  <si>
    <r>
      <rPr>
        <u/>
        <sz val="10"/>
        <color rgb="FF1155CC"/>
        <rFont val="Arial"/>
      </rPr>
      <t>Brisbane Lions</t>
    </r>
  </si>
  <si>
    <t>254.246 (51%)</t>
  </si>
  <si>
    <t>429.298 (59%)</t>
  </si>
  <si>
    <r>
      <rPr>
        <u/>
        <sz val="10"/>
        <color rgb="FF1155CC"/>
        <rFont val="Arial"/>
      </rPr>
      <t>Essendon</t>
    </r>
  </si>
  <si>
    <t>200.237 (46%)</t>
  </si>
  <si>
    <t>350.256 (58%)</t>
  </si>
  <si>
    <r>
      <rPr>
        <b/>
        <u/>
        <sz val="10"/>
        <color rgb="FF1155CC"/>
        <rFont val="Arial"/>
      </rPr>
      <t>#</t>
    </r>
  </si>
  <si>
    <r>
      <rPr>
        <b/>
        <u/>
        <sz val="10"/>
        <color rgb="FF1155CC"/>
        <rFont val="Arial"/>
      </rPr>
      <t>Team</t>
    </r>
  </si>
  <si>
    <r>
      <rPr>
        <b/>
        <u/>
        <sz val="10"/>
        <color rgb="FF1155CC"/>
        <rFont val="Arial"/>
      </rPr>
      <t>P</t>
    </r>
  </si>
  <si>
    <r>
      <rPr>
        <b/>
        <u/>
        <sz val="10"/>
        <color rgb="FF1155CC"/>
        <rFont val="Arial"/>
      </rPr>
      <t>W</t>
    </r>
  </si>
  <si>
    <r>
      <rPr>
        <b/>
        <u/>
        <sz val="10"/>
        <color rgb="FF1155CC"/>
        <rFont val="Arial"/>
      </rPr>
      <t>D</t>
    </r>
  </si>
  <si>
    <r>
      <rPr>
        <b/>
        <u/>
        <sz val="10"/>
        <color rgb="FF1155CC"/>
        <rFont val="Arial"/>
      </rPr>
      <t>L</t>
    </r>
  </si>
  <si>
    <r>
      <rPr>
        <b/>
        <u/>
        <sz val="10"/>
        <color rgb="FF1155CC"/>
        <rFont val="Arial"/>
      </rPr>
      <t>Home</t>
    </r>
  </si>
  <si>
    <r>
      <rPr>
        <b/>
        <u/>
        <sz val="10"/>
        <color rgb="FF1155CC"/>
        <rFont val="Arial"/>
      </rPr>
      <t>Away</t>
    </r>
  </si>
  <si>
    <r>
      <rPr>
        <b/>
        <u/>
        <sz val="10"/>
        <color rgb="FF1155CC"/>
        <rFont val="Arial"/>
      </rPr>
      <t>GF-BF</t>
    </r>
  </si>
  <si>
    <r>
      <rPr>
        <b/>
        <u/>
        <sz val="10"/>
        <color rgb="FF1155CC"/>
        <rFont val="Arial"/>
      </rPr>
      <t>For</t>
    </r>
  </si>
  <si>
    <r>
      <rPr>
        <b/>
        <u/>
        <sz val="10"/>
        <color rgb="FF1155CC"/>
        <rFont val="Arial"/>
      </rPr>
      <t>GA-BA</t>
    </r>
  </si>
  <si>
    <r>
      <rPr>
        <b/>
        <u/>
        <sz val="10"/>
        <color rgb="FF1155CC"/>
        <rFont val="Arial"/>
      </rPr>
      <t>Agn</t>
    </r>
  </si>
  <si>
    <r>
      <rPr>
        <b/>
        <u/>
        <sz val="10"/>
        <color rgb="FF1155CC"/>
        <rFont val="Arial"/>
      </rPr>
      <t>%</t>
    </r>
  </si>
  <si>
    <r>
      <rPr>
        <b/>
        <u/>
        <sz val="10"/>
        <color rgb="FF1155CC"/>
        <rFont val="Arial"/>
      </rPr>
      <t>Pts</t>
    </r>
  </si>
  <si>
    <r>
      <rPr>
        <u/>
        <sz val="10"/>
        <color rgb="FF1155CC"/>
        <rFont val="Arial"/>
      </rPr>
      <t>Fremantle</t>
    </r>
  </si>
  <si>
    <t>273.219 (55%)</t>
  </si>
  <si>
    <t>225.214 (51%)</t>
  </si>
  <si>
    <r>
      <rPr>
        <u/>
        <sz val="10"/>
        <color rgb="FF1155CC"/>
        <rFont val="Arial"/>
      </rPr>
      <t>West Coast</t>
    </r>
  </si>
  <si>
    <t>340.290 (54%)</t>
  </si>
  <si>
    <t>229.198 (54%)</t>
  </si>
  <si>
    <r>
      <rPr>
        <u/>
        <sz val="10"/>
        <color rgb="FF1155CC"/>
        <rFont val="Arial"/>
      </rPr>
      <t>Hawthorn</t>
    </r>
  </si>
  <si>
    <t>365.262 (58%)</t>
  </si>
  <si>
    <t>221.222 (50%)</t>
  </si>
  <si>
    <r>
      <rPr>
        <u/>
        <sz val="10"/>
        <color rgb="FF1155CC"/>
        <rFont val="Arial"/>
      </rPr>
      <t>Sydney</t>
    </r>
  </si>
  <si>
    <t>292.254 (53%)</t>
  </si>
  <si>
    <t>223.240 (48%)</t>
  </si>
  <si>
    <r>
      <rPr>
        <u/>
        <sz val="10"/>
        <color rgb="FF1155CC"/>
        <rFont val="Arial"/>
      </rPr>
      <t>Richmond</t>
    </r>
  </si>
  <si>
    <t>280.250 (53%)</t>
  </si>
  <si>
    <t>220.248 (47%)</t>
  </si>
  <si>
    <r>
      <rPr>
        <u/>
        <sz val="10"/>
        <color rgb="FF1155CC"/>
        <rFont val="Arial"/>
      </rPr>
      <t>Western Bulldogs</t>
    </r>
  </si>
  <si>
    <t>310.241 (56%)</t>
  </si>
  <si>
    <t>268.217 (55%)</t>
  </si>
  <si>
    <r>
      <rPr>
        <u/>
        <sz val="10"/>
        <color rgb="FF1155CC"/>
        <rFont val="Arial"/>
      </rPr>
      <t>Adelaide</t>
    </r>
  </si>
  <si>
    <t>7-0-3</t>
  </si>
  <si>
    <t>308.259 (54%)</t>
  </si>
  <si>
    <t>266.225 (54%)</t>
  </si>
  <si>
    <r>
      <rPr>
        <u/>
        <sz val="10"/>
        <color rgb="FF1155CC"/>
        <rFont val="Arial"/>
      </rPr>
      <t>North Melbourne</t>
    </r>
  </si>
  <si>
    <t>303.244 (55%)</t>
  </si>
  <si>
    <t>280.257 (52%)</t>
  </si>
  <si>
    <r>
      <rPr>
        <u/>
        <sz val="10"/>
        <color rgb="FF1155CC"/>
        <rFont val="Arial"/>
      </rPr>
      <t>Port Adelaide</t>
    </r>
  </si>
  <si>
    <t>296.226 (57%)</t>
  </si>
  <si>
    <t>276.218 (56%)</t>
  </si>
  <si>
    <r>
      <rPr>
        <u/>
        <sz val="10"/>
        <color rgb="FF1155CC"/>
        <rFont val="Arial"/>
      </rPr>
      <t>Geelong</t>
    </r>
  </si>
  <si>
    <t>272.221 (55%)</t>
  </si>
  <si>
    <t>266.237 (53%)</t>
  </si>
  <si>
    <r>
      <rPr>
        <u/>
        <sz val="10"/>
        <color rgb="FF1155CC"/>
        <rFont val="Arial"/>
      </rPr>
      <t>Greater Western Sydney</t>
    </r>
  </si>
  <si>
    <t>268.264 (50%)</t>
  </si>
  <si>
    <t>272.259 (51%)</t>
  </si>
  <si>
    <r>
      <rPr>
        <u/>
        <sz val="10"/>
        <color rgb="FF1155CC"/>
        <rFont val="Arial"/>
      </rPr>
      <t>Collingwood</t>
    </r>
  </si>
  <si>
    <t>287.250 (53%)</t>
  </si>
  <si>
    <t>270.236 (53%)</t>
  </si>
  <si>
    <r>
      <rPr>
        <u/>
        <sz val="10"/>
        <color rgb="FF1155CC"/>
        <rFont val="Arial"/>
      </rPr>
      <t>Melbourne</t>
    </r>
  </si>
  <si>
    <t>225.223 (50%)</t>
  </si>
  <si>
    <t>301.238 (56%)</t>
  </si>
  <si>
    <r>
      <rPr>
        <u/>
        <sz val="10"/>
        <color rgb="FF1155CC"/>
        <rFont val="Arial"/>
      </rPr>
      <t>St Kilda</t>
    </r>
  </si>
  <si>
    <t>241.249 (49%)</t>
  </si>
  <si>
    <t>319.248 (56%)</t>
  </si>
  <si>
    <r>
      <rPr>
        <u/>
        <sz val="10"/>
        <color rgb="FF1155CC"/>
        <rFont val="Arial"/>
      </rPr>
      <t>Essendon</t>
    </r>
  </si>
  <si>
    <t>226.224 (50%)</t>
  </si>
  <si>
    <r>
      <rPr>
        <u/>
        <sz val="10"/>
        <color rgb="FF1155CC"/>
        <rFont val="Arial"/>
      </rPr>
      <t>Gold Coast</t>
    </r>
  </si>
  <si>
    <t>235.223 (51%)</t>
  </si>
  <si>
    <t>326.284 (53%)</t>
  </si>
  <si>
    <r>
      <rPr>
        <u/>
        <sz val="10"/>
        <color rgb="FF1155CC"/>
        <rFont val="Arial"/>
      </rPr>
      <t>Brisbane Lions</t>
    </r>
  </si>
  <si>
    <t>224.213 (51%)</t>
  </si>
  <si>
    <t>341.260 (57%)</t>
  </si>
  <si>
    <r>
      <rPr>
        <u/>
        <sz val="10"/>
        <color rgb="FF1155CC"/>
        <rFont val="Arial"/>
      </rPr>
      <t>Carlton</t>
    </r>
  </si>
  <si>
    <t>219.211 (51%)</t>
  </si>
  <si>
    <t>349.260 (57%)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</si>
  <si>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</si>
  <si>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</si>
  <si>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</si>
  <si>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</si>
  <si>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</si>
  <si>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</si>
  <si>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</si>
  <si>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</si>
  <si>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</si>
  <si>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</si>
  <si>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</si>
  <si>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xG</t>
  </si>
  <si>
    <t>xGA</t>
  </si>
  <si>
    <t>xGD</t>
  </si>
  <si>
    <t>xGD/90</t>
  </si>
  <si>
    <t>Attendance</t>
  </si>
  <si>
    <t>Top Team Scorer</t>
  </si>
  <si>
    <t>Goalkeeper</t>
  </si>
  <si>
    <t>Notes</t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</si>
  <si>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</si>
  <si>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Ousmane Dembélé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</si>
  <si>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Gianluigi Donnarumma</t>
    </r>
  </si>
  <si>
    <t>→ Champions League via league finish</t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</si>
  <si>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</si>
  <si>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Mason Greenwood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</si>
  <si>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Gerónimo Rulli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</si>
  <si>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</si>
  <si>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Mika Biereth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</si>
  <si>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Philipp Köhn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</si>
  <si>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</si>
  <si>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Evann Guessand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</si>
  <si>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Marcin Bułka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</si>
  <si>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</si>
  <si>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Jonathan David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</si>
  <si>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Lucas Chevalier</t>
    </r>
  </si>
  <si>
    <t>→ Europa League via league finish</t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</si>
  <si>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</si>
  <si>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Alexandre Lacazette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</si>
  <si>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Lucas Perri</t>
    </r>
  </si>
  <si>
    <r>
      <rPr>
        <u/>
        <sz val="10"/>
        <color rgb="FF1155CC"/>
        <rFont val="Verdana, sans-serif"/>
      </rPr>
      <t>Strasbourg</t>
    </r>
  </si>
  <si>
    <r>
      <rPr>
        <u/>
        <sz val="10"/>
        <color rgb="FF1155CC"/>
        <rFont val="Verdana, sans-serif"/>
      </rPr>
      <t>Emanuel Emegha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</si>
  <si>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Đorđe Petrović</t>
    </r>
  </si>
  <si>
    <t>→ Conference League via league finish</t>
  </si>
  <si>
    <r>
      <rPr>
        <u/>
        <sz val="10"/>
        <color rgb="FF1155CC"/>
        <rFont val="Verdana, sans-serif"/>
      </rPr>
      <t>Lens</t>
    </r>
  </si>
  <si>
    <r>
      <rPr>
        <u/>
        <sz val="10"/>
        <color rgb="FF1155CC"/>
        <rFont val="Verdana, sans-serif"/>
      </rPr>
      <t>Neil El Aynaoui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</si>
  <si>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Brice Samba</t>
    </r>
  </si>
  <si>
    <r>
      <rPr>
        <u/>
        <sz val="10"/>
        <color rgb="FF1155CC"/>
        <rFont val="Verdana, sans-serif"/>
      </rPr>
      <t>Brest</t>
    </r>
  </si>
  <si>
    <r>
      <rPr>
        <u/>
        <sz val="10"/>
        <color rgb="FF1155CC"/>
        <rFont val="Verdana, sans-serif"/>
      </rPr>
      <t>Ludovic Ajorque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</si>
  <si>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Marco Bizot</t>
    </r>
  </si>
  <si>
    <r>
      <rPr>
        <u/>
        <sz val="10"/>
        <color rgb="FF1155CC"/>
        <rFont val="Verdana, sans-serif"/>
      </rPr>
      <t>Toulouse</t>
    </r>
  </si>
  <si>
    <r>
      <rPr>
        <u/>
        <sz val="10"/>
        <color rgb="FF1155CC"/>
        <rFont val="Verdana, sans-serif"/>
      </rPr>
      <t>Zakaria Aboukhlal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</si>
  <si>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Guillaume Restes</t>
    </r>
  </si>
  <si>
    <r>
      <rPr>
        <u/>
        <sz val="10"/>
        <color rgb="FF1155CC"/>
        <rFont val="Verdana, sans-serif"/>
      </rPr>
      <t>Auxerre</t>
    </r>
  </si>
  <si>
    <r>
      <rPr>
        <u/>
        <sz val="10"/>
        <color rgb="FF1155CC"/>
        <rFont val="Verdana, sans-serif"/>
      </rPr>
      <t>Gaëtan Perrin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Hamed Junior Traorè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</si>
  <si>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Donovan Léon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</si>
  <si>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</si>
  <si>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Arnaud Kalimuendo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</si>
  <si>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Brice Samba</t>
    </r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</si>
  <si>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</si>
  <si>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Matthis Abline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</si>
  <si>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</si>
  <si>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Angers</t>
    </r>
  </si>
  <si>
    <r>
      <rPr>
        <u/>
        <sz val="10"/>
        <color rgb="FF1155CC"/>
        <rFont val="Verdana, sans-serif"/>
      </rPr>
      <t>Esteban Lepaul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</si>
  <si>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Yahia Fofana</t>
    </r>
  </si>
  <si>
    <r>
      <rPr>
        <u/>
        <sz val="10"/>
        <color rgb="FF1155CC"/>
        <rFont val="Verdana, sans-serif"/>
      </rPr>
      <t>Le Havre</t>
    </r>
  </si>
  <si>
    <r>
      <rPr>
        <u/>
        <sz val="10"/>
        <color rgb="FF1155CC"/>
        <rFont val="Verdana, sans-serif"/>
      </rPr>
      <t>Abdoulaye Touré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</si>
  <si>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Arthur Desmas</t>
    </r>
  </si>
  <si>
    <r>
      <rPr>
        <u/>
        <sz val="10"/>
        <color rgb="FF1155CC"/>
        <rFont val="Verdana, sans-serif"/>
      </rPr>
      <t>Reims</t>
    </r>
  </si>
  <si>
    <r>
      <rPr>
        <u/>
        <sz val="10"/>
        <color rgb="FF1155CC"/>
        <rFont val="Verdana, sans-serif"/>
      </rPr>
      <t>Keito Nakamura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</si>
  <si>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Yehvann Diouf</t>
    </r>
  </si>
  <si>
    <t>→ French 1/2 Relegation/Promotion play-offs</t>
  </si>
  <si>
    <r>
      <rPr>
        <u/>
        <sz val="10"/>
        <color rgb="FF1155CC"/>
        <rFont val="Verdana, sans-serif"/>
      </rPr>
      <t>Saint-Étienne</t>
    </r>
  </si>
  <si>
    <r>
      <rPr>
        <u/>
        <sz val="10"/>
        <color rgb="FF1155CC"/>
        <rFont val="Verdana, sans-serif"/>
      </rPr>
      <t>Lucas Stassin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</si>
  <si>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Gautier Larsonneur</t>
    </r>
  </si>
  <si>
    <t>Relegated</t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</si>
  <si>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</si>
  <si>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Arnaud Nordin</t>
    </r>
    <r>
      <rPr>
        <sz val="10"/>
        <rFont val="Verdana, sans-serif"/>
      </rPr>
      <t xml:space="preserve"> - 4</t>
    </r>
  </si>
  <si>
    <r>
      <rPr>
        <u/>
        <sz val="10"/>
        <color rgb="FF1155CC"/>
        <rFont val="Verdana, sans-serif"/>
      </rPr>
      <t>Benjamin Lecomte</t>
    </r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</si>
  <si>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</si>
  <si>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Kylian Mbappé</t>
    </r>
    <r>
      <rPr>
        <sz val="10"/>
        <rFont val="Verdana, sans-serif"/>
      </rPr>
      <t xml:space="preserve"> - 27</t>
    </r>
  </si>
  <si>
    <r>
      <rPr>
        <u/>
        <sz val="10"/>
        <color rgb="FF1155CC"/>
        <rFont val="Verdana, sans-serif"/>
      </rPr>
      <t>Gianluigi Donnarumma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</si>
  <si>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</si>
  <si>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Wissam Ben Yedder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</si>
  <si>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Philipp Köhn</t>
    </r>
  </si>
  <si>
    <r>
      <rPr>
        <u/>
        <sz val="10"/>
        <color rgb="FF1155CC"/>
        <rFont val="Verdana, sans-serif"/>
      </rPr>
      <t>Brest</t>
    </r>
  </si>
  <si>
    <r>
      <rPr>
        <u/>
        <sz val="10"/>
        <color rgb="FF1155CC"/>
        <rFont val="Verdana, sans-serif"/>
      </rPr>
      <t>Romain Del Castillo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</si>
  <si>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Marco Bizot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</si>
  <si>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</si>
  <si>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Jonathan David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</si>
  <si>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Lucas Chevalier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</si>
  <si>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</si>
  <si>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Terem Moffi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</si>
  <si>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Marcin Bułka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</si>
  <si>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</si>
  <si>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Alexandre Lacazette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</si>
  <si>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</si>
  <si>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Lens</t>
    </r>
  </si>
  <si>
    <r>
      <rPr>
        <u/>
        <sz val="10"/>
        <color rgb="FF1155CC"/>
        <rFont val="Verdana, sans-serif"/>
      </rPr>
      <t>Elye Wahi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</si>
  <si>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Brice Samba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</si>
  <si>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</si>
  <si>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Pierre-Emerick Aubameyang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</si>
  <si>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Pau López</t>
    </r>
  </si>
  <si>
    <r>
      <rPr>
        <u/>
        <sz val="10"/>
        <color rgb="FF1155CC"/>
        <rFont val="Verdana, sans-serif"/>
      </rPr>
      <t>Reims</t>
    </r>
  </si>
  <si>
    <r>
      <rPr>
        <u/>
        <sz val="10"/>
        <color rgb="FF1155CC"/>
        <rFont val="Verdana, sans-serif"/>
      </rPr>
      <t>Teddy Teuma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</si>
  <si>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Yehvann Diouf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</si>
  <si>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</si>
  <si>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Arnaud Kalimuendo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</si>
  <si>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Steve Mandanda</t>
    </r>
  </si>
  <si>
    <r>
      <rPr>
        <u/>
        <sz val="10"/>
        <color rgb="FF1155CC"/>
        <rFont val="Verdana, sans-serif"/>
      </rPr>
      <t>Toulouse</t>
    </r>
  </si>
  <si>
    <r>
      <rPr>
        <u/>
        <sz val="10"/>
        <color rgb="FF1155CC"/>
        <rFont val="Verdana, sans-serif"/>
      </rPr>
      <t>Thijs Dallinga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</si>
  <si>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Guillaume Restes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</si>
  <si>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</si>
  <si>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Téji Savanier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</si>
  <si>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Benjamin Lecomte</t>
    </r>
  </si>
  <si>
    <t>1-point deduction 1</t>
  </si>
  <si>
    <r>
      <rPr>
        <u/>
        <sz val="10"/>
        <color rgb="FF1155CC"/>
        <rFont val="Verdana, sans-serif"/>
      </rPr>
      <t>Strasbourg</t>
    </r>
  </si>
  <si>
    <r>
      <rPr>
        <u/>
        <sz val="10"/>
        <color rgb="FF1155CC"/>
        <rFont val="Verdana, sans-serif"/>
      </rPr>
      <t>Emanuel Emegha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</si>
  <si>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Matz Sels</t>
    </r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</si>
  <si>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</si>
  <si>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Mostafa Mohamed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</si>
  <si>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Alban Lafont</t>
    </r>
  </si>
  <si>
    <r>
      <rPr>
        <u/>
        <sz val="10"/>
        <color rgb="FF1155CC"/>
        <rFont val="Verdana, sans-serif"/>
      </rPr>
      <t>Le Havre</t>
    </r>
  </si>
  <si>
    <r>
      <rPr>
        <u/>
        <sz val="10"/>
        <color rgb="FF1155CC"/>
        <rFont val="Verdana, sans-serif"/>
      </rPr>
      <t>André Ayew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Emmanuel Sabbi</t>
    </r>
    <r>
      <rPr>
        <sz val="10"/>
        <rFont val="Verdana, sans-serif"/>
      </rPr>
      <t>... - 5</t>
    </r>
  </si>
  <si>
    <r>
      <rPr>
        <u/>
        <sz val="10"/>
        <color rgb="FF1155CC"/>
        <rFont val="Verdana, sans-serif"/>
      </rPr>
      <t>Arthur Desmas</t>
    </r>
  </si>
  <si>
    <r>
      <rPr>
        <u/>
        <sz val="10"/>
        <color rgb="FF1155CC"/>
        <rFont val="Verdana, sans-serif"/>
      </rPr>
      <t>Metz</t>
    </r>
  </si>
  <si>
    <r>
      <rPr>
        <u/>
        <sz val="10"/>
        <color rgb="FF1155CC"/>
        <rFont val="Verdana, sans-serif"/>
      </rPr>
      <t>Georges Mikautadze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</si>
  <si>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Alexandre Oukidja</t>
    </r>
  </si>
  <si>
    <r>
      <rPr>
        <u/>
        <sz val="10"/>
        <color rgb="FF1155CC"/>
        <rFont val="Verdana, sans-serif"/>
      </rPr>
      <t>Lorient</t>
    </r>
  </si>
  <si>
    <r>
      <rPr>
        <u/>
        <sz val="10"/>
        <color rgb="FF1155CC"/>
        <rFont val="Verdana, sans-serif"/>
      </rPr>
      <t>Mohamed Bamba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</si>
  <si>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Yvon Mvogo</t>
    </r>
  </si>
  <si>
    <r>
      <rPr>
        <u/>
        <sz val="10"/>
        <color rgb="FF1155CC"/>
        <rFont val="Verdana, sans-serif"/>
      </rPr>
      <t>Clermont Foot</t>
    </r>
  </si>
  <si>
    <r>
      <rPr>
        <u/>
        <sz val="10"/>
        <color rgb="FF1155CC"/>
        <rFont val="Verdana, sans-serif"/>
      </rPr>
      <t>Muhammed Cham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</si>
  <si>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Mory Diaw</t>
    </r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</si>
  <si>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</si>
  <si>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Kylian Mbappé</t>
    </r>
    <r>
      <rPr>
        <sz val="10"/>
        <rFont val="Verdana, sans-serif"/>
      </rPr>
      <t xml:space="preserve"> - 27</t>
    </r>
  </si>
  <si>
    <r>
      <rPr>
        <u/>
        <sz val="10"/>
        <color rgb="FF1155CC"/>
        <rFont val="Verdana, sans-serif"/>
      </rPr>
      <t>Gianluigi Donnarumma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</si>
  <si>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</si>
  <si>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Wissam Ben Yedder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</si>
  <si>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Philipp Köhn</t>
    </r>
  </si>
  <si>
    <r>
      <rPr>
        <u/>
        <sz val="10"/>
        <color rgb="FF1155CC"/>
        <rFont val="Verdana, sans-serif"/>
      </rPr>
      <t>Brest</t>
    </r>
  </si>
  <si>
    <r>
      <rPr>
        <u/>
        <sz val="10"/>
        <color rgb="FF1155CC"/>
        <rFont val="Verdana, sans-serif"/>
      </rPr>
      <t>Romain Del Castillo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</si>
  <si>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Marco Bizot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</si>
  <si>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</si>
  <si>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Jonathan David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</si>
  <si>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Lucas Chevalier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</si>
  <si>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</si>
  <si>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Terem Moffi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</si>
  <si>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Marcin Bułka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</si>
  <si>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</si>
  <si>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Alexandre Lacazette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</si>
  <si>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</si>
  <si>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Lens</t>
    </r>
  </si>
  <si>
    <r>
      <rPr>
        <u/>
        <sz val="10"/>
        <color rgb="FF1155CC"/>
        <rFont val="Verdana, sans-serif"/>
      </rPr>
      <t>Elye Wahi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</si>
  <si>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Brice Samba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</si>
  <si>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</si>
  <si>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Pierre-Emerick Aubameyang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</si>
  <si>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Pau López</t>
    </r>
  </si>
  <si>
    <r>
      <rPr>
        <u/>
        <sz val="10"/>
        <color rgb="FF1155CC"/>
        <rFont val="Verdana, sans-serif"/>
      </rPr>
      <t>Reims</t>
    </r>
  </si>
  <si>
    <r>
      <rPr>
        <u/>
        <sz val="10"/>
        <color rgb="FF1155CC"/>
        <rFont val="Verdana, sans-serif"/>
      </rPr>
      <t>Teddy Teuma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</si>
  <si>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Yehvann Diouf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</si>
  <si>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</si>
  <si>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Arnaud Kalimuendo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</si>
  <si>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Steve Mandanda</t>
    </r>
  </si>
  <si>
    <r>
      <rPr>
        <u/>
        <sz val="10"/>
        <color rgb="FF1155CC"/>
        <rFont val="Verdana, sans-serif"/>
      </rPr>
      <t>Toulouse</t>
    </r>
  </si>
  <si>
    <r>
      <rPr>
        <u/>
        <sz val="10"/>
        <color rgb="FF1155CC"/>
        <rFont val="Verdana, sans-serif"/>
      </rPr>
      <t>Thijs Dallinga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</si>
  <si>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Guillaume Restes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</si>
  <si>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</si>
  <si>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Téji Savanier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</si>
  <si>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Benjamin Lecomte</t>
    </r>
  </si>
  <si>
    <r>
      <rPr>
        <u/>
        <sz val="10"/>
        <color rgb="FF1155CC"/>
        <rFont val="Verdana, sans-serif"/>
      </rPr>
      <t>Strasbourg</t>
    </r>
  </si>
  <si>
    <r>
      <rPr>
        <u/>
        <sz val="10"/>
        <color rgb="FF1155CC"/>
        <rFont val="Verdana, sans-serif"/>
      </rPr>
      <t>Emanuel Emegha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</si>
  <si>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Matz Sels</t>
    </r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</si>
  <si>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</si>
  <si>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Mostafa Mohamed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</si>
  <si>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Alban Lafont</t>
    </r>
  </si>
  <si>
    <r>
      <rPr>
        <u/>
        <sz val="10"/>
        <color rgb="FF1155CC"/>
        <rFont val="Verdana, sans-serif"/>
      </rPr>
      <t>Le Havre</t>
    </r>
  </si>
  <si>
    <r>
      <rPr>
        <u/>
        <sz val="10"/>
        <color rgb="FF1155CC"/>
        <rFont val="Verdana, sans-serif"/>
      </rPr>
      <t>André Ayew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Emmanuel Sabbi</t>
    </r>
    <r>
      <rPr>
        <sz val="10"/>
        <rFont val="Verdana, sans-serif"/>
      </rPr>
      <t>... - 5</t>
    </r>
  </si>
  <si>
    <r>
      <rPr>
        <u/>
        <sz val="10"/>
        <color rgb="FF1155CC"/>
        <rFont val="Verdana, sans-serif"/>
      </rPr>
      <t>Arthur Desmas</t>
    </r>
  </si>
  <si>
    <r>
      <rPr>
        <u/>
        <sz val="10"/>
        <color rgb="FF1155CC"/>
        <rFont val="Verdana, sans-serif"/>
      </rPr>
      <t>Metz</t>
    </r>
  </si>
  <si>
    <r>
      <rPr>
        <u/>
        <sz val="10"/>
        <color rgb="FF1155CC"/>
        <rFont val="Verdana, sans-serif"/>
      </rPr>
      <t>Georges Mikautadze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</si>
  <si>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Alexandre Oukidja</t>
    </r>
  </si>
  <si>
    <r>
      <rPr>
        <u/>
        <sz val="10"/>
        <color rgb="FF1155CC"/>
        <rFont val="Verdana, sans-serif"/>
      </rPr>
      <t>Lorient</t>
    </r>
  </si>
  <si>
    <r>
      <rPr>
        <u/>
        <sz val="10"/>
        <color rgb="FF1155CC"/>
        <rFont val="Verdana, sans-serif"/>
      </rPr>
      <t>Mohamed Bamba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</si>
  <si>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Yvon Mvogo</t>
    </r>
  </si>
  <si>
    <r>
      <rPr>
        <u/>
        <sz val="10"/>
        <color rgb="FF1155CC"/>
        <rFont val="Verdana, sans-serif"/>
      </rPr>
      <t>Clermont Foot</t>
    </r>
  </si>
  <si>
    <r>
      <rPr>
        <u/>
        <sz val="10"/>
        <color rgb="FF1155CC"/>
        <rFont val="Verdana, sans-serif"/>
      </rPr>
      <t>Muhammed Cham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</si>
  <si>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Mory Diaw</t>
    </r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</si>
  <si>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</si>
  <si>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Kylian Mbappé</t>
    </r>
    <r>
      <rPr>
        <sz val="10"/>
        <rFont val="Verdana, sans-serif"/>
      </rPr>
      <t xml:space="preserve"> - 29</t>
    </r>
  </si>
  <si>
    <r>
      <rPr>
        <u/>
        <sz val="10"/>
        <color rgb="FF1155CC"/>
        <rFont val="Verdana, sans-serif"/>
      </rPr>
      <t>Gianluigi Donnarumma</t>
    </r>
  </si>
  <si>
    <r>
      <rPr>
        <u/>
        <sz val="10"/>
        <color rgb="FF1155CC"/>
        <rFont val="Verdana, sans-serif"/>
      </rPr>
      <t>Lens</t>
    </r>
  </si>
  <si>
    <r>
      <rPr>
        <u/>
        <sz val="10"/>
        <color rgb="FF1155CC"/>
        <rFont val="Verdana, sans-serif"/>
      </rPr>
      <t>Loïs Openda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</si>
  <si>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Brice Samba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</si>
  <si>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</si>
  <si>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Alexis Sánchez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</si>
  <si>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Pau López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</si>
  <si>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</si>
  <si>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Amine Gouiri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</si>
  <si>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Steve Mandanda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</si>
  <si>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</si>
  <si>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Jonathan David</t>
    </r>
    <r>
      <rPr>
        <sz val="10"/>
        <rFont val="Verdana, sans-serif"/>
      </rPr>
      <t xml:space="preserve"> - 24</t>
    </r>
  </si>
  <si>
    <r>
      <rPr>
        <u/>
        <sz val="10"/>
        <color rgb="FF1155CC"/>
        <rFont val="Verdana, sans-serif"/>
      </rPr>
      <t>Lucas Chevalier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</si>
  <si>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</si>
  <si>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Wissam Ben Yedder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</si>
  <si>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Alexander Nübel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</si>
  <si>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</si>
  <si>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Alexandre Lacazette</t>
    </r>
    <r>
      <rPr>
        <sz val="10"/>
        <rFont val="Verdana, sans-serif"/>
      </rPr>
      <t xml:space="preserve"> - 27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</si>
  <si>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</si>
  <si>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Clermont Foot</t>
    </r>
  </si>
  <si>
    <r>
      <rPr>
        <u/>
        <sz val="10"/>
        <color rgb="FF1155CC"/>
        <rFont val="Verdana, sans-serif"/>
      </rPr>
      <t>Grejohn Kyei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</si>
  <si>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Mory Diaw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</si>
  <si>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</si>
  <si>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Gaëtan Laborde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</si>
  <si>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Kasper Schmeichel</t>
    </r>
  </si>
  <si>
    <r>
      <rPr>
        <u/>
        <sz val="10"/>
        <color rgb="FF1155CC"/>
        <rFont val="Verdana, sans-serif"/>
      </rPr>
      <t>Lorient</t>
    </r>
  </si>
  <si>
    <r>
      <rPr>
        <u/>
        <sz val="10"/>
        <color rgb="FF1155CC"/>
        <rFont val="Verdana, sans-serif"/>
      </rPr>
      <t>Terem Moffi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</si>
  <si>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Yvon Mvogo</t>
    </r>
  </si>
  <si>
    <r>
      <rPr>
        <u/>
        <sz val="10"/>
        <color rgb="FF1155CC"/>
        <rFont val="Verdana, sans-serif"/>
      </rPr>
      <t>Reims</t>
    </r>
  </si>
  <si>
    <r>
      <rPr>
        <u/>
        <sz val="10"/>
        <color rgb="FF1155CC"/>
        <rFont val="Verdana, sans-serif"/>
      </rPr>
      <t>Folarin Balogun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</si>
  <si>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Yehvann Diouf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</si>
  <si>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</si>
  <si>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Elye Wahi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</si>
  <si>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Benjamin Lecomte</t>
    </r>
  </si>
  <si>
    <r>
      <rPr>
        <u/>
        <sz val="10"/>
        <color rgb="FF1155CC"/>
        <rFont val="Verdana, sans-serif"/>
      </rPr>
      <t>Toulouse</t>
    </r>
  </si>
  <si>
    <r>
      <rPr>
        <u/>
        <sz val="10"/>
        <color rgb="FF1155CC"/>
        <rFont val="Verdana, sans-serif"/>
      </rPr>
      <t>Thijs Dallinga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</si>
  <si>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Maxime Dupé</t>
    </r>
  </si>
  <si>
    <t>→ Europa League via cup win</t>
  </si>
  <si>
    <r>
      <rPr>
        <u/>
        <sz val="10"/>
        <color rgb="FF1155CC"/>
        <rFont val="Verdana, sans-serif"/>
      </rPr>
      <t>Brest</t>
    </r>
  </si>
  <si>
    <r>
      <rPr>
        <u/>
        <sz val="10"/>
        <color rgb="FF1155CC"/>
        <rFont val="Verdana, sans-serif"/>
      </rPr>
      <t>Jérémy Le Douaron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</si>
  <si>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Marco Bizot</t>
    </r>
  </si>
  <si>
    <r>
      <rPr>
        <u/>
        <sz val="10"/>
        <color rgb="FF1155CC"/>
        <rFont val="Verdana, sans-serif"/>
      </rPr>
      <t>Strasbourg</t>
    </r>
  </si>
  <si>
    <r>
      <rPr>
        <u/>
        <sz val="10"/>
        <color rgb="FF1155CC"/>
        <rFont val="Verdana, sans-serif"/>
      </rPr>
      <t>Habib Diallo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</si>
  <si>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Matz Sels</t>
    </r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</si>
  <si>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</si>
  <si>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Mostafa Mohamed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</si>
  <si>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Alban Lafont</t>
    </r>
  </si>
  <si>
    <r>
      <rPr>
        <u/>
        <sz val="10"/>
        <color rgb="FF1155CC"/>
        <rFont val="Verdana, sans-serif"/>
      </rPr>
      <t>Auxerre</t>
    </r>
  </si>
  <si>
    <r>
      <rPr>
        <u/>
        <sz val="10"/>
        <color rgb="FF1155CC"/>
        <rFont val="Verdana, sans-serif"/>
      </rPr>
      <t>M'Baye Niang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</si>
  <si>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Benoît Costil</t>
    </r>
  </si>
  <si>
    <r>
      <rPr>
        <u/>
        <sz val="10"/>
        <color rgb="FF1155CC"/>
        <rFont val="Verdana, sans-serif"/>
      </rPr>
      <t>Ajaccio</t>
    </r>
  </si>
  <si>
    <r>
      <rPr>
        <u/>
        <sz val="10"/>
        <color rgb="FF1155CC"/>
        <rFont val="Verdana, sans-serif"/>
      </rPr>
      <t>Youcef Belaïli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Mounaim El Idrissy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</si>
  <si>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Benjamin Leroy</t>
    </r>
  </si>
  <si>
    <r>
      <rPr>
        <u/>
        <sz val="10"/>
        <color rgb="FF1155CC"/>
        <rFont val="Verdana, sans-serif"/>
      </rPr>
      <t>Troyes</t>
    </r>
  </si>
  <si>
    <r>
      <rPr>
        <u/>
        <sz val="10"/>
        <color rgb="FF1155CC"/>
        <rFont val="Verdana, sans-serif"/>
      </rPr>
      <t>Mama Samba Baldé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</si>
  <si>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Gauthier Gallon</t>
    </r>
  </si>
  <si>
    <r>
      <rPr>
        <u/>
        <sz val="10"/>
        <color rgb="FF1155CC"/>
        <rFont val="Verdana, sans-serif"/>
      </rPr>
      <t>Angers</t>
    </r>
  </si>
  <si>
    <r>
      <rPr>
        <u/>
        <sz val="10"/>
        <color rgb="FF1155CC"/>
        <rFont val="Verdana, sans-serif"/>
      </rPr>
      <t>Abdallah Sima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</si>
  <si>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Paul Bernardoni</t>
    </r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</si>
  <si>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</si>
  <si>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Kylian Mbappé</t>
    </r>
    <r>
      <rPr>
        <sz val="10"/>
        <rFont val="Verdana, sans-serif"/>
      </rPr>
      <t xml:space="preserve"> - 28</t>
    </r>
  </si>
  <si>
    <r>
      <rPr>
        <u/>
        <sz val="10"/>
        <color rgb="FF1155CC"/>
        <rFont val="Verdana, sans-serif"/>
      </rPr>
      <t>Keylor Navas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</si>
  <si>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</si>
  <si>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Dimitri Payet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</si>
  <si>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Pau López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</si>
  <si>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</si>
  <si>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Wissam Ben Yedder</t>
    </r>
    <r>
      <rPr>
        <sz val="10"/>
        <rFont val="Verdana, sans-serif"/>
      </rPr>
      <t xml:space="preserve"> - 25</t>
    </r>
  </si>
  <si>
    <r>
      <rPr>
        <u/>
        <sz val="10"/>
        <color rgb="FF1155CC"/>
        <rFont val="Verdana, sans-serif"/>
      </rPr>
      <t>Alexander Nübel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</si>
  <si>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</si>
  <si>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Martin Terrier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</si>
  <si>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Alfred Gomis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</si>
  <si>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</si>
  <si>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Andy Delort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</si>
  <si>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Walter Benítez</t>
    </r>
  </si>
  <si>
    <t>1-point deduction 1, → Europa Conference League via league finish</t>
  </si>
  <si>
    <r>
      <rPr>
        <u/>
        <sz val="10"/>
        <color rgb="FF1155CC"/>
        <rFont val="Verdana, sans-serif"/>
      </rPr>
      <t>Strasbourg</t>
    </r>
  </si>
  <si>
    <r>
      <rPr>
        <u/>
        <sz val="10"/>
        <color rgb="FF1155CC"/>
        <rFont val="Verdana, sans-serif"/>
      </rPr>
      <t>Ludovic Ajorque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</si>
  <si>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Matz Sels</t>
    </r>
  </si>
  <si>
    <r>
      <rPr>
        <u/>
        <sz val="10"/>
        <color rgb="FF1155CC"/>
        <rFont val="Verdana, sans-serif"/>
      </rPr>
      <t>Lens</t>
    </r>
  </si>
  <si>
    <r>
      <rPr>
        <u/>
        <sz val="10"/>
        <color rgb="FF1155CC"/>
        <rFont val="Verdana, sans-serif"/>
      </rPr>
      <t>Arnaud Kalimuendo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</si>
  <si>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Jean-Louis Leca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</si>
  <si>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</si>
  <si>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Moussa Dembélé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</si>
  <si>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Anthony Lopes</t>
    </r>
  </si>
  <si>
    <t>1-point deduction 2</t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</si>
  <si>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</si>
  <si>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Randal Kolo Muani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</si>
  <si>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Alban Lafont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</si>
  <si>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</si>
  <si>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Jonathan David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</si>
  <si>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Ivo Grbić</t>
    </r>
  </si>
  <si>
    <r>
      <rPr>
        <u/>
        <sz val="10"/>
        <color rgb="FF1155CC"/>
        <rFont val="Verdana, sans-serif"/>
      </rPr>
      <t>Brest</t>
    </r>
  </si>
  <si>
    <r>
      <rPr>
        <u/>
        <sz val="10"/>
        <color rgb="FF1155CC"/>
        <rFont val="Verdana, sans-serif"/>
      </rPr>
      <t>Franck Honorat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</si>
  <si>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Marco Bizot</t>
    </r>
  </si>
  <si>
    <r>
      <rPr>
        <u/>
        <sz val="10"/>
        <color rgb="FF1155CC"/>
        <rFont val="Verdana, sans-serif"/>
      </rPr>
      <t>Reims</t>
    </r>
  </si>
  <si>
    <r>
      <rPr>
        <u/>
        <sz val="10"/>
        <color rgb="FF1155CC"/>
        <rFont val="Verdana, sans-serif"/>
      </rPr>
      <t>Hugo Ekitike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</si>
  <si>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Predrag Rajković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</si>
  <si>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</si>
  <si>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Elye Wahi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</si>
  <si>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Jonas Omlin</t>
    </r>
  </si>
  <si>
    <r>
      <rPr>
        <u/>
        <sz val="10"/>
        <color rgb="FF1155CC"/>
        <rFont val="Verdana, sans-serif"/>
      </rPr>
      <t>Angers</t>
    </r>
  </si>
  <si>
    <r>
      <rPr>
        <u/>
        <sz val="10"/>
        <color rgb="FF1155CC"/>
        <rFont val="Verdana, sans-serif"/>
      </rPr>
      <t>Sofiane Boufal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</si>
  <si>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Danijel Petković</t>
    </r>
  </si>
  <si>
    <r>
      <rPr>
        <u/>
        <sz val="10"/>
        <color rgb="FF1155CC"/>
        <rFont val="Verdana, sans-serif"/>
      </rPr>
      <t>Troyes</t>
    </r>
  </si>
  <si>
    <r>
      <rPr>
        <u/>
        <sz val="10"/>
        <color rgb="FF1155CC"/>
        <rFont val="Verdana, sans-serif"/>
      </rPr>
      <t>Xavier Chavalerin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Ike Ugbo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</si>
  <si>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Gauthier Gallon</t>
    </r>
  </si>
  <si>
    <r>
      <rPr>
        <u/>
        <sz val="10"/>
        <color rgb="FF1155CC"/>
        <rFont val="Verdana, sans-serif"/>
      </rPr>
      <t>Lorient</t>
    </r>
  </si>
  <si>
    <r>
      <rPr>
        <u/>
        <sz val="10"/>
        <color rgb="FF1155CC"/>
        <rFont val="Verdana, sans-serif"/>
      </rPr>
      <t>Terem Moffi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</si>
  <si>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Paul Nardi</t>
    </r>
  </si>
  <si>
    <r>
      <rPr>
        <u/>
        <sz val="10"/>
        <color rgb="FF1155CC"/>
        <rFont val="Verdana, sans-serif"/>
      </rPr>
      <t>Clermont Foot</t>
    </r>
  </si>
  <si>
    <r>
      <rPr>
        <u/>
        <sz val="10"/>
        <color rgb="FF1155CC"/>
        <rFont val="Verdana, sans-serif"/>
      </rPr>
      <t>Mohamed Lamine Bayo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</si>
  <si>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Ouparine Djoco</t>
    </r>
  </si>
  <si>
    <r>
      <rPr>
        <u/>
        <sz val="10"/>
        <color rgb="FF1155CC"/>
        <rFont val="Verdana, sans-serif"/>
      </rPr>
      <t>Saint-Étienne</t>
    </r>
  </si>
  <si>
    <r>
      <rPr>
        <u/>
        <sz val="10"/>
        <color rgb="FF1155CC"/>
        <rFont val="Verdana, sans-serif"/>
      </rPr>
      <t>Wahbi Khazri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</si>
  <si>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Paul Bernardoni</t>
    </r>
  </si>
  <si>
    <r>
      <rPr>
        <u/>
        <sz val="10"/>
        <color rgb="FF1155CC"/>
        <rFont val="Verdana, sans-serif"/>
      </rPr>
      <t>Metz</t>
    </r>
  </si>
  <si>
    <r>
      <rPr>
        <u/>
        <sz val="10"/>
        <color rgb="FF1155CC"/>
        <rFont val="Verdana, sans-serif"/>
      </rPr>
      <t>Nicolas de Préville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</si>
  <si>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Alexandre Oukidja</t>
    </r>
  </si>
  <si>
    <r>
      <rPr>
        <u/>
        <sz val="10"/>
        <color rgb="FF1155CC"/>
        <rFont val="Verdana, sans-serif"/>
      </rPr>
      <t>Bordeaux</t>
    </r>
  </si>
  <si>
    <r>
      <rPr>
        <u/>
        <sz val="10"/>
        <color rgb="FF1155CC"/>
        <rFont val="Verdana, sans-serif"/>
      </rPr>
      <t>Hwang Ui-jo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</si>
  <si>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Benoît Costil</t>
    </r>
  </si>
  <si>
    <t>Relegated 3</t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</si>
  <si>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</si>
  <si>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Burak Yılmaz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</si>
  <si>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Mike Maignan</t>
    </r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</si>
  <si>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</si>
  <si>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Kylian Mbappé</t>
    </r>
    <r>
      <rPr>
        <sz val="10"/>
        <rFont val="Verdana, sans-serif"/>
      </rPr>
      <t xml:space="preserve"> - 27</t>
    </r>
  </si>
  <si>
    <r>
      <rPr>
        <u/>
        <sz val="10"/>
        <color rgb="FF1155CC"/>
        <rFont val="Verdana, sans-serif"/>
      </rPr>
      <t>Keylor Navas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</si>
  <si>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</si>
  <si>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Wissam Ben Yedder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</si>
  <si>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Benjamin Lecomte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</si>
  <si>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</si>
  <si>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Memphis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</si>
  <si>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</si>
  <si>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</si>
  <si>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Arkadiusz Milik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</si>
  <si>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Steve Mandanda</t>
    </r>
  </si>
  <si>
    <t>→ Europa League via league finish 1</t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</si>
  <si>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</si>
  <si>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Serhou Guirassy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</si>
  <si>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Alfred Gomis</t>
    </r>
  </si>
  <si>
    <t>→ Europa Conference League via league finish</t>
  </si>
  <si>
    <r>
      <rPr>
        <u/>
        <sz val="10"/>
        <color rgb="FF1155CC"/>
        <rFont val="Verdana, sans-serif"/>
      </rPr>
      <t>Lens</t>
    </r>
  </si>
  <si>
    <r>
      <rPr>
        <u/>
        <sz val="10"/>
        <color rgb="FF1155CC"/>
        <rFont val="Verdana, sans-serif"/>
      </rPr>
      <t>Gaël Kakuta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</si>
  <si>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Jean-Louis Leca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</si>
  <si>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</si>
  <si>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Gaëtan Laborde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</si>
  <si>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Jonas Omlin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</si>
  <si>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</si>
  <si>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Amine Gouiri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</si>
  <si>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Walter Benítez</t>
    </r>
  </si>
  <si>
    <r>
      <rPr>
        <u/>
        <sz val="10"/>
        <color rgb="FF1155CC"/>
        <rFont val="Verdana, sans-serif"/>
      </rPr>
      <t>Metz</t>
    </r>
  </si>
  <si>
    <r>
      <rPr>
        <u/>
        <sz val="10"/>
        <color rgb="FF1155CC"/>
        <rFont val="Verdana, sans-serif"/>
      </rPr>
      <t>Farid Boulaya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Ibrahima Niane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</si>
  <si>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Alexandre Oukidja</t>
    </r>
  </si>
  <si>
    <r>
      <rPr>
        <u/>
        <sz val="10"/>
        <color rgb="FF1155CC"/>
        <rFont val="Verdana, sans-serif"/>
      </rPr>
      <t>Saint-Étienne</t>
    </r>
  </si>
  <si>
    <r>
      <rPr>
        <u/>
        <sz val="10"/>
        <color rgb="FF1155CC"/>
        <rFont val="Verdana, sans-serif"/>
      </rPr>
      <t>Wahbi Khazri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Denis Bouanga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</si>
  <si>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Jessy Moulin</t>
    </r>
  </si>
  <si>
    <r>
      <rPr>
        <u/>
        <sz val="10"/>
        <color rgb="FF1155CC"/>
        <rFont val="Verdana, sans-serif"/>
      </rPr>
      <t>Bordeaux</t>
    </r>
  </si>
  <si>
    <r>
      <rPr>
        <u/>
        <sz val="10"/>
        <color rgb="FF1155CC"/>
        <rFont val="Verdana, sans-serif"/>
      </rPr>
      <t>Hwang Ui-jo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</si>
  <si>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Benoît Costil</t>
    </r>
  </si>
  <si>
    <r>
      <rPr>
        <u/>
        <sz val="10"/>
        <color rgb="FF1155CC"/>
        <rFont val="Verdana, sans-serif"/>
      </rPr>
      <t>Angers</t>
    </r>
  </si>
  <si>
    <r>
      <rPr>
        <u/>
        <sz val="10"/>
        <color rgb="FF1155CC"/>
        <rFont val="Verdana, sans-serif"/>
      </rPr>
      <t>Angelo Fulgini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</si>
  <si>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Paul Bernardoni</t>
    </r>
  </si>
  <si>
    <r>
      <rPr>
        <u/>
        <sz val="10"/>
        <color rgb="FF1155CC"/>
        <rFont val="Verdana, sans-serif"/>
      </rPr>
      <t>Reims</t>
    </r>
  </si>
  <si>
    <r>
      <rPr>
        <u/>
        <sz val="10"/>
        <color rgb="FF1155CC"/>
        <rFont val="Verdana, sans-serif"/>
      </rPr>
      <t>Boulaye Dia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</si>
  <si>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Predrag Rajković</t>
    </r>
  </si>
  <si>
    <r>
      <rPr>
        <u/>
        <sz val="10"/>
        <color rgb="FF1155CC"/>
        <rFont val="Verdana, sans-serif"/>
      </rPr>
      <t>Strasbourg</t>
    </r>
  </si>
  <si>
    <r>
      <rPr>
        <u/>
        <sz val="10"/>
        <color rgb="FF1155CC"/>
        <rFont val="Verdana, sans-serif"/>
      </rPr>
      <t>Ludovic Ajorque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</si>
  <si>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Eiji Kawashima</t>
    </r>
  </si>
  <si>
    <r>
      <rPr>
        <u/>
        <sz val="10"/>
        <color rgb="FF1155CC"/>
        <rFont val="Verdana, sans-serif"/>
      </rPr>
      <t>Lorient</t>
    </r>
  </si>
  <si>
    <r>
      <rPr>
        <u/>
        <sz val="10"/>
        <color rgb="FF1155CC"/>
        <rFont val="Verdana, sans-serif"/>
      </rPr>
      <t>Terem Moffi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</si>
  <si>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Paul Nardi</t>
    </r>
  </si>
  <si>
    <r>
      <rPr>
        <u/>
        <sz val="10"/>
        <color rgb="FF1155CC"/>
        <rFont val="Verdana, sans-serif"/>
      </rPr>
      <t>Brest</t>
    </r>
  </si>
  <si>
    <r>
      <rPr>
        <u/>
        <sz val="10"/>
        <color rgb="FF1155CC"/>
        <rFont val="Verdana, sans-serif"/>
      </rPr>
      <t>Steve Mounié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</si>
  <si>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Gautier Larsonneur</t>
    </r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</si>
  <si>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</si>
  <si>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Ludovic Blas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</si>
  <si>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Alban Lafont</t>
    </r>
  </si>
  <si>
    <r>
      <rPr>
        <u/>
        <sz val="10"/>
        <color rgb="FF1155CC"/>
        <rFont val="Verdana, sans-serif"/>
      </rPr>
      <t>Nîmes</t>
    </r>
  </si>
  <si>
    <r>
      <rPr>
        <u/>
        <sz val="10"/>
        <color rgb="FF1155CC"/>
        <rFont val="Verdana, sans-serif"/>
      </rPr>
      <t>Renaud Ripart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</si>
  <si>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Baptiste Reynet</t>
    </r>
  </si>
  <si>
    <r>
      <rPr>
        <u/>
        <sz val="10"/>
        <color rgb="FF1155CC"/>
        <rFont val="Verdana, sans-serif"/>
      </rPr>
      <t>Dijon</t>
    </r>
  </si>
  <si>
    <r>
      <rPr>
        <u/>
        <sz val="10"/>
        <color rgb="FF1155CC"/>
        <rFont val="Verdana, sans-serif"/>
      </rPr>
      <t>Mama Samba Baldé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</si>
  <si>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Anthony Racioppi</t>
    </r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</si>
  <si>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</si>
  <si>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Kylian Mbappé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</si>
  <si>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Keylor Navas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</si>
  <si>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</si>
  <si>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Darío Benedetto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</si>
  <si>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Steve Mandanda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</si>
  <si>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</si>
  <si>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M'Baye Niang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</si>
  <si>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Edouard Mendy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</si>
  <si>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</si>
  <si>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Victor Osimhen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</si>
  <si>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Mike Maignan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</si>
  <si>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</si>
  <si>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Kasper Dolberg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</si>
  <si>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Walter Benítez</t>
    </r>
  </si>
  <si>
    <r>
      <rPr>
        <u/>
        <sz val="10"/>
        <color rgb="FF1155CC"/>
        <rFont val="Verdana, sans-serif"/>
      </rPr>
      <t>Reims</t>
    </r>
  </si>
  <si>
    <r>
      <rPr>
        <u/>
        <sz val="10"/>
        <color rgb="FF1155CC"/>
        <rFont val="Verdana, sans-serif"/>
      </rPr>
      <t>Boulaye Dia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</si>
  <si>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Predrag Rajković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</si>
  <si>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</si>
  <si>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Moussa Dembélé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</si>
  <si>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</si>
  <si>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</si>
  <si>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Andy Delort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</si>
  <si>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Gerónimo Rulli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</si>
  <si>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</si>
  <si>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Wissam Ben Yedder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</si>
  <si>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Benjamin Lecomte</t>
    </r>
  </si>
  <si>
    <r>
      <rPr>
        <u/>
        <sz val="10"/>
        <color rgb="FF1155CC"/>
        <rFont val="Verdana, sans-serif"/>
      </rPr>
      <t>Strasbourg</t>
    </r>
  </si>
  <si>
    <r>
      <rPr>
        <u/>
        <sz val="10"/>
        <color rgb="FF1155CC"/>
        <rFont val="Verdana, sans-serif"/>
      </rPr>
      <t>Adrien Thomasson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Ludovic Ajorque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</si>
  <si>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Matz Sels</t>
    </r>
  </si>
  <si>
    <r>
      <rPr>
        <u/>
        <sz val="10"/>
        <color rgb="FF1155CC"/>
        <rFont val="Verdana, sans-serif"/>
      </rPr>
      <t>Angers</t>
    </r>
  </si>
  <si>
    <r>
      <rPr>
        <u/>
        <sz val="10"/>
        <color rgb="FF1155CC"/>
        <rFont val="Verdana, sans-serif"/>
      </rPr>
      <t>Rachid Alioui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</si>
  <si>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Ludovic Butelle</t>
    </r>
  </si>
  <si>
    <r>
      <rPr>
        <u/>
        <sz val="10"/>
        <color rgb="FF1155CC"/>
        <rFont val="Verdana, sans-serif"/>
      </rPr>
      <t>Bordeaux</t>
    </r>
  </si>
  <si>
    <r>
      <rPr>
        <u/>
        <sz val="10"/>
        <color rgb="FF1155CC"/>
        <rFont val="Verdana, sans-serif"/>
      </rPr>
      <t>Jimmy Briand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</si>
  <si>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Benoît Costil</t>
    </r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</si>
  <si>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</si>
  <si>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Moses Simon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Ludovic Blas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</si>
  <si>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Alban Lafont</t>
    </r>
  </si>
  <si>
    <r>
      <rPr>
        <u/>
        <sz val="10"/>
        <color rgb="FF1155CC"/>
        <rFont val="Verdana, sans-serif"/>
      </rPr>
      <t>Brest</t>
    </r>
  </si>
  <si>
    <r>
      <rPr>
        <u/>
        <sz val="10"/>
        <color rgb="FF1155CC"/>
        <rFont val="Verdana, sans-serif"/>
      </rPr>
      <t>Irvin Cardona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</si>
  <si>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Gautier Larsonneur</t>
    </r>
  </si>
  <si>
    <r>
      <rPr>
        <u/>
        <sz val="10"/>
        <color rgb="FF1155CC"/>
        <rFont val="Verdana, sans-serif"/>
      </rPr>
      <t>Metz</t>
    </r>
  </si>
  <si>
    <r>
      <rPr>
        <u/>
        <sz val="10"/>
        <color rgb="FF1155CC"/>
        <rFont val="Verdana, sans-serif"/>
      </rPr>
      <t>Habib Diallo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</si>
  <si>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Alexandre Oukidja</t>
    </r>
  </si>
  <si>
    <r>
      <rPr>
        <u/>
        <sz val="10"/>
        <color rgb="FF1155CC"/>
        <rFont val="Verdana, sans-serif"/>
      </rPr>
      <t>Dijon</t>
    </r>
  </si>
  <si>
    <r>
      <rPr>
        <u/>
        <sz val="10"/>
        <color rgb="FF1155CC"/>
        <rFont val="Verdana, sans-serif"/>
      </rPr>
      <t>Mama Samba Baldé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</si>
  <si>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Alfred Gomis</t>
    </r>
  </si>
  <si>
    <r>
      <rPr>
        <u/>
        <sz val="10"/>
        <color rgb="FF1155CC"/>
        <rFont val="Verdana, sans-serif"/>
      </rPr>
      <t>Saint-Étienne</t>
    </r>
  </si>
  <si>
    <r>
      <rPr>
        <u/>
        <sz val="10"/>
        <color rgb="FF1155CC"/>
        <rFont val="Verdana, sans-serif"/>
      </rPr>
      <t>Denis Bouanga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</si>
  <si>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Stéphane Ruffier</t>
    </r>
  </si>
  <si>
    <r>
      <rPr>
        <u/>
        <sz val="10"/>
        <color rgb="FF1155CC"/>
        <rFont val="Verdana, sans-serif"/>
      </rPr>
      <t>Nîmes</t>
    </r>
  </si>
  <si>
    <r>
      <rPr>
        <u/>
        <sz val="10"/>
        <color rgb="FF1155CC"/>
        <rFont val="Verdana, sans-serif"/>
      </rPr>
      <t>Romain Philippoteaux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</si>
  <si>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Paul Bernardoni</t>
    </r>
  </si>
  <si>
    <r>
      <rPr>
        <u/>
        <sz val="10"/>
        <color rgb="FF1155CC"/>
        <rFont val="Verdana, sans-serif"/>
      </rPr>
      <t>Amiens</t>
    </r>
  </si>
  <si>
    <r>
      <rPr>
        <u/>
        <sz val="10"/>
        <color rgb="FF1155CC"/>
        <rFont val="Verdana, sans-serif"/>
      </rPr>
      <t>Serhou Guirassy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</si>
  <si>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Régis Gurtner</t>
    </r>
  </si>
  <si>
    <r>
      <rPr>
        <u/>
        <sz val="10"/>
        <color rgb="FF1155CC"/>
        <rFont val="Verdana, sans-serif"/>
      </rPr>
      <t>Toulouse</t>
    </r>
  </si>
  <si>
    <r>
      <rPr>
        <u/>
        <sz val="10"/>
        <color rgb="FF1155CC"/>
        <rFont val="Verdana, sans-serif"/>
      </rPr>
      <t>Efthimis Koulouris</t>
    </r>
    <r>
      <rPr>
        <sz val="10"/>
        <rFont val="Verdana, sans-serif"/>
      </rPr>
      <t xml:space="preserve"> - 4</t>
    </r>
  </si>
  <si>
    <r>
      <rPr>
        <u/>
        <sz val="10"/>
        <color rgb="FF1155CC"/>
        <rFont val="Verdana, sans-serif"/>
      </rPr>
      <t>Baptiste Reynet</t>
    </r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</si>
  <si>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</si>
  <si>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Kylian Mbappé</t>
    </r>
    <r>
      <rPr>
        <sz val="10"/>
        <rFont val="Verdana, sans-serif"/>
      </rPr>
      <t xml:space="preserve"> - 33</t>
    </r>
  </si>
  <si>
    <r>
      <rPr>
        <u/>
        <sz val="10"/>
        <color rgb="FF1155CC"/>
        <rFont val="Verdana, sans-serif"/>
      </rPr>
      <t>Alphonse Areola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</si>
  <si>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</si>
  <si>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Nicolas Pépé</t>
    </r>
    <r>
      <rPr>
        <sz val="10"/>
        <rFont val="Verdana, sans-serif"/>
      </rPr>
      <t xml:space="preserve"> - 22</t>
    </r>
  </si>
  <si>
    <r>
      <rPr>
        <u/>
        <sz val="10"/>
        <color rgb="FF1155CC"/>
        <rFont val="Verdana, sans-serif"/>
      </rPr>
      <t>Mike Maignan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</si>
  <si>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</si>
  <si>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Moussa Dembélé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</si>
  <si>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</si>
  <si>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Saint-Étienne</t>
    </r>
  </si>
  <si>
    <r>
      <rPr>
        <u/>
        <sz val="10"/>
        <color rgb="FF1155CC"/>
        <rFont val="Verdana, sans-serif"/>
      </rPr>
      <t>Wahbi Khazri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</si>
  <si>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Stéphane Ruffier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</si>
  <si>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</si>
  <si>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Florian Thauvin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</si>
  <si>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Steve Mandanda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</si>
  <si>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</si>
  <si>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Andy Delort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</si>
  <si>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Benjamin Lecomte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</si>
  <si>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</si>
  <si>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Allan Saint-Maximin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Youcef Atal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</si>
  <si>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Walter Benítez</t>
    </r>
  </si>
  <si>
    <r>
      <rPr>
        <u/>
        <sz val="10"/>
        <color rgb="FF1155CC"/>
        <rFont val="Verdana, sans-serif"/>
      </rPr>
      <t>Reims</t>
    </r>
  </si>
  <si>
    <r>
      <rPr>
        <u/>
        <sz val="10"/>
        <color rgb="FF1155CC"/>
        <rFont val="Verdana, sans-serif"/>
      </rPr>
      <t>Remi Oudin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</si>
  <si>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Edouard Mendy</t>
    </r>
  </si>
  <si>
    <r>
      <rPr>
        <u/>
        <sz val="10"/>
        <color rgb="FF1155CC"/>
        <rFont val="Verdana, sans-serif"/>
      </rPr>
      <t>Nîmes</t>
    </r>
  </si>
  <si>
    <r>
      <rPr>
        <u/>
        <sz val="10"/>
        <color rgb="FF1155CC"/>
        <rFont val="Verdana, sans-serif"/>
      </rPr>
      <t>Denis Bouanga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Renaud Ripart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</si>
  <si>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Paul Bernardoni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</si>
  <si>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</si>
  <si>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M'Baye Niang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</si>
  <si>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Tomáš Koubek</t>
    </r>
  </si>
  <si>
    <t>→ Europa League via cup win 1</t>
  </si>
  <si>
    <r>
      <rPr>
        <u/>
        <sz val="10"/>
        <color rgb="FF1155CC"/>
        <rFont val="Verdana, sans-serif"/>
      </rPr>
      <t>Strasbourg</t>
    </r>
  </si>
  <si>
    <r>
      <rPr>
        <u/>
        <sz val="10"/>
        <color rgb="FF1155CC"/>
        <rFont val="Verdana, sans-serif"/>
      </rPr>
      <t>Ludovic Ajorque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Lebo Mothiba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</si>
  <si>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Matz Sels</t>
    </r>
  </si>
  <si>
    <t>→ Europa League via cup win 2</t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</si>
  <si>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</si>
  <si>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Emiliano Sala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</si>
  <si>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Ciprian Tătărușanu</t>
    </r>
  </si>
  <si>
    <r>
      <rPr>
        <u/>
        <sz val="10"/>
        <color rgb="FF1155CC"/>
        <rFont val="Verdana, sans-serif"/>
      </rPr>
      <t>Angers</t>
    </r>
  </si>
  <si>
    <r>
      <rPr>
        <u/>
        <sz val="10"/>
        <color rgb="FF1155CC"/>
        <rFont val="Verdana, sans-serif"/>
      </rPr>
      <t>Stéphane Bahoken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</si>
  <si>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Ludovic Butelle</t>
    </r>
  </si>
  <si>
    <r>
      <rPr>
        <u/>
        <sz val="10"/>
        <color rgb="FF1155CC"/>
        <rFont val="Verdana, sans-serif"/>
      </rPr>
      <t>Bordeaux</t>
    </r>
  </si>
  <si>
    <r>
      <rPr>
        <u/>
        <sz val="10"/>
        <color rgb="FF1155CC"/>
        <rFont val="Verdana, sans-serif"/>
      </rPr>
      <t>François Kamano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</si>
  <si>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Benoît Costil</t>
    </r>
  </si>
  <si>
    <r>
      <rPr>
        <u/>
        <sz val="10"/>
        <color rgb="FF1155CC"/>
        <rFont val="Verdana, sans-serif"/>
      </rPr>
      <t>Amiens</t>
    </r>
  </si>
  <si>
    <r>
      <rPr>
        <u/>
        <sz val="10"/>
        <color rgb="FF1155CC"/>
        <rFont val="Verdana, sans-serif"/>
      </rPr>
      <t>Moussa Konaté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</si>
  <si>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Régis Gurtner</t>
    </r>
  </si>
  <si>
    <r>
      <rPr>
        <u/>
        <sz val="10"/>
        <color rgb="FF1155CC"/>
        <rFont val="Verdana, sans-serif"/>
      </rPr>
      <t>Toulouse</t>
    </r>
  </si>
  <si>
    <r>
      <rPr>
        <u/>
        <sz val="10"/>
        <color rgb="FF1155CC"/>
        <rFont val="Verdana, sans-serif"/>
      </rPr>
      <t>Max Gradel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</si>
  <si>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Baptiste Reynet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</si>
  <si>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</si>
  <si>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Radamel Falcao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</si>
  <si>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Diego Benaglio</t>
    </r>
  </si>
  <si>
    <r>
      <rPr>
        <u/>
        <sz val="10"/>
        <color rgb="FF1155CC"/>
        <rFont val="Verdana, sans-serif"/>
      </rPr>
      <t>Dijon</t>
    </r>
  </si>
  <si>
    <r>
      <rPr>
        <u/>
        <sz val="10"/>
        <color rgb="FF1155CC"/>
        <rFont val="Verdana, sans-serif"/>
      </rPr>
      <t>Júlio Tavares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</si>
  <si>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Rúnar Alex Rúnarsson</t>
    </r>
  </si>
  <si>
    <r>
      <rPr>
        <u/>
        <sz val="10"/>
        <color rgb="FF1155CC"/>
        <rFont val="Verdana, sans-serif"/>
      </rPr>
      <t>Caen</t>
    </r>
  </si>
  <si>
    <r>
      <rPr>
        <u/>
        <sz val="10"/>
        <color rgb="FF1155CC"/>
        <rFont val="Verdana, sans-serif"/>
      </rPr>
      <t>Enzo Crivelli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Casimir Ninga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</si>
  <si>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Brice Samba</t>
    </r>
  </si>
  <si>
    <r>
      <rPr>
        <u/>
        <sz val="10"/>
        <color rgb="FF1155CC"/>
        <rFont val="Verdana, sans-serif"/>
      </rPr>
      <t>Guingamp</t>
    </r>
  </si>
  <si>
    <r>
      <rPr>
        <u/>
        <sz val="10"/>
        <color rgb="FF1155CC"/>
        <rFont val="Verdana, sans-serif"/>
      </rPr>
      <t>Marcus Thuram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</si>
  <si>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Marc-Aurèle Caillard</t>
    </r>
  </si>
  <si>
    <t>Relegate</t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</si>
  <si>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</si>
  <si>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Edinson Cavani</t>
    </r>
    <r>
      <rPr>
        <sz val="10"/>
        <rFont val="Verdana, sans-serif"/>
      </rPr>
      <t xml:space="preserve"> - 28</t>
    </r>
  </si>
  <si>
    <r>
      <rPr>
        <u/>
        <sz val="10"/>
        <color rgb="FF1155CC"/>
        <rFont val="Verdana, sans-serif"/>
      </rPr>
      <t>Alphonse Areola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</si>
  <si>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</si>
  <si>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Radamel Falcao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</si>
  <si>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Danijel Subašić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</si>
  <si>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</si>
  <si>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Memphis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</si>
  <si>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</si>
  <si>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</si>
  <si>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Florian Thauvin</t>
    </r>
    <r>
      <rPr>
        <sz val="10"/>
        <rFont val="Verdana, sans-serif"/>
      </rPr>
      <t xml:space="preserve"> - 22</t>
    </r>
  </si>
  <si>
    <r>
      <rPr>
        <u/>
        <sz val="10"/>
        <color rgb="FF1155CC"/>
        <rFont val="Verdana, sans-serif"/>
      </rPr>
      <t>Steve Mandanda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</si>
  <si>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</si>
  <si>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Benjamin Bourigeaud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</si>
  <si>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Tomáš Koubek</t>
    </r>
  </si>
  <si>
    <r>
      <rPr>
        <u/>
        <sz val="10"/>
        <color rgb="FF1155CC"/>
        <rFont val="Verdana, sans-serif"/>
      </rPr>
      <t>Bordeaux</t>
    </r>
  </si>
  <si>
    <r>
      <rPr>
        <u/>
        <sz val="10"/>
        <color rgb="FF1155CC"/>
        <rFont val="Verdana, sans-serif"/>
      </rPr>
      <t>Malcom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</si>
  <si>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Benoît Costil</t>
    </r>
  </si>
  <si>
    <t>→ Europa League via league finish 2</t>
  </si>
  <si>
    <r>
      <rPr>
        <u/>
        <sz val="10"/>
        <color rgb="FF1155CC"/>
        <rFont val="Verdana, sans-serif"/>
      </rPr>
      <t>Saint-Étienne</t>
    </r>
  </si>
  <si>
    <r>
      <rPr>
        <u/>
        <sz val="10"/>
        <color rgb="FF1155CC"/>
        <rFont val="Verdana, sans-serif"/>
      </rPr>
      <t>Jonathan Bamba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Rémy Cabella</t>
    </r>
    <r>
      <rPr>
        <sz val="10"/>
        <rFont val="Verdana, sans-serif"/>
      </rPr>
      <t>... - 7</t>
    </r>
  </si>
  <si>
    <r>
      <rPr>
        <u/>
        <sz val="10"/>
        <color rgb="FF1155CC"/>
        <rFont val="Verdana, sans-serif"/>
      </rPr>
      <t>Stéphane Ruffier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</si>
  <si>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</si>
  <si>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Mario Balotelli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</si>
  <si>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Walter Benítez</t>
    </r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</si>
  <si>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</si>
  <si>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Emiliano Sala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</si>
  <si>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Ciprian Tătărușanu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</si>
  <si>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</si>
  <si>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Giovanni Sio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</si>
  <si>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Benjamin Lecomte</t>
    </r>
  </si>
  <si>
    <r>
      <rPr>
        <u/>
        <sz val="10"/>
        <color rgb="FF1155CC"/>
        <rFont val="Verdana, sans-serif"/>
      </rPr>
      <t>Dijon</t>
    </r>
  </si>
  <si>
    <r>
      <rPr>
        <u/>
        <sz val="10"/>
        <color rgb="FF1155CC"/>
        <rFont val="Verdana, sans-serif"/>
      </rPr>
      <t>Júlio Tavares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</si>
  <si>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Baptiste Reynet</t>
    </r>
  </si>
  <si>
    <r>
      <rPr>
        <u/>
        <sz val="10"/>
        <color rgb="FF1155CC"/>
        <rFont val="Verdana, sans-serif"/>
      </rPr>
      <t>Guingamp</t>
    </r>
  </si>
  <si>
    <r>
      <rPr>
        <u/>
        <sz val="10"/>
        <color rgb="FF1155CC"/>
        <rFont val="Verdana, sans-serif"/>
      </rPr>
      <t>Jimmy Briand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</si>
  <si>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Karl-Johan Johnsson</t>
    </r>
  </si>
  <si>
    <r>
      <rPr>
        <u/>
        <sz val="10"/>
        <color rgb="FF1155CC"/>
        <rFont val="Verdana, sans-serif"/>
      </rPr>
      <t>Amiens</t>
    </r>
  </si>
  <si>
    <r>
      <rPr>
        <u/>
        <sz val="10"/>
        <color rgb="FF1155CC"/>
        <rFont val="Verdana, sans-serif"/>
      </rPr>
      <t>Moussa Konaté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</si>
  <si>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Régis Gurtner</t>
    </r>
  </si>
  <si>
    <r>
      <rPr>
        <u/>
        <sz val="10"/>
        <color rgb="FF1155CC"/>
        <rFont val="Verdana, sans-serif"/>
      </rPr>
      <t>Angers</t>
    </r>
  </si>
  <si>
    <r>
      <rPr>
        <u/>
        <sz val="10"/>
        <color rgb="FF1155CC"/>
        <rFont val="Verdana, sans-serif"/>
      </rPr>
      <t>Karl Toko Ekambi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</si>
  <si>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Ludovic Butelle</t>
    </r>
  </si>
  <si>
    <r>
      <rPr>
        <u/>
        <sz val="10"/>
        <color rgb="FF1155CC"/>
        <rFont val="Verdana, sans-serif"/>
      </rPr>
      <t>Strasbourg</t>
    </r>
  </si>
  <si>
    <r>
      <rPr>
        <u/>
        <sz val="10"/>
        <color rgb="FF1155CC"/>
        <rFont val="Verdana, sans-serif"/>
      </rPr>
      <t>Stéphane Bahoken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</si>
  <si>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Bingourou Kamara</t>
    </r>
  </si>
  <si>
    <r>
      <rPr>
        <u/>
        <sz val="10"/>
        <color rgb="FF1155CC"/>
        <rFont val="Verdana, sans-serif"/>
      </rPr>
      <t>Caen</t>
    </r>
  </si>
  <si>
    <r>
      <rPr>
        <u/>
        <sz val="10"/>
        <color rgb="FF1155CC"/>
        <rFont val="Verdana, sans-serif"/>
      </rPr>
      <t>Ivan Santini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</si>
  <si>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Rémy Vercoutre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</si>
  <si>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</si>
  <si>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Nicolas Pépé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</si>
  <si>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Mike Maignan</t>
    </r>
  </si>
  <si>
    <r>
      <rPr>
        <u/>
        <sz val="10"/>
        <color rgb="FF1155CC"/>
        <rFont val="Verdana, sans-serif"/>
      </rPr>
      <t>Toulouse</t>
    </r>
  </si>
  <si>
    <r>
      <rPr>
        <u/>
        <sz val="10"/>
        <color rgb="FF1155CC"/>
        <rFont val="Verdana, sans-serif"/>
      </rPr>
      <t>Max Gradel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</si>
  <si>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Alban Lafont</t>
    </r>
  </si>
  <si>
    <r>
      <rPr>
        <u/>
        <sz val="10"/>
        <color rgb="FF1155CC"/>
        <rFont val="Verdana, sans-serif"/>
      </rPr>
      <t>Troyes</t>
    </r>
  </si>
  <si>
    <r>
      <rPr>
        <u/>
        <sz val="10"/>
        <color rgb="FF1155CC"/>
        <rFont val="Verdana, sans-serif"/>
      </rPr>
      <t>Adama Niane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</si>
  <si>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Mamadou Samassa</t>
    </r>
  </si>
  <si>
    <r>
      <rPr>
        <u/>
        <sz val="10"/>
        <color rgb="FF1155CC"/>
        <rFont val="Verdana, sans-serif"/>
      </rPr>
      <t>Metz</t>
    </r>
  </si>
  <si>
    <r>
      <rPr>
        <u/>
        <sz val="10"/>
        <color rgb="FF1155CC"/>
        <rFont val="Verdana, sans-serif"/>
      </rPr>
      <t>Nolan Roux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</si>
  <si>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Eiji Kawashima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</si>
  <si>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</si>
  <si>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Radamel Falcao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</si>
  <si>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Danijel Subašić</t>
    </r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</si>
  <si>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</si>
  <si>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Edinson Cavani</t>
    </r>
    <r>
      <rPr>
        <sz val="10"/>
        <rFont val="Verdana, sans-serif"/>
      </rPr>
      <t xml:space="preserve"> - 35</t>
    </r>
  </si>
  <si>
    <r>
      <rPr>
        <u/>
        <sz val="10"/>
        <color rgb="FF1155CC"/>
        <rFont val="Verdana, sans-serif"/>
      </rPr>
      <t>Kevin Trapp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</si>
  <si>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</si>
  <si>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Mario Balotelli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</si>
  <si>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Yoan Cardinale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</si>
  <si>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</si>
  <si>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Alexandre Lacazette</t>
    </r>
    <r>
      <rPr>
        <sz val="10"/>
        <rFont val="Verdana, sans-serif"/>
      </rPr>
      <t xml:space="preserve"> - 28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</si>
  <si>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</si>
  <si>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</si>
  <si>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Bafétimbi Gomis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</si>
  <si>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Yohann Pelé</t>
    </r>
  </si>
  <si>
    <r>
      <rPr>
        <u/>
        <sz val="10"/>
        <color rgb="FF1155CC"/>
        <rFont val="Verdana, sans-serif"/>
      </rPr>
      <t>Bordeaux</t>
    </r>
  </si>
  <si>
    <r>
      <rPr>
        <u/>
        <sz val="10"/>
        <color rgb="FF1155CC"/>
        <rFont val="Verdana, sans-serif"/>
      </rPr>
      <t>Diego Rolán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</si>
  <si>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Cédric Carrasso</t>
    </r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</si>
  <si>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</si>
  <si>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Emiliano Sala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</si>
  <si>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Rémy Riou</t>
    </r>
  </si>
  <si>
    <r>
      <rPr>
        <u/>
        <sz val="10"/>
        <color rgb="FF1155CC"/>
        <rFont val="Verdana, sans-serif"/>
      </rPr>
      <t>Saint-Étienne</t>
    </r>
  </si>
  <si>
    <r>
      <rPr>
        <u/>
        <sz val="10"/>
        <color rgb="FF1155CC"/>
        <rFont val="Verdana, sans-serif"/>
      </rPr>
      <t>Romain Hamouma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</si>
  <si>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Stéphane Ruffier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</si>
  <si>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</si>
  <si>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Giovanni Sio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</si>
  <si>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Benoît Costil</t>
    </r>
  </si>
  <si>
    <r>
      <rPr>
        <u/>
        <sz val="10"/>
        <color rgb="FF1155CC"/>
        <rFont val="Verdana, sans-serif"/>
      </rPr>
      <t>Guingamp</t>
    </r>
  </si>
  <si>
    <r>
      <rPr>
        <u/>
        <sz val="10"/>
        <color rgb="FF1155CC"/>
        <rFont val="Verdana, sans-serif"/>
      </rPr>
      <t>Jimmy Briand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</si>
  <si>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Karl-Johan Johnsson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</si>
  <si>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</si>
  <si>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Nicolas de Préville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</si>
  <si>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Vincent Enyeama</t>
    </r>
  </si>
  <si>
    <r>
      <rPr>
        <u/>
        <sz val="10"/>
        <color rgb="FF1155CC"/>
        <rFont val="Verdana, sans-serif"/>
      </rPr>
      <t>Angers</t>
    </r>
  </si>
  <si>
    <r>
      <rPr>
        <u/>
        <sz val="10"/>
        <color rgb="FF1155CC"/>
        <rFont val="Verdana, sans-serif"/>
      </rPr>
      <t>Famara Diedhiou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</si>
  <si>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Mathieu Michel</t>
    </r>
  </si>
  <si>
    <r>
      <rPr>
        <u/>
        <sz val="10"/>
        <color rgb="FF1155CC"/>
        <rFont val="Verdana, sans-serif"/>
      </rPr>
      <t>Toulouse</t>
    </r>
  </si>
  <si>
    <r>
      <rPr>
        <u/>
        <sz val="10"/>
        <color rgb="FF1155CC"/>
        <rFont val="Verdana, sans-serif"/>
      </rPr>
      <t>Martin Braithwaite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</si>
  <si>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Alban Lafont</t>
    </r>
  </si>
  <si>
    <r>
      <rPr>
        <u/>
        <sz val="10"/>
        <color rgb="FF1155CC"/>
        <rFont val="Verdana, sans-serif"/>
      </rPr>
      <t>Metz</t>
    </r>
  </si>
  <si>
    <r>
      <rPr>
        <u/>
        <sz val="10"/>
        <color rgb="FF1155CC"/>
        <rFont val="Verdana, sans-serif"/>
      </rPr>
      <t>Cheick Diabaté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</si>
  <si>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Thomas Didillon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</si>
  <si>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</si>
  <si>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Steve Mounié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</si>
  <si>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Laurent Pionnier</t>
    </r>
  </si>
  <si>
    <r>
      <rPr>
        <u/>
        <sz val="10"/>
        <color rgb="FF1155CC"/>
        <rFont val="Verdana, sans-serif"/>
      </rPr>
      <t>Dijon</t>
    </r>
  </si>
  <si>
    <r>
      <rPr>
        <u/>
        <sz val="10"/>
        <color rgb="FF1155CC"/>
        <rFont val="Verdana, sans-serif"/>
      </rPr>
      <t>Lois Diony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</si>
  <si>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Baptiste Reynet</t>
    </r>
  </si>
  <si>
    <r>
      <rPr>
        <u/>
        <sz val="10"/>
        <color rgb="FF1155CC"/>
        <rFont val="Verdana, sans-serif"/>
      </rPr>
      <t>Caen</t>
    </r>
  </si>
  <si>
    <r>
      <rPr>
        <u/>
        <sz val="10"/>
        <color rgb="FF1155CC"/>
        <rFont val="Verdana, sans-serif"/>
      </rPr>
      <t>Ivan Santini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</si>
  <si>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Rémy Vercoutre</t>
    </r>
  </si>
  <si>
    <r>
      <rPr>
        <u/>
        <sz val="10"/>
        <color rgb="FF1155CC"/>
        <rFont val="Verdana, sans-serif"/>
      </rPr>
      <t>Lorient</t>
    </r>
  </si>
  <si>
    <r>
      <rPr>
        <u/>
        <sz val="10"/>
        <color rgb="FF1155CC"/>
        <rFont val="Verdana, sans-serif"/>
      </rPr>
      <t>Benjamin Moukandjo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</si>
  <si>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Benjamin Lecomte</t>
    </r>
  </si>
  <si>
    <r>
      <rPr>
        <u/>
        <sz val="10"/>
        <color rgb="FF1155CC"/>
        <rFont val="Verdana, sans-serif"/>
      </rPr>
      <t>Nancy</t>
    </r>
  </si>
  <si>
    <r>
      <rPr>
        <u/>
        <sz val="10"/>
        <color rgb="FF1155CC"/>
        <rFont val="Verdana, sans-serif"/>
      </rPr>
      <t>Issiar Dia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</si>
  <si>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Guy N'dy Assembé</t>
    </r>
  </si>
  <si>
    <r>
      <rPr>
        <u/>
        <sz val="10"/>
        <color rgb="FF1155CC"/>
        <rFont val="Verdana, sans-serif"/>
      </rPr>
      <t>Bastia</t>
    </r>
  </si>
  <si>
    <r>
      <rPr>
        <u/>
        <sz val="10"/>
        <color rgb="FF1155CC"/>
        <rFont val="Verdana, sans-serif"/>
      </rPr>
      <t>Enzo Crivelli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</si>
  <si>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Jean-Louis Leca</t>
    </r>
  </si>
  <si>
    <r>
      <rPr>
        <u/>
        <sz val="10"/>
        <color rgb="FF1155CC"/>
        <rFont val="Verdana, sans-serif"/>
      </rPr>
      <t>Paris S-G</t>
    </r>
  </si>
  <si>
    <r>
      <rPr>
        <u/>
        <sz val="10"/>
        <color rgb="FF1155CC"/>
        <rFont val="Verdana, sans-serif"/>
      </rPr>
      <t>Zlatan Ibrahimović</t>
    </r>
    <r>
      <rPr>
        <sz val="10"/>
        <rFont val="Verdana, sans-serif"/>
      </rPr>
      <t xml:space="preserve"> - 38</t>
    </r>
  </si>
  <si>
    <r>
      <rPr>
        <u/>
        <sz val="10"/>
        <color rgb="FF1155CC"/>
        <rFont val="Verdana, sans-serif"/>
      </rPr>
      <t>Kevin Trapp</t>
    </r>
  </si>
  <si>
    <r>
      <rPr>
        <u/>
        <sz val="10"/>
        <color rgb="FF1155CC"/>
        <rFont val="Verdana, sans-serif"/>
      </rPr>
      <t>Lyon</t>
    </r>
  </si>
  <si>
    <r>
      <rPr>
        <u/>
        <sz val="10"/>
        <color rgb="FF1155CC"/>
        <rFont val="Verdana, sans-serif"/>
      </rPr>
      <t>Alexandre Lacazette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</si>
  <si>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Anthony Lopes</t>
    </r>
  </si>
  <si>
    <r>
      <rPr>
        <u/>
        <sz val="10"/>
        <color rgb="FF1155CC"/>
        <rFont val="Verdana, sans-serif"/>
      </rPr>
      <t>Monaco</t>
    </r>
  </si>
  <si>
    <r>
      <rPr>
        <u/>
        <sz val="10"/>
        <color rgb="FF1155CC"/>
        <rFont val="Verdana, sans-serif"/>
      </rPr>
      <t>Bernardo Silva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</si>
  <si>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Danijel Subašić</t>
    </r>
  </si>
  <si>
    <r>
      <rPr>
        <u/>
        <sz val="10"/>
        <color rgb="FF1155CC"/>
        <rFont val="Verdana, sans-serif"/>
      </rPr>
      <t>Nice</t>
    </r>
  </si>
  <si>
    <r>
      <rPr>
        <u/>
        <sz val="10"/>
        <color rgb="FF1155CC"/>
        <rFont val="Verdana, sans-serif"/>
      </rPr>
      <t>Hatem Ben Arfa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</si>
  <si>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Yoan Cardinale</t>
    </r>
  </si>
  <si>
    <r>
      <rPr>
        <u/>
        <sz val="10"/>
        <color rgb="FF1155CC"/>
        <rFont val="Verdana, sans-serif"/>
      </rPr>
      <t>Lille</t>
    </r>
  </si>
  <si>
    <r>
      <rPr>
        <u/>
        <sz val="10"/>
        <color rgb="FF1155CC"/>
        <rFont val="Verdana, sans-serif"/>
      </rPr>
      <t>Sofiane Boufal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</si>
  <si>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Vincent Enyeama</t>
    </r>
  </si>
  <si>
    <r>
      <rPr>
        <u/>
        <sz val="10"/>
        <color rgb="FF1155CC"/>
        <rFont val="Verdana, sans-serif"/>
      </rPr>
      <t>Saint-Étienne</t>
    </r>
  </si>
  <si>
    <r>
      <rPr>
        <u/>
        <sz val="10"/>
        <color rgb="FF1155CC"/>
        <rFont val="Verdana, sans-serif"/>
      </rPr>
      <t>Nolan Roux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</si>
  <si>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Stéphane Ruffier</t>
    </r>
  </si>
  <si>
    <r>
      <rPr>
        <u/>
        <sz val="10"/>
        <color rgb="FF1155CC"/>
        <rFont val="Verdana, sans-serif"/>
      </rPr>
      <t>Caen</t>
    </r>
  </si>
  <si>
    <r>
      <rPr>
        <u/>
        <sz val="10"/>
        <color rgb="FF1155CC"/>
        <rFont val="Verdana, sans-serif"/>
      </rPr>
      <t>Andy Delort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</si>
  <si>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Rémy Vercoutre</t>
    </r>
  </si>
  <si>
    <r>
      <rPr>
        <u/>
        <sz val="10"/>
        <color rgb="FF1155CC"/>
        <rFont val="Verdana, sans-serif"/>
      </rPr>
      <t>Rennes</t>
    </r>
  </si>
  <si>
    <r>
      <rPr>
        <u/>
        <sz val="10"/>
        <color rgb="FF1155CC"/>
        <rFont val="Verdana, sans-serif"/>
      </rPr>
      <t>Ousmane Dembélé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</si>
  <si>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Benoît Costil</t>
    </r>
  </si>
  <si>
    <r>
      <rPr>
        <u/>
        <sz val="10"/>
        <color rgb="FF1155CC"/>
        <rFont val="Verdana, sans-serif"/>
      </rPr>
      <t>Angers</t>
    </r>
  </si>
  <si>
    <r>
      <rPr>
        <u/>
        <sz val="10"/>
        <color rgb="FF1155CC"/>
        <rFont val="Verdana, sans-serif"/>
      </rPr>
      <t>Cheikh N'Doye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</si>
  <si>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Ludovic Butelle</t>
    </r>
  </si>
  <si>
    <r>
      <rPr>
        <u/>
        <sz val="10"/>
        <color rgb="FF1155CC"/>
        <rFont val="Verdana, sans-serif"/>
      </rPr>
      <t>Bastia</t>
    </r>
  </si>
  <si>
    <r>
      <rPr>
        <u/>
        <sz val="10"/>
        <color rgb="FF1155CC"/>
        <rFont val="Verdana, sans-serif"/>
      </rPr>
      <t>Floyd Ayité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</si>
  <si>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Jean-Louis Leca</t>
    </r>
  </si>
  <si>
    <r>
      <rPr>
        <u/>
        <sz val="10"/>
        <color rgb="FF1155CC"/>
        <rFont val="Verdana, sans-serif"/>
      </rPr>
      <t>Bordeaux</t>
    </r>
  </si>
  <si>
    <r>
      <rPr>
        <u/>
        <sz val="10"/>
        <color rgb="FF1155CC"/>
        <rFont val="Verdana, sans-serif"/>
      </rPr>
      <t>Cheick Diabaté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</si>
  <si>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Cédric Carrasso</t>
    </r>
  </si>
  <si>
    <r>
      <rPr>
        <u/>
        <sz val="10"/>
        <color rgb="FF1155CC"/>
        <rFont val="Verdana, sans-serif"/>
      </rPr>
      <t>Montpellier</t>
    </r>
  </si>
  <si>
    <r>
      <rPr>
        <u/>
        <sz val="10"/>
        <color rgb="FF1155CC"/>
        <rFont val="Verdana, sans-serif"/>
      </rPr>
      <t>Souleymane Camara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Casimir Ninga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</si>
  <si>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Laurent Pionnier</t>
    </r>
  </si>
  <si>
    <r>
      <rPr>
        <u/>
        <sz val="10"/>
        <color rgb="FF1155CC"/>
        <rFont val="Verdana, sans-serif"/>
      </rPr>
      <t>Marseille</t>
    </r>
  </si>
  <si>
    <r>
      <rPr>
        <u/>
        <sz val="10"/>
        <color rgb="FF1155CC"/>
        <rFont val="Verdana, sans-serif"/>
      </rPr>
      <t>Michy Batshuayi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</si>
  <si>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Steve Mandanda</t>
    </r>
  </si>
  <si>
    <r>
      <rPr>
        <u/>
        <sz val="10"/>
        <color rgb="FF1155CC"/>
        <rFont val="Verdana, sans-serif"/>
      </rPr>
      <t>Nantes</t>
    </r>
  </si>
  <si>
    <r>
      <rPr>
        <u/>
        <sz val="10"/>
        <color rgb="FF1155CC"/>
        <rFont val="Verdana, sans-serif"/>
      </rPr>
      <t>Emiliano Sala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</si>
  <si>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Rémy Riou</t>
    </r>
  </si>
  <si>
    <r>
      <rPr>
        <u/>
        <sz val="10"/>
        <color rgb="FF1155CC"/>
        <rFont val="Verdana, sans-serif"/>
      </rPr>
      <t>Lorient</t>
    </r>
  </si>
  <si>
    <r>
      <rPr>
        <u/>
        <sz val="10"/>
        <color rgb="FF1155CC"/>
        <rFont val="Verdana, sans-serif"/>
      </rPr>
      <t>Benjamin Moukandjo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</si>
  <si>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Benjamin Lecomte</t>
    </r>
  </si>
  <si>
    <r>
      <rPr>
        <u/>
        <sz val="10"/>
        <color rgb="FF1155CC"/>
        <rFont val="Verdana, sans-serif"/>
      </rPr>
      <t>Guingamp</t>
    </r>
  </si>
  <si>
    <r>
      <rPr>
        <u/>
        <sz val="10"/>
        <color rgb="FF1155CC"/>
        <rFont val="Verdana, sans-serif"/>
      </rPr>
      <t>Jimmy Briand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Yannis Salibur</t>
    </r>
    <r>
      <rPr>
        <sz val="10"/>
        <rFont val="Verdana, sans-serif"/>
      </rPr>
      <t>... - 7</t>
    </r>
  </si>
  <si>
    <r>
      <rPr>
        <u/>
        <sz val="10"/>
        <color rgb="FF1155CC"/>
        <rFont val="Verdana, sans-serif"/>
      </rPr>
      <t>Jonas Lössl</t>
    </r>
  </si>
  <si>
    <r>
      <rPr>
        <u/>
        <sz val="10"/>
        <color rgb="FF1155CC"/>
        <rFont val="Verdana, sans-serif"/>
      </rPr>
      <t>Toulouse</t>
    </r>
  </si>
  <si>
    <r>
      <rPr>
        <u/>
        <sz val="10"/>
        <color rgb="FF1155CC"/>
        <rFont val="Verdana, sans-serif"/>
      </rPr>
      <t>Wissam Ben Yedder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</si>
  <si>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Alban Lafont</t>
    </r>
  </si>
  <si>
    <r>
      <rPr>
        <u/>
        <sz val="10"/>
        <color rgb="FF1155CC"/>
        <rFont val="Verdana, sans-serif"/>
      </rPr>
      <t>Reims</t>
    </r>
  </si>
  <si>
    <r>
      <rPr>
        <u/>
        <sz val="10"/>
        <color rgb="FF1155CC"/>
        <rFont val="Verdana, sans-serif"/>
      </rPr>
      <t>Nicolas de Préville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</si>
  <si>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Johny Placide</t>
    </r>
  </si>
  <si>
    <r>
      <rPr>
        <u/>
        <sz val="10"/>
        <color rgb="FF1155CC"/>
        <rFont val="Verdana, sans-serif"/>
      </rPr>
      <t>Gazélec Ajaccio</t>
    </r>
  </si>
  <si>
    <r>
      <rPr>
        <u/>
        <sz val="10"/>
        <color rgb="FF1155CC"/>
        <rFont val="Verdana, sans-serif"/>
      </rPr>
      <t>Mohamed Larbi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</si>
  <si>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Clément Maury</t>
    </r>
  </si>
  <si>
    <r>
      <rPr>
        <u/>
        <sz val="10"/>
        <color rgb="FF1155CC"/>
        <rFont val="Verdana, sans-serif"/>
      </rPr>
      <t>Troyes</t>
    </r>
  </si>
  <si>
    <r>
      <rPr>
        <u/>
        <sz val="10"/>
        <color rgb="FF1155CC"/>
        <rFont val="Verdana, sans-serif"/>
      </rPr>
      <t>Fabien Camus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</si>
  <si>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Matthieu Dreyer</t>
    </r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</si>
  <si>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</si>
  <si>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Mohamed Salah</t>
    </r>
    <r>
      <rPr>
        <sz val="10"/>
        <rFont val="Verdana, sans-serif"/>
      </rPr>
      <t xml:space="preserve"> - 29</t>
    </r>
  </si>
  <si>
    <r>
      <rPr>
        <u/>
        <sz val="10"/>
        <color rgb="FF1155CC"/>
        <rFont val="Verdana, sans-serif"/>
      </rPr>
      <t>Alisson</t>
    </r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</si>
  <si>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</si>
  <si>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Kai Havertz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</si>
  <si>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David Raya</t>
    </r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</si>
  <si>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</si>
  <si>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Erling Haaland</t>
    </r>
    <r>
      <rPr>
        <sz val="10"/>
        <rFont val="Verdana, sans-serif"/>
      </rPr>
      <t xml:space="preserve"> - 22</t>
    </r>
  </si>
  <si>
    <r>
      <rPr>
        <u/>
        <sz val="10"/>
        <color rgb="FF1155CC"/>
        <rFont val="Verdana, sans-serif"/>
      </rPr>
      <t>Ederson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</si>
  <si>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</si>
  <si>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Cole Palmer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</si>
  <si>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Robert Sánchez</t>
    </r>
  </si>
  <si>
    <r>
      <rPr>
        <u/>
        <sz val="10"/>
        <color rgb="FF1155CC"/>
        <rFont val="Verdana, sans-serif"/>
      </rPr>
      <t>Newcastle Utd</t>
    </r>
  </si>
  <si>
    <r>
      <rPr>
        <u/>
        <sz val="10"/>
        <color rgb="FF1155CC"/>
        <rFont val="Verdana, sans-serif"/>
      </rPr>
      <t>Alexander Isak</t>
    </r>
    <r>
      <rPr>
        <sz val="10"/>
        <rFont val="Verdana, sans-serif"/>
      </rPr>
      <t xml:space="preserve"> - 23</t>
    </r>
  </si>
  <si>
    <r>
      <rPr>
        <u/>
        <sz val="10"/>
        <color rgb="FF1155CC"/>
        <rFont val="Verdana, sans-serif"/>
      </rPr>
      <t>Nick Pope</t>
    </r>
  </si>
  <si>
    <r>
      <rPr>
        <u/>
        <sz val="10"/>
        <color rgb="FF1155CC"/>
        <rFont val="Verdana, sans-serif"/>
      </rPr>
      <t>Aston Villa</t>
    </r>
  </si>
  <si>
    <r>
      <rPr>
        <u/>
        <sz val="10"/>
        <color rgb="FF1155CC"/>
        <rFont val="Verdana, sans-serif"/>
      </rPr>
      <t>Ollie Watkins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</si>
  <si>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Emiliano Martínez</t>
    </r>
  </si>
  <si>
    <r>
      <rPr>
        <u/>
        <sz val="10"/>
        <color rgb="FF1155CC"/>
        <rFont val="Verdana, sans-serif"/>
      </rPr>
      <t>Nott'ham Forest</t>
    </r>
  </si>
  <si>
    <r>
      <rPr>
        <u/>
        <sz val="10"/>
        <color rgb="FF1155CC"/>
        <rFont val="Verdana, sans-serif"/>
      </rPr>
      <t>Chris Wood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</si>
  <si>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Matz Sels</t>
    </r>
  </si>
  <si>
    <r>
      <rPr>
        <u/>
        <sz val="10"/>
        <color rgb="FF1155CC"/>
        <rFont val="Verdana, sans-serif"/>
      </rPr>
      <t>Brighton</t>
    </r>
  </si>
  <si>
    <r>
      <rPr>
        <u/>
        <sz val="10"/>
        <color rgb="FF1155CC"/>
        <rFont val="Verdana, sans-serif"/>
      </rPr>
      <t>Danny Welbeck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Kaoru Mitoma</t>
    </r>
    <r>
      <rPr>
        <sz val="10"/>
        <rFont val="Verdana, sans-serif"/>
      </rPr>
      <t>... - 10</t>
    </r>
  </si>
  <si>
    <r>
      <rPr>
        <u/>
        <sz val="10"/>
        <color rgb="FF1155CC"/>
        <rFont val="Verdana, sans-serif"/>
      </rPr>
      <t>Bart Verbruggen</t>
    </r>
  </si>
  <si>
    <r>
      <rPr>
        <u/>
        <sz val="10"/>
        <color rgb="FF1155CC"/>
        <rFont val="Verdana, sans-serif"/>
      </rPr>
      <t>Bournemouth</t>
    </r>
  </si>
  <si>
    <r>
      <rPr>
        <u/>
        <sz val="10"/>
        <color rgb="FF1155CC"/>
        <rFont val="Verdana, sans-serif"/>
      </rPr>
      <t>Justin Kluivert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</si>
  <si>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Kepa Arrizabalaga</t>
    </r>
  </si>
  <si>
    <r>
      <rPr>
        <u/>
        <sz val="10"/>
        <color rgb="FF1155CC"/>
        <rFont val="Verdana, sans-serif"/>
      </rPr>
      <t>Brentford</t>
    </r>
  </si>
  <si>
    <r>
      <rPr>
        <u/>
        <sz val="10"/>
        <color rgb="FF1155CC"/>
        <rFont val="Verdana, sans-serif"/>
      </rPr>
      <t>Bryan Mbeumo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</si>
  <si>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Mark Flekken</t>
    </r>
  </si>
  <si>
    <r>
      <rPr>
        <u/>
        <sz val="10"/>
        <color rgb="FF1155CC"/>
        <rFont val="Verdana, sans-serif"/>
      </rPr>
      <t>Fulham</t>
    </r>
  </si>
  <si>
    <r>
      <rPr>
        <u/>
        <sz val="10"/>
        <color rgb="FF1155CC"/>
        <rFont val="Verdana, sans-serif"/>
      </rPr>
      <t>Raúl Jiménez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</si>
  <si>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Bernd Leno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</si>
  <si>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</si>
  <si>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Jean-Philippe Mateta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</si>
  <si>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Dean Henderson</t>
    </r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</si>
  <si>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</si>
  <si>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Iliman Ndiaye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</si>
  <si>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Jordan Pickford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</si>
  <si>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</si>
  <si>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Jarrod Bowen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</si>
  <si>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Alphonse Areola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</si>
  <si>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</si>
  <si>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Bruno Fernandes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Amad Diallo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</si>
  <si>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André Onana</t>
    </r>
  </si>
  <si>
    <r>
      <rPr>
        <u/>
        <sz val="10"/>
        <color rgb="FF1155CC"/>
        <rFont val="Verdana, sans-serif"/>
      </rPr>
      <t>Wolves</t>
    </r>
  </si>
  <si>
    <r>
      <rPr>
        <u/>
        <sz val="10"/>
        <color rgb="FF1155CC"/>
        <rFont val="Verdana, sans-serif"/>
      </rPr>
      <t>Matheus Cunha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</si>
  <si>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José Sá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</si>
  <si>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</si>
  <si>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Brennan Johnson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</si>
  <si>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Guglielmo Vicario</t>
    </r>
  </si>
  <si>
    <t>→ Champions League</t>
  </si>
  <si>
    <r>
      <rPr>
        <u/>
        <sz val="10"/>
        <color rgb="FF1155CC"/>
        <rFont val="Verdana, sans-serif"/>
      </rPr>
      <t>Leicester City</t>
    </r>
  </si>
  <si>
    <r>
      <rPr>
        <u/>
        <sz val="10"/>
        <color rgb="FF1155CC"/>
        <rFont val="Verdana, sans-serif"/>
      </rPr>
      <t>Jamie Vardy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</si>
  <si>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Mads Hermansen</t>
    </r>
  </si>
  <si>
    <r>
      <rPr>
        <u/>
        <sz val="10"/>
        <color rgb="FF1155CC"/>
        <rFont val="Verdana, sans-serif"/>
      </rPr>
      <t>Ipswich Town</t>
    </r>
  </si>
  <si>
    <r>
      <rPr>
        <u/>
        <sz val="10"/>
        <color rgb="FF1155CC"/>
        <rFont val="Verdana, sans-serif"/>
      </rPr>
      <t>Liam Delap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</si>
  <si>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Arijanet Muric</t>
    </r>
  </si>
  <si>
    <r>
      <rPr>
        <u/>
        <sz val="10"/>
        <color rgb="FF1155CC"/>
        <rFont val="Verdana, sans-serif"/>
      </rPr>
      <t>Southampton</t>
    </r>
  </si>
  <si>
    <r>
      <rPr>
        <u/>
        <sz val="10"/>
        <color rgb="FF1155CC"/>
        <rFont val="Verdana, sans-serif"/>
      </rPr>
      <t>Paul Onuachu</t>
    </r>
    <r>
      <rPr>
        <sz val="10"/>
        <rFont val="Verdana, sans-serif"/>
      </rPr>
      <t xml:space="preserve"> - 4</t>
    </r>
  </si>
  <si>
    <r>
      <rPr>
        <u/>
        <sz val="10"/>
        <color rgb="FF1155CC"/>
        <rFont val="Verdana, sans-serif"/>
      </rPr>
      <t>Aaron Ramsdale</t>
    </r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</si>
  <si>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</si>
  <si>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Erling Haaland</t>
    </r>
    <r>
      <rPr>
        <sz val="10"/>
        <rFont val="Verdana, sans-serif"/>
      </rPr>
      <t xml:space="preserve"> - 27</t>
    </r>
  </si>
  <si>
    <r>
      <rPr>
        <u/>
        <sz val="10"/>
        <color rgb="FF1155CC"/>
        <rFont val="Verdana, sans-serif"/>
      </rPr>
      <t>Ederson</t>
    </r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</si>
  <si>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</si>
  <si>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Bukayo Saka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</si>
  <si>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David Raya</t>
    </r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</si>
  <si>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</si>
  <si>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Mohamed Salah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</si>
  <si>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Alisson</t>
    </r>
  </si>
  <si>
    <r>
      <rPr>
        <u/>
        <sz val="10"/>
        <color rgb="FF1155CC"/>
        <rFont val="Verdana, sans-serif"/>
      </rPr>
      <t>Aston Villa</t>
    </r>
  </si>
  <si>
    <r>
      <rPr>
        <u/>
        <sz val="10"/>
        <color rgb="FF1155CC"/>
        <rFont val="Verdana, sans-serif"/>
      </rPr>
      <t>Ollie Watkins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</si>
  <si>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Emiliano Martínez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</si>
  <si>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</si>
  <si>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Son Heung-min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</si>
  <si>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Guglielmo Vicario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</si>
  <si>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</si>
  <si>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Cole Palmer</t>
    </r>
    <r>
      <rPr>
        <sz val="10"/>
        <rFont val="Verdana, sans-serif"/>
      </rPr>
      <t xml:space="preserve"> - 22</t>
    </r>
  </si>
  <si>
    <r>
      <rPr>
        <u/>
        <sz val="10"/>
        <color rgb="FF1155CC"/>
        <rFont val="Verdana, sans-serif"/>
      </rPr>
      <t>Đorđe Petrović</t>
    </r>
  </si>
  <si>
    <r>
      <rPr>
        <u/>
        <sz val="10"/>
        <color rgb="FF1155CC"/>
        <rFont val="Verdana, sans-serif"/>
      </rPr>
      <t>Newcastle Utd</t>
    </r>
  </si>
  <si>
    <r>
      <rPr>
        <u/>
        <sz val="10"/>
        <color rgb="FF1155CC"/>
        <rFont val="Verdana, sans-serif"/>
      </rPr>
      <t>Alexander Isak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</si>
  <si>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Martin Dúbravka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</si>
  <si>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</si>
  <si>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Rasmus Højlund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Bruno Fernandes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</si>
  <si>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André Onana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</si>
  <si>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</si>
  <si>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Jarrod Bowen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</si>
  <si>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Alphonse Areola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</si>
  <si>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</si>
  <si>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Jean-Philippe Mateta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</si>
  <si>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Sam Johnstone</t>
    </r>
  </si>
  <si>
    <r>
      <rPr>
        <u/>
        <sz val="10"/>
        <color rgb="FF1155CC"/>
        <rFont val="Verdana, sans-serif"/>
      </rPr>
      <t>Brighton</t>
    </r>
  </si>
  <si>
    <r>
      <rPr>
        <u/>
        <sz val="10"/>
        <color rgb="FF1155CC"/>
        <rFont val="Verdana, sans-serif"/>
      </rPr>
      <t>João Pedro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</si>
  <si>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Bart Verbruggen</t>
    </r>
  </si>
  <si>
    <r>
      <rPr>
        <u/>
        <sz val="10"/>
        <color rgb="FF1155CC"/>
        <rFont val="Verdana, sans-serif"/>
      </rPr>
      <t>Bournemouth</t>
    </r>
  </si>
  <si>
    <r>
      <rPr>
        <u/>
        <sz val="10"/>
        <color rgb="FF1155CC"/>
        <rFont val="Verdana, sans-serif"/>
      </rPr>
      <t>Dominic Solanke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</si>
  <si>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Neto</t>
    </r>
  </si>
  <si>
    <r>
      <rPr>
        <u/>
        <sz val="10"/>
        <color rgb="FF1155CC"/>
        <rFont val="Verdana, sans-serif"/>
      </rPr>
      <t>Fulham</t>
    </r>
  </si>
  <si>
    <r>
      <rPr>
        <u/>
        <sz val="10"/>
        <color rgb="FF1155CC"/>
        <rFont val="Verdana, sans-serif"/>
      </rPr>
      <t>Rodrigo Muniz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</si>
  <si>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Bernd Leno</t>
    </r>
  </si>
  <si>
    <r>
      <rPr>
        <u/>
        <sz val="10"/>
        <color rgb="FF1155CC"/>
        <rFont val="Verdana, sans-serif"/>
      </rPr>
      <t>Wolves</t>
    </r>
  </si>
  <si>
    <r>
      <rPr>
        <u/>
        <sz val="10"/>
        <color rgb="FF1155CC"/>
        <rFont val="Verdana, sans-serif"/>
      </rPr>
      <t>Hwang Hee-chan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Matheus Cunha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</si>
  <si>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José Sá</t>
    </r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</si>
  <si>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</si>
  <si>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Abdoulaye Doucouré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Dominic Calvert-Lewin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</si>
  <si>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Jordan Pickford</t>
    </r>
  </si>
  <si>
    <t>8-point deduction 1</t>
  </si>
  <si>
    <r>
      <rPr>
        <u/>
        <sz val="10"/>
        <color rgb="FF1155CC"/>
        <rFont val="Verdana, sans-serif"/>
      </rPr>
      <t>Brentford</t>
    </r>
  </si>
  <si>
    <r>
      <rPr>
        <u/>
        <sz val="10"/>
        <color rgb="FF1155CC"/>
        <rFont val="Verdana, sans-serif"/>
      </rPr>
      <t>Yoane Wissa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</si>
  <si>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Mark Flekken</t>
    </r>
  </si>
  <si>
    <r>
      <rPr>
        <u/>
        <sz val="10"/>
        <color rgb="FF1155CC"/>
        <rFont val="Verdana, sans-serif"/>
      </rPr>
      <t>Nott'ham Forest</t>
    </r>
  </si>
  <si>
    <r>
      <rPr>
        <u/>
        <sz val="10"/>
        <color rgb="FF1155CC"/>
        <rFont val="Verdana, sans-serif"/>
      </rPr>
      <t>Chris Wood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</si>
  <si>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Matt Turner</t>
    </r>
  </si>
  <si>
    <t>4-point deduction 2</t>
  </si>
  <si>
    <r>
      <rPr>
        <u/>
        <sz val="10"/>
        <color rgb="FF1155CC"/>
        <rFont val="Verdana, sans-serif"/>
      </rPr>
      <t>Luton Town</t>
    </r>
  </si>
  <si>
    <r>
      <rPr>
        <u/>
        <sz val="10"/>
        <color rgb="FF1155CC"/>
        <rFont val="Verdana, sans-serif"/>
      </rPr>
      <t>Carlton Morris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</si>
  <si>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Thomas Kaminski</t>
    </r>
  </si>
  <si>
    <r>
      <rPr>
        <u/>
        <sz val="10"/>
        <color rgb="FF1155CC"/>
        <rFont val="Verdana, sans-serif"/>
      </rPr>
      <t>Burnley</t>
    </r>
  </si>
  <si>
    <r>
      <rPr>
        <u/>
        <sz val="10"/>
        <color rgb="FF1155CC"/>
        <rFont val="Verdana, sans-serif"/>
      </rPr>
      <t>Jacob Bruun Larsen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</si>
  <si>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James Trafford</t>
    </r>
  </si>
  <si>
    <r>
      <rPr>
        <u/>
        <sz val="10"/>
        <color rgb="FF1155CC"/>
        <rFont val="Verdana, sans-serif"/>
      </rPr>
      <t>Sheffield Utd</t>
    </r>
  </si>
  <si>
    <r>
      <rPr>
        <u/>
        <sz val="10"/>
        <color rgb="FF1155CC"/>
        <rFont val="Verdana, sans-serif"/>
      </rPr>
      <t>Oliver McBurnie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Ben Brereton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</si>
  <si>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Wes Foderingham</t>
    </r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</si>
  <si>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</si>
  <si>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Erling Haaland</t>
    </r>
    <r>
      <rPr>
        <sz val="10"/>
        <rFont val="Verdana, sans-serif"/>
      </rPr>
      <t xml:space="preserve"> - 36</t>
    </r>
  </si>
  <si>
    <r>
      <rPr>
        <u/>
        <sz val="10"/>
        <color rgb="FF1155CC"/>
        <rFont val="Verdana, sans-serif"/>
      </rPr>
      <t>Ederson</t>
    </r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</si>
  <si>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</si>
  <si>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Martin Ødegaard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Gabriel Martinelli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</si>
  <si>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Aaron Ramsdale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</si>
  <si>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</si>
  <si>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Marcus Rashford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</si>
  <si>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David de Gea</t>
    </r>
  </si>
  <si>
    <r>
      <rPr>
        <u/>
        <sz val="10"/>
        <color rgb="FF1155CC"/>
        <rFont val="Verdana, sans-serif"/>
      </rPr>
      <t>Newcastle Utd</t>
    </r>
  </si>
  <si>
    <r>
      <rPr>
        <u/>
        <sz val="10"/>
        <color rgb="FF1155CC"/>
        <rFont val="Verdana, sans-serif"/>
      </rPr>
      <t>Callum Wilson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</si>
  <si>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Nick Pope</t>
    </r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</si>
  <si>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</si>
  <si>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Mohamed Salah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</si>
  <si>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Alisson</t>
    </r>
  </si>
  <si>
    <r>
      <rPr>
        <u/>
        <sz val="10"/>
        <color rgb="FF1155CC"/>
        <rFont val="Verdana, sans-serif"/>
      </rPr>
      <t>Brighton</t>
    </r>
  </si>
  <si>
    <r>
      <rPr>
        <u/>
        <sz val="10"/>
        <color rgb="FF1155CC"/>
        <rFont val="Verdana, sans-serif"/>
      </rPr>
      <t>Alexis Mac Allister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</si>
  <si>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Robert Sánchez</t>
    </r>
  </si>
  <si>
    <r>
      <rPr>
        <u/>
        <sz val="10"/>
        <color rgb="FF1155CC"/>
        <rFont val="Verdana, sans-serif"/>
      </rPr>
      <t>Aston Villa</t>
    </r>
  </si>
  <si>
    <r>
      <rPr>
        <u/>
        <sz val="10"/>
        <color rgb="FF1155CC"/>
        <rFont val="Verdana, sans-serif"/>
      </rPr>
      <t>Ollie Watkins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</si>
  <si>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Emiliano Martínez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</si>
  <si>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</si>
  <si>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Harry Kane</t>
    </r>
    <r>
      <rPr>
        <sz val="10"/>
        <rFont val="Verdana, sans-serif"/>
      </rPr>
      <t xml:space="preserve"> - 30</t>
    </r>
  </si>
  <si>
    <r>
      <rPr>
        <u/>
        <sz val="10"/>
        <color rgb="FF1155CC"/>
        <rFont val="Verdana, sans-serif"/>
      </rPr>
      <t>Hugo Lloris</t>
    </r>
  </si>
  <si>
    <r>
      <rPr>
        <u/>
        <sz val="10"/>
        <color rgb="FF1155CC"/>
        <rFont val="Verdana, sans-serif"/>
      </rPr>
      <t>Brentford</t>
    </r>
  </si>
  <si>
    <r>
      <rPr>
        <u/>
        <sz val="10"/>
        <color rgb="FF1155CC"/>
        <rFont val="Verdana, sans-serif"/>
      </rPr>
      <t>Ivan Toney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</si>
  <si>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David Raya</t>
    </r>
  </si>
  <si>
    <r>
      <rPr>
        <u/>
        <sz val="10"/>
        <color rgb="FF1155CC"/>
        <rFont val="Verdana, sans-serif"/>
      </rPr>
      <t>Fulham</t>
    </r>
  </si>
  <si>
    <r>
      <rPr>
        <u/>
        <sz val="10"/>
        <color rgb="FF1155CC"/>
        <rFont val="Verdana, sans-serif"/>
      </rPr>
      <t>Aleksandar Mitrović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</si>
  <si>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Bernd Leno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</si>
  <si>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</si>
  <si>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Eberechi Eze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</si>
  <si>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Vicente Guaita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</si>
  <si>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</si>
  <si>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Kai Havertz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</si>
  <si>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Kepa Arrizabalaga</t>
    </r>
  </si>
  <si>
    <r>
      <rPr>
        <u/>
        <sz val="10"/>
        <color rgb="FF1155CC"/>
        <rFont val="Verdana, sans-serif"/>
      </rPr>
      <t>Wolves</t>
    </r>
  </si>
  <si>
    <r>
      <rPr>
        <u/>
        <sz val="10"/>
        <color rgb="FF1155CC"/>
        <rFont val="Verdana, sans-serif"/>
      </rPr>
      <t>Rúben Neves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Daniel Podence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</si>
  <si>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José Sá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</si>
  <si>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</si>
  <si>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Saïd Benrahma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Jarrod Bowen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</si>
  <si>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Łukasz Fabiański</t>
    </r>
  </si>
  <si>
    <r>
      <rPr>
        <u/>
        <sz val="10"/>
        <color rgb="FF1155CC"/>
        <rFont val="Verdana, sans-serif"/>
      </rPr>
      <t>Bournemouth</t>
    </r>
  </si>
  <si>
    <r>
      <rPr>
        <u/>
        <sz val="10"/>
        <color rgb="FF1155CC"/>
        <rFont val="Verdana, sans-serif"/>
      </rPr>
      <t>Philip Billing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</si>
  <si>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Neto</t>
    </r>
  </si>
  <si>
    <r>
      <rPr>
        <u/>
        <sz val="10"/>
        <color rgb="FF1155CC"/>
        <rFont val="Verdana, sans-serif"/>
      </rPr>
      <t>Nott'ham Forest</t>
    </r>
  </si>
  <si>
    <r>
      <rPr>
        <u/>
        <sz val="10"/>
        <color rgb="FF1155CC"/>
        <rFont val="Verdana, sans-serif"/>
      </rPr>
      <t>Taiwo Awoniyi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</si>
  <si>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Dean Henderson</t>
    </r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</si>
  <si>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</si>
  <si>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Dwight McNeil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</si>
  <si>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Jordan Pickford</t>
    </r>
  </si>
  <si>
    <r>
      <rPr>
        <u/>
        <sz val="10"/>
        <color rgb="FF1155CC"/>
        <rFont val="Verdana, sans-serif"/>
      </rPr>
      <t>Leicester City</t>
    </r>
  </si>
  <si>
    <r>
      <rPr>
        <u/>
        <sz val="10"/>
        <color rgb="FF1155CC"/>
        <rFont val="Verdana, sans-serif"/>
      </rPr>
      <t>Harvey Barnes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</si>
  <si>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Danny Ward</t>
    </r>
  </si>
  <si>
    <r>
      <rPr>
        <u/>
        <sz val="10"/>
        <color rgb="FF1155CC"/>
        <rFont val="Verdana, sans-serif"/>
      </rPr>
      <t>Leeds United</t>
    </r>
  </si>
  <si>
    <r>
      <rPr>
        <u/>
        <sz val="10"/>
        <color rgb="FF1155CC"/>
        <rFont val="Verdana, sans-serif"/>
      </rPr>
      <t>Rodrigo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</si>
  <si>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Illan Meslier</t>
    </r>
  </si>
  <si>
    <r>
      <rPr>
        <u/>
        <sz val="10"/>
        <color rgb="FF1155CC"/>
        <rFont val="Verdana, sans-serif"/>
      </rPr>
      <t>Southampton</t>
    </r>
  </si>
  <si>
    <r>
      <rPr>
        <u/>
        <sz val="10"/>
        <color rgb="FF1155CC"/>
        <rFont val="Verdana, sans-serif"/>
      </rPr>
      <t>James Ward-Prowse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</si>
  <si>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Gavin Bazunu</t>
    </r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</si>
  <si>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</si>
  <si>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Kevin De Bruyne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</si>
  <si>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Ederson</t>
    </r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</si>
  <si>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</si>
  <si>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Mohamed Salah</t>
    </r>
    <r>
      <rPr>
        <sz val="10"/>
        <rFont val="Verdana, sans-serif"/>
      </rPr>
      <t xml:space="preserve"> - 23</t>
    </r>
  </si>
  <si>
    <r>
      <rPr>
        <u/>
        <sz val="10"/>
        <color rgb="FF1155CC"/>
        <rFont val="Verdana, sans-serif"/>
      </rPr>
      <t>Alisson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</si>
  <si>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</si>
  <si>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Mason Mount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</si>
  <si>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Edouard Mendy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</si>
  <si>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</si>
  <si>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Son Heung-min</t>
    </r>
    <r>
      <rPr>
        <sz val="10"/>
        <rFont val="Verdana, sans-serif"/>
      </rPr>
      <t xml:space="preserve"> - 23</t>
    </r>
  </si>
  <si>
    <r>
      <rPr>
        <u/>
        <sz val="10"/>
        <color rgb="FF1155CC"/>
        <rFont val="Verdana, sans-serif"/>
      </rPr>
      <t>Hugo Lloris</t>
    </r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</si>
  <si>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</si>
  <si>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Bukayo Saka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</si>
  <si>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Aaron Ramsdale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</si>
  <si>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</si>
  <si>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Cristiano Ronaldo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</si>
  <si>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David de Gea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</si>
  <si>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</si>
  <si>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Jarrod Bowen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</si>
  <si>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Łukasz Fabiański</t>
    </r>
  </si>
  <si>
    <r>
      <rPr>
        <u/>
        <sz val="10"/>
        <color rgb="FF1155CC"/>
        <rFont val="Verdana, sans-serif"/>
      </rPr>
      <t>Leicester City</t>
    </r>
  </si>
  <si>
    <r>
      <rPr>
        <u/>
        <sz val="10"/>
        <color rgb="FF1155CC"/>
        <rFont val="Verdana, sans-serif"/>
      </rPr>
      <t>Jamie Vardy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</si>
  <si>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Kasper Schmeichel</t>
    </r>
  </si>
  <si>
    <r>
      <rPr>
        <u/>
        <sz val="10"/>
        <color rgb="FF1155CC"/>
        <rFont val="Verdana, sans-serif"/>
      </rPr>
      <t>Brighton</t>
    </r>
  </si>
  <si>
    <r>
      <rPr>
        <u/>
        <sz val="10"/>
        <color rgb="FF1155CC"/>
        <rFont val="Verdana, sans-serif"/>
      </rPr>
      <t>Leandro Trossard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Neal Maupay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</si>
  <si>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Robert Sánchez</t>
    </r>
  </si>
  <si>
    <r>
      <rPr>
        <u/>
        <sz val="10"/>
        <color rgb="FF1155CC"/>
        <rFont val="Verdana, sans-serif"/>
      </rPr>
      <t>Wolves</t>
    </r>
  </si>
  <si>
    <r>
      <rPr>
        <u/>
        <sz val="10"/>
        <color rgb="FF1155CC"/>
        <rFont val="Verdana, sans-serif"/>
      </rPr>
      <t>Raúl Jiménez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</si>
  <si>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José Sá</t>
    </r>
  </si>
  <si>
    <r>
      <rPr>
        <u/>
        <sz val="10"/>
        <color rgb="FF1155CC"/>
        <rFont val="Verdana, sans-serif"/>
      </rPr>
      <t>Newcastle Utd</t>
    </r>
  </si>
  <si>
    <r>
      <rPr>
        <u/>
        <sz val="10"/>
        <color rgb="FF1155CC"/>
        <rFont val="Verdana, sans-serif"/>
      </rPr>
      <t>Callum Wilson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</si>
  <si>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Martin Dúbravka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</si>
  <si>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</si>
  <si>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Wilfried Zaha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</si>
  <si>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Vicente Guaita</t>
    </r>
  </si>
  <si>
    <r>
      <rPr>
        <u/>
        <sz val="10"/>
        <color rgb="FF1155CC"/>
        <rFont val="Verdana, sans-serif"/>
      </rPr>
      <t>Brentford</t>
    </r>
  </si>
  <si>
    <r>
      <rPr>
        <u/>
        <sz val="10"/>
        <color rgb="FF1155CC"/>
        <rFont val="Verdana, sans-serif"/>
      </rPr>
      <t>Ivan Toney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</si>
  <si>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David Raya</t>
    </r>
  </si>
  <si>
    <r>
      <rPr>
        <u/>
        <sz val="10"/>
        <color rgb="FF1155CC"/>
        <rFont val="Verdana, sans-serif"/>
      </rPr>
      <t>Aston Villa</t>
    </r>
  </si>
  <si>
    <r>
      <rPr>
        <u/>
        <sz val="10"/>
        <color rgb="FF1155CC"/>
        <rFont val="Verdana, sans-serif"/>
      </rPr>
      <t>Ollie Watkins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</si>
  <si>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Emiliano Martínez</t>
    </r>
  </si>
  <si>
    <r>
      <rPr>
        <u/>
        <sz val="10"/>
        <color rgb="FF1155CC"/>
        <rFont val="Verdana, sans-serif"/>
      </rPr>
      <t>Southampton</t>
    </r>
  </si>
  <si>
    <r>
      <rPr>
        <u/>
        <sz val="10"/>
        <color rgb="FF1155CC"/>
        <rFont val="Verdana, sans-serif"/>
      </rPr>
      <t>James Ward-Prowse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</si>
  <si>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Fraser Forster</t>
    </r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</si>
  <si>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</si>
  <si>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Richarlison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</si>
  <si>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Jordan Pickford</t>
    </r>
  </si>
  <si>
    <r>
      <rPr>
        <u/>
        <sz val="10"/>
        <color rgb="FF1155CC"/>
        <rFont val="Verdana, sans-serif"/>
      </rPr>
      <t>Leeds United</t>
    </r>
  </si>
  <si>
    <r>
      <rPr>
        <u/>
        <sz val="10"/>
        <color rgb="FF1155CC"/>
        <rFont val="Verdana, sans-serif"/>
      </rPr>
      <t>Raphinha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</si>
  <si>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Illan Meslier</t>
    </r>
  </si>
  <si>
    <r>
      <rPr>
        <u/>
        <sz val="10"/>
        <color rgb="FF1155CC"/>
        <rFont val="Verdana, sans-serif"/>
      </rPr>
      <t>Burnley</t>
    </r>
  </si>
  <si>
    <r>
      <rPr>
        <u/>
        <sz val="10"/>
        <color rgb="FF1155CC"/>
        <rFont val="Verdana, sans-serif"/>
      </rPr>
      <t>Maxwel Cornet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</si>
  <si>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Nick Pope</t>
    </r>
  </si>
  <si>
    <r>
      <rPr>
        <u/>
        <sz val="10"/>
        <color rgb="FF1155CC"/>
        <rFont val="Verdana, sans-serif"/>
      </rPr>
      <t>Watford</t>
    </r>
  </si>
  <si>
    <r>
      <rPr>
        <u/>
        <sz val="10"/>
        <color rgb="FF1155CC"/>
        <rFont val="Verdana, sans-serif"/>
      </rPr>
      <t>Emmanuel Dennis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</si>
  <si>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Ben Foster</t>
    </r>
  </si>
  <si>
    <r>
      <rPr>
        <u/>
        <sz val="10"/>
        <color rgb="FF1155CC"/>
        <rFont val="Verdana, sans-serif"/>
      </rPr>
      <t>Norwich City</t>
    </r>
  </si>
  <si>
    <r>
      <rPr>
        <u/>
        <sz val="10"/>
        <color rgb="FF1155CC"/>
        <rFont val="Verdana, sans-serif"/>
      </rPr>
      <t>Teemu Pukki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</si>
  <si>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Tim Krul</t>
    </r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</si>
  <si>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</si>
  <si>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İlkay Gündoğan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</si>
  <si>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Ederson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</si>
  <si>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</si>
  <si>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Bruno Fernandes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</si>
  <si>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David de Gea</t>
    </r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</si>
  <si>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</si>
  <si>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Mohamed Salah</t>
    </r>
    <r>
      <rPr>
        <sz val="10"/>
        <rFont val="Verdana, sans-serif"/>
      </rPr>
      <t xml:space="preserve"> - 22</t>
    </r>
  </si>
  <si>
    <r>
      <rPr>
        <u/>
        <sz val="10"/>
        <color rgb="FF1155CC"/>
        <rFont val="Verdana, sans-serif"/>
      </rPr>
      <t>Alisson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</si>
  <si>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</si>
  <si>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Jorginho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</si>
  <si>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Edouard Mendy</t>
    </r>
  </si>
  <si>
    <r>
      <rPr>
        <u/>
        <sz val="10"/>
        <color rgb="FF1155CC"/>
        <rFont val="Verdana, sans-serif"/>
      </rPr>
      <t>Leicester City</t>
    </r>
  </si>
  <si>
    <r>
      <rPr>
        <u/>
        <sz val="10"/>
        <color rgb="FF1155CC"/>
        <rFont val="Verdana, sans-serif"/>
      </rPr>
      <t>Jamie Vardy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</si>
  <si>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Kasper Schmeichel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</si>
  <si>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</si>
  <si>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Michail Antonio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Tomáš Souček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</si>
  <si>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Łukasz Fabiański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</si>
  <si>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</si>
  <si>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Harry Kane</t>
    </r>
    <r>
      <rPr>
        <sz val="10"/>
        <rFont val="Verdana, sans-serif"/>
      </rPr>
      <t xml:space="preserve"> - 23</t>
    </r>
  </si>
  <si>
    <r>
      <rPr>
        <u/>
        <sz val="10"/>
        <color rgb="FF1155CC"/>
        <rFont val="Verdana, sans-serif"/>
      </rPr>
      <t>Hugo Lloris</t>
    </r>
  </si>
  <si>
    <t>→ Europa Conference League via league finish 1</t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</si>
  <si>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</si>
  <si>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Alexandre Lacazette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</si>
  <si>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Bernd Leno</t>
    </r>
  </si>
  <si>
    <r>
      <rPr>
        <u/>
        <sz val="10"/>
        <color rgb="FF1155CC"/>
        <rFont val="Verdana, sans-serif"/>
      </rPr>
      <t>Leeds United</t>
    </r>
  </si>
  <si>
    <r>
      <rPr>
        <u/>
        <sz val="10"/>
        <color rgb="FF1155CC"/>
        <rFont val="Verdana, sans-serif"/>
      </rPr>
      <t>Patrick Bamford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</si>
  <si>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Illan Meslier</t>
    </r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</si>
  <si>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</si>
  <si>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Dominic Calvert-Lewin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</si>
  <si>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Jordan Pickford</t>
    </r>
  </si>
  <si>
    <r>
      <rPr>
        <u/>
        <sz val="10"/>
        <color rgb="FF1155CC"/>
        <rFont val="Verdana, sans-serif"/>
      </rPr>
      <t>Aston Villa</t>
    </r>
  </si>
  <si>
    <r>
      <rPr>
        <u/>
        <sz val="10"/>
        <color rgb="FF1155CC"/>
        <rFont val="Verdana, sans-serif"/>
      </rPr>
      <t>Ollie Watkins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</si>
  <si>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Emiliano Martínez</t>
    </r>
  </si>
  <si>
    <r>
      <rPr>
        <u/>
        <sz val="10"/>
        <color rgb="FF1155CC"/>
        <rFont val="Verdana, sans-serif"/>
      </rPr>
      <t>Newcastle Utd</t>
    </r>
  </si>
  <si>
    <r>
      <rPr>
        <u/>
        <sz val="10"/>
        <color rgb="FF1155CC"/>
        <rFont val="Verdana, sans-serif"/>
      </rPr>
      <t>Callum Wilson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</si>
  <si>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Karl Darlow</t>
    </r>
  </si>
  <si>
    <r>
      <rPr>
        <u/>
        <sz val="10"/>
        <color rgb="FF1155CC"/>
        <rFont val="Verdana, sans-serif"/>
      </rPr>
      <t>Wolves</t>
    </r>
  </si>
  <si>
    <r>
      <rPr>
        <u/>
        <sz val="10"/>
        <color rgb="FF1155CC"/>
        <rFont val="Verdana, sans-serif"/>
      </rPr>
      <t>Rúben Neves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Pedro Neto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</si>
  <si>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Rui Patrício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</si>
  <si>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</si>
  <si>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Wilfried Zaha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</si>
  <si>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Vicente Guaita</t>
    </r>
  </si>
  <si>
    <r>
      <rPr>
        <u/>
        <sz val="10"/>
        <color rgb="FF1155CC"/>
        <rFont val="Verdana, sans-serif"/>
      </rPr>
      <t>Southampton</t>
    </r>
  </si>
  <si>
    <r>
      <rPr>
        <u/>
        <sz val="10"/>
        <color rgb="FF1155CC"/>
        <rFont val="Verdana, sans-serif"/>
      </rPr>
      <t>Danny Ings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</si>
  <si>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Alex McCarthy</t>
    </r>
  </si>
  <si>
    <r>
      <rPr>
        <u/>
        <sz val="10"/>
        <color rgb="FF1155CC"/>
        <rFont val="Verdana, sans-serif"/>
      </rPr>
      <t>Brighton</t>
    </r>
  </si>
  <si>
    <r>
      <rPr>
        <u/>
        <sz val="10"/>
        <color rgb="FF1155CC"/>
        <rFont val="Verdana, sans-serif"/>
      </rPr>
      <t>Neal Maupay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</si>
  <si>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Robert Sánchez</t>
    </r>
  </si>
  <si>
    <r>
      <rPr>
        <u/>
        <sz val="10"/>
        <color rgb="FF1155CC"/>
        <rFont val="Verdana, sans-serif"/>
      </rPr>
      <t>Burnley</t>
    </r>
  </si>
  <si>
    <r>
      <rPr>
        <u/>
        <sz val="10"/>
        <color rgb="FF1155CC"/>
        <rFont val="Verdana, sans-serif"/>
      </rPr>
      <t>Chris Wood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</si>
  <si>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Nick Pope</t>
    </r>
  </si>
  <si>
    <r>
      <rPr>
        <u/>
        <sz val="10"/>
        <color rgb="FF1155CC"/>
        <rFont val="Verdana, sans-serif"/>
      </rPr>
      <t>Fulham</t>
    </r>
  </si>
  <si>
    <r>
      <rPr>
        <u/>
        <sz val="10"/>
        <color rgb="FF1155CC"/>
        <rFont val="Verdana, sans-serif"/>
      </rPr>
      <t>Bobby De Cordova-Reid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</si>
  <si>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Alphonse Areola</t>
    </r>
  </si>
  <si>
    <r>
      <rPr>
        <u/>
        <sz val="10"/>
        <color rgb="FF1155CC"/>
        <rFont val="Verdana, sans-serif"/>
      </rPr>
      <t>West Brom</t>
    </r>
  </si>
  <si>
    <r>
      <rPr>
        <u/>
        <sz val="10"/>
        <color rgb="FF1155CC"/>
        <rFont val="Verdana, sans-serif"/>
      </rPr>
      <t>Matheus Pereira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</si>
  <si>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Sam Johnstone</t>
    </r>
  </si>
  <si>
    <r>
      <rPr>
        <u/>
        <sz val="10"/>
        <color rgb="FF1155CC"/>
        <rFont val="Verdana, sans-serif"/>
      </rPr>
      <t>Sheffield Utd</t>
    </r>
  </si>
  <si>
    <r>
      <rPr>
        <u/>
        <sz val="10"/>
        <color rgb="FF1155CC"/>
        <rFont val="Verdana, sans-serif"/>
      </rPr>
      <t>David McGoldrick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</si>
  <si>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Aaron Ramsdale</t>
    </r>
  </si>
  <si>
    <t xml:space="preserve">Year </t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</si>
  <si>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</si>
  <si>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Mohamed Salah</t>
    </r>
    <r>
      <rPr>
        <sz val="10"/>
        <rFont val="Verdana, sans-serif"/>
      </rPr>
      <t xml:space="preserve"> - 19</t>
    </r>
  </si>
  <si>
    <r>
      <rPr>
        <u/>
        <sz val="10"/>
        <color rgb="FF1155CC"/>
        <rFont val="Verdana, sans-serif"/>
      </rPr>
      <t>Alisson</t>
    </r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</si>
  <si>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</si>
  <si>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Raheem Sterling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</si>
  <si>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Ederson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</si>
  <si>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</si>
  <si>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Anthony Martial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Marcus Rashford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</si>
  <si>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David de Gea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</si>
  <si>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</si>
  <si>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Tammy Abraham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</si>
  <si>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Kepa Arrizabalaga</t>
    </r>
  </si>
  <si>
    <r>
      <rPr>
        <u/>
        <sz val="10"/>
        <color rgb="FF1155CC"/>
        <rFont val="Verdana, sans-serif"/>
      </rPr>
      <t>Leicester City</t>
    </r>
  </si>
  <si>
    <r>
      <rPr>
        <u/>
        <sz val="10"/>
        <color rgb="FF1155CC"/>
        <rFont val="Verdana, sans-serif"/>
      </rPr>
      <t>Jamie Vardy</t>
    </r>
    <r>
      <rPr>
        <sz val="10"/>
        <rFont val="Verdana, sans-serif"/>
      </rPr>
      <t xml:space="preserve"> - 23</t>
    </r>
  </si>
  <si>
    <r>
      <rPr>
        <u/>
        <sz val="10"/>
        <color rgb="FF1155CC"/>
        <rFont val="Verdana, sans-serif"/>
      </rPr>
      <t>Kasper Schmeichel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</si>
  <si>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</si>
  <si>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Harry Kane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</si>
  <si>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Hugo Lloris</t>
    </r>
  </si>
  <si>
    <r>
      <rPr>
        <u/>
        <sz val="10"/>
        <color rgb="FF1155CC"/>
        <rFont val="Verdana, sans-serif"/>
      </rPr>
      <t>Wolves</t>
    </r>
  </si>
  <si>
    <r>
      <rPr>
        <u/>
        <sz val="10"/>
        <color rgb="FF1155CC"/>
        <rFont val="Verdana, sans-serif"/>
      </rPr>
      <t>Raúl Jiménez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</si>
  <si>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Rui Patrício</t>
    </r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</si>
  <si>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</si>
  <si>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Pierre-Emerick Aubameyang</t>
    </r>
    <r>
      <rPr>
        <sz val="10"/>
        <rFont val="Verdana, sans-serif"/>
      </rPr>
      <t xml:space="preserve"> - 22</t>
    </r>
  </si>
  <si>
    <r>
      <rPr>
        <u/>
        <sz val="10"/>
        <color rgb="FF1155CC"/>
        <rFont val="Verdana, sans-serif"/>
      </rPr>
      <t>Bernd Leno</t>
    </r>
  </si>
  <si>
    <r>
      <rPr>
        <u/>
        <sz val="10"/>
        <color rgb="FF1155CC"/>
        <rFont val="Verdana, sans-serif"/>
      </rPr>
      <t>Sheffield Utd</t>
    </r>
  </si>
  <si>
    <r>
      <rPr>
        <u/>
        <sz val="10"/>
        <color rgb="FF1155CC"/>
        <rFont val="Verdana, sans-serif"/>
      </rPr>
      <t>Lys Mousset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Oliver McBurnie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</si>
  <si>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Dean Henderson</t>
    </r>
  </si>
  <si>
    <r>
      <rPr>
        <u/>
        <sz val="10"/>
        <color rgb="FF1155CC"/>
        <rFont val="Verdana, sans-serif"/>
      </rPr>
      <t>Burnley</t>
    </r>
  </si>
  <si>
    <r>
      <rPr>
        <u/>
        <sz val="10"/>
        <color rgb="FF1155CC"/>
        <rFont val="Verdana, sans-serif"/>
      </rPr>
      <t>Chris Wood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</si>
  <si>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Nick Pope</t>
    </r>
  </si>
  <si>
    <r>
      <rPr>
        <u/>
        <sz val="10"/>
        <color rgb="FF1155CC"/>
        <rFont val="Verdana, sans-serif"/>
      </rPr>
      <t>Southampton</t>
    </r>
  </si>
  <si>
    <r>
      <rPr>
        <u/>
        <sz val="10"/>
        <color rgb="FF1155CC"/>
        <rFont val="Verdana, sans-serif"/>
      </rPr>
      <t>Danny Ings</t>
    </r>
    <r>
      <rPr>
        <sz val="10"/>
        <rFont val="Verdana, sans-serif"/>
      </rPr>
      <t xml:space="preserve"> - 22</t>
    </r>
  </si>
  <si>
    <r>
      <rPr>
        <u/>
        <sz val="10"/>
        <color rgb="FF1155CC"/>
        <rFont val="Verdana, sans-serif"/>
      </rPr>
      <t>Alex McCarthy</t>
    </r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</si>
  <si>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</si>
  <si>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Dominic Calvert-Lewin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Richarlison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</si>
  <si>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Jordan Pickford</t>
    </r>
  </si>
  <si>
    <r>
      <rPr>
        <u/>
        <sz val="10"/>
        <color rgb="FF1155CC"/>
        <rFont val="Verdana, sans-serif"/>
      </rPr>
      <t>Newcastle Utd</t>
    </r>
  </si>
  <si>
    <r>
      <rPr>
        <u/>
        <sz val="10"/>
        <color rgb="FF1155CC"/>
        <rFont val="Verdana, sans-serif"/>
      </rPr>
      <t>Jonjo Shelvey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</si>
  <si>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Martin Dúbravka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</si>
  <si>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</si>
  <si>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Jordan Ayew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</si>
  <si>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Vicente Guaita</t>
    </r>
  </si>
  <si>
    <r>
      <rPr>
        <u/>
        <sz val="10"/>
        <color rgb="FF1155CC"/>
        <rFont val="Verdana, sans-serif"/>
      </rPr>
      <t>Brighton</t>
    </r>
  </si>
  <si>
    <r>
      <rPr>
        <u/>
        <sz val="10"/>
        <color rgb="FF1155CC"/>
        <rFont val="Verdana, sans-serif"/>
      </rPr>
      <t>Neal Maupay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</si>
  <si>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Mathew Ryan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</si>
  <si>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</si>
  <si>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Michail Antonio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</si>
  <si>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Łukasz Fabiański</t>
    </r>
  </si>
  <si>
    <r>
      <rPr>
        <u/>
        <sz val="10"/>
        <color rgb="FF1155CC"/>
        <rFont val="Verdana, sans-serif"/>
      </rPr>
      <t>Aston Villa</t>
    </r>
  </si>
  <si>
    <r>
      <rPr>
        <u/>
        <sz val="10"/>
        <color rgb="FF1155CC"/>
        <rFont val="Verdana, sans-serif"/>
      </rPr>
      <t>Jack Grealish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</si>
  <si>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Tom Heaton</t>
    </r>
  </si>
  <si>
    <r>
      <rPr>
        <u/>
        <sz val="10"/>
        <color rgb="FF1155CC"/>
        <rFont val="Verdana, sans-serif"/>
      </rPr>
      <t>Bournemouth</t>
    </r>
  </si>
  <si>
    <r>
      <rPr>
        <u/>
        <sz val="10"/>
        <color rgb="FF1155CC"/>
        <rFont val="Verdana, sans-serif"/>
      </rPr>
      <t>Callum Wilson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</si>
  <si>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Aaron Ramsdale</t>
    </r>
  </si>
  <si>
    <r>
      <rPr>
        <u/>
        <sz val="10"/>
        <color rgb="FF1155CC"/>
        <rFont val="Verdana, sans-serif"/>
      </rPr>
      <t>Watford</t>
    </r>
  </si>
  <si>
    <r>
      <rPr>
        <u/>
        <sz val="10"/>
        <color rgb="FF1155CC"/>
        <rFont val="Verdana, sans-serif"/>
      </rPr>
      <t>Troy Deeney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</si>
  <si>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Ben Foster</t>
    </r>
  </si>
  <si>
    <r>
      <rPr>
        <u/>
        <sz val="10"/>
        <color rgb="FF1155CC"/>
        <rFont val="Verdana, sans-serif"/>
      </rPr>
      <t>Norwich City</t>
    </r>
  </si>
  <si>
    <r>
      <rPr>
        <u/>
        <sz val="10"/>
        <color rgb="FF1155CC"/>
        <rFont val="Verdana, sans-serif"/>
      </rPr>
      <t>Teemu Pukki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</si>
  <si>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Tim Krul</t>
    </r>
  </si>
  <si>
    <t>Relegat</t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</si>
  <si>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</si>
  <si>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Sergio Agüero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</si>
  <si>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Ederson</t>
    </r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</si>
  <si>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</si>
  <si>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Sadio Mané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Mohamed Salah</t>
    </r>
    <r>
      <rPr>
        <sz val="10"/>
        <rFont val="Verdana, sans-serif"/>
      </rPr>
      <t xml:space="preserve"> - 22</t>
    </r>
  </si>
  <si>
    <r>
      <rPr>
        <u/>
        <sz val="10"/>
        <color rgb="FF1155CC"/>
        <rFont val="Verdana, sans-serif"/>
      </rPr>
      <t>Alisson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</si>
  <si>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</si>
  <si>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Eden Hazard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</si>
  <si>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Kepa Arrizabalaga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</si>
  <si>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</si>
  <si>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Harry Kane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</si>
  <si>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Hugo Lloris</t>
    </r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</si>
  <si>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</si>
  <si>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Pierre-Emerick Aubameyang</t>
    </r>
    <r>
      <rPr>
        <sz val="10"/>
        <rFont val="Verdana, sans-serif"/>
      </rPr>
      <t xml:space="preserve"> - 22</t>
    </r>
  </si>
  <si>
    <r>
      <rPr>
        <u/>
        <sz val="10"/>
        <color rgb="FF1155CC"/>
        <rFont val="Verdana, sans-serif"/>
      </rPr>
      <t>Bernd Leno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</si>
  <si>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</si>
  <si>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Paul Pogba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</si>
  <si>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David de Gea</t>
    </r>
  </si>
  <si>
    <r>
      <rPr>
        <u/>
        <sz val="10"/>
        <color rgb="FF1155CC"/>
        <rFont val="Verdana, sans-serif"/>
      </rPr>
      <t>Wolves</t>
    </r>
  </si>
  <si>
    <r>
      <rPr>
        <u/>
        <sz val="10"/>
        <color rgb="FF1155CC"/>
        <rFont val="Verdana, sans-serif"/>
      </rPr>
      <t>Raúl Jiménez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</si>
  <si>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Rui Patrício</t>
    </r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</si>
  <si>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</si>
  <si>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Gylfi Sigurðsson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Richarlison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</si>
  <si>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Jordan Pickford</t>
    </r>
  </si>
  <si>
    <r>
      <rPr>
        <u/>
        <sz val="10"/>
        <color rgb="FF1155CC"/>
        <rFont val="Verdana, sans-serif"/>
      </rPr>
      <t>Leicester City</t>
    </r>
  </si>
  <si>
    <r>
      <rPr>
        <u/>
        <sz val="10"/>
        <color rgb="FF1155CC"/>
        <rFont val="Verdana, sans-serif"/>
      </rPr>
      <t>Jamie Vardy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</si>
  <si>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Kasper Schmeichel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</si>
  <si>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</si>
  <si>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Marko Arnautović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</si>
  <si>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Łukasz Fabiański</t>
    </r>
  </si>
  <si>
    <r>
      <rPr>
        <u/>
        <sz val="10"/>
        <color rgb="FF1155CC"/>
        <rFont val="Verdana, sans-serif"/>
      </rPr>
      <t>Watford</t>
    </r>
  </si>
  <si>
    <r>
      <rPr>
        <u/>
        <sz val="10"/>
        <color rgb="FF1155CC"/>
        <rFont val="Verdana, sans-serif"/>
      </rPr>
      <t>Gerard Deulofeu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</si>
  <si>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Ben Foster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</si>
  <si>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</si>
  <si>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Luka Milivojević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</si>
  <si>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Vicente Guaita</t>
    </r>
  </si>
  <si>
    <r>
      <rPr>
        <u/>
        <sz val="10"/>
        <color rgb="FF1155CC"/>
        <rFont val="Verdana, sans-serif"/>
      </rPr>
      <t>Newcastle Utd</t>
    </r>
  </si>
  <si>
    <r>
      <rPr>
        <u/>
        <sz val="10"/>
        <color rgb="FF1155CC"/>
        <rFont val="Verdana, sans-serif"/>
      </rPr>
      <t>Ayoze Pérez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</si>
  <si>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Martin Dúbravka</t>
    </r>
  </si>
  <si>
    <r>
      <rPr>
        <u/>
        <sz val="10"/>
        <color rgb="FF1155CC"/>
        <rFont val="Verdana, sans-serif"/>
      </rPr>
      <t>Bournemouth</t>
    </r>
  </si>
  <si>
    <r>
      <rPr>
        <u/>
        <sz val="10"/>
        <color rgb="FF1155CC"/>
        <rFont val="Verdana, sans-serif"/>
      </rPr>
      <t>Callum Wilson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</si>
  <si>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Asmir Begović</t>
    </r>
  </si>
  <si>
    <r>
      <rPr>
        <u/>
        <sz val="10"/>
        <color rgb="FF1155CC"/>
        <rFont val="Verdana, sans-serif"/>
      </rPr>
      <t>Burnley</t>
    </r>
  </si>
  <si>
    <r>
      <rPr>
        <u/>
        <sz val="10"/>
        <color rgb="FF1155CC"/>
        <rFont val="Verdana, sans-serif"/>
      </rPr>
      <t>Ashley Barnes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</si>
  <si>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Tom Heaton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Joe Hart</t>
    </r>
  </si>
  <si>
    <r>
      <rPr>
        <u/>
        <sz val="10"/>
        <color rgb="FF1155CC"/>
        <rFont val="Verdana, sans-serif"/>
      </rPr>
      <t>Southampton</t>
    </r>
  </si>
  <si>
    <r>
      <rPr>
        <u/>
        <sz val="10"/>
        <color rgb="FF1155CC"/>
        <rFont val="Verdana, sans-serif"/>
      </rPr>
      <t>Danny Ings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James Ward-Prowse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</si>
  <si>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Alex McCarthy</t>
    </r>
  </si>
  <si>
    <r>
      <rPr>
        <u/>
        <sz val="10"/>
        <color rgb="FF1155CC"/>
        <rFont val="Verdana, sans-serif"/>
      </rPr>
      <t>Brighton</t>
    </r>
  </si>
  <si>
    <r>
      <rPr>
        <u/>
        <sz val="10"/>
        <color rgb="FF1155CC"/>
        <rFont val="Verdana, sans-serif"/>
      </rPr>
      <t>Glenn Murray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</si>
  <si>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Mathew Ryan</t>
    </r>
  </si>
  <si>
    <r>
      <rPr>
        <u/>
        <sz val="10"/>
        <color rgb="FF1155CC"/>
        <rFont val="Verdana, sans-serif"/>
      </rPr>
      <t>Cardiff City</t>
    </r>
  </si>
  <si>
    <r>
      <rPr>
        <u/>
        <sz val="10"/>
        <color rgb="FF1155CC"/>
        <rFont val="Verdana, sans-serif"/>
      </rPr>
      <t>Bobby De Cordova-Reid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Víctor Camarasa</t>
    </r>
    <r>
      <rPr>
        <sz val="10"/>
        <rFont val="Verdana, sans-serif"/>
      </rPr>
      <t xml:space="preserve"> - 5</t>
    </r>
  </si>
  <si>
    <r>
      <rPr>
        <u/>
        <sz val="10"/>
        <color rgb="FF1155CC"/>
        <rFont val="Verdana, sans-serif"/>
      </rPr>
      <t>Neil Etheridge</t>
    </r>
  </si>
  <si>
    <r>
      <rPr>
        <u/>
        <sz val="10"/>
        <color rgb="FF1155CC"/>
        <rFont val="Verdana, sans-serif"/>
      </rPr>
      <t>Fulham</t>
    </r>
  </si>
  <si>
    <r>
      <rPr>
        <u/>
        <sz val="10"/>
        <color rgb="FF1155CC"/>
        <rFont val="Verdana, sans-serif"/>
      </rPr>
      <t>Aleksandar Mitrović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</si>
  <si>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Sergio Rico</t>
    </r>
  </si>
  <si>
    <r>
      <rPr>
        <u/>
        <sz val="10"/>
        <color rgb="FF1155CC"/>
        <rFont val="Verdana, sans-serif"/>
      </rPr>
      <t>Huddersfield</t>
    </r>
  </si>
  <si>
    <r>
      <rPr>
        <u/>
        <sz val="10"/>
        <color rgb="FF1155CC"/>
        <rFont val="Verdana, sans-serif"/>
      </rPr>
      <t>Karlan Grant</t>
    </r>
    <r>
      <rPr>
        <sz val="10"/>
        <rFont val="Verdana, sans-serif"/>
      </rPr>
      <t xml:space="preserve"> - 4</t>
    </r>
  </si>
  <si>
    <r>
      <rPr>
        <u/>
        <sz val="10"/>
        <color rgb="FF1155CC"/>
        <rFont val="Verdana, sans-serif"/>
      </rPr>
      <t>Jonas Lössl</t>
    </r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</si>
  <si>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</si>
  <si>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Sergio Agüero</t>
    </r>
    <r>
      <rPr>
        <sz val="10"/>
        <rFont val="Verdana, sans-serif"/>
      </rPr>
      <t xml:space="preserve"> - 21</t>
    </r>
  </si>
  <si>
    <r>
      <rPr>
        <u/>
        <sz val="10"/>
        <color rgb="FF1155CC"/>
        <rFont val="Verdana, sans-serif"/>
      </rPr>
      <t>Ederson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</si>
  <si>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</si>
  <si>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Romelu Lukaku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</si>
  <si>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David de Gea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</si>
  <si>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</si>
  <si>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Harry Kane</t>
    </r>
    <r>
      <rPr>
        <sz val="10"/>
        <rFont val="Verdana, sans-serif"/>
      </rPr>
      <t xml:space="preserve"> - 30</t>
    </r>
  </si>
  <si>
    <r>
      <rPr>
        <u/>
        <sz val="10"/>
        <color rgb="FF1155CC"/>
        <rFont val="Verdana, sans-serif"/>
      </rPr>
      <t>Hugo Lloris</t>
    </r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</si>
  <si>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</si>
  <si>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Mohamed Salah</t>
    </r>
    <r>
      <rPr>
        <sz val="10"/>
        <rFont val="Verdana, sans-serif"/>
      </rPr>
      <t xml:space="preserve"> - 32</t>
    </r>
  </si>
  <si>
    <r>
      <rPr>
        <u/>
        <sz val="10"/>
        <color rgb="FF1155CC"/>
        <rFont val="Verdana, sans-serif"/>
      </rPr>
      <t>Loris Karius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Simon Mignolet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</si>
  <si>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</si>
  <si>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Eden Hazard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</si>
  <si>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Thibaut Courtois</t>
    </r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</si>
  <si>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</si>
  <si>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Alexandre Lacazette</t>
    </r>
    <r>
      <rPr>
        <sz val="10"/>
        <rFont val="Verdana, sans-serif"/>
      </rPr>
      <t xml:space="preserve"> - 14</t>
    </r>
  </si>
  <si>
    <r>
      <rPr>
        <u/>
        <sz val="10"/>
        <color rgb="FF1155CC"/>
        <rFont val="Verdana, sans-serif"/>
      </rPr>
      <t>Petr Čech</t>
    </r>
  </si>
  <si>
    <r>
      <rPr>
        <u/>
        <sz val="10"/>
        <color rgb="FF1155CC"/>
        <rFont val="Verdana, sans-serif"/>
      </rPr>
      <t>Burnley</t>
    </r>
  </si>
  <si>
    <r>
      <rPr>
        <u/>
        <sz val="10"/>
        <color rgb="FF1155CC"/>
        <rFont val="Verdana, sans-serif"/>
      </rPr>
      <t>Chris Wood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</si>
  <si>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Nick Pope</t>
    </r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</si>
  <si>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</si>
  <si>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Wayne Rooney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</si>
  <si>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Jordan Pickford</t>
    </r>
  </si>
  <si>
    <r>
      <rPr>
        <u/>
        <sz val="10"/>
        <color rgb="FF1155CC"/>
        <rFont val="Verdana, sans-serif"/>
      </rPr>
      <t>Leicester City</t>
    </r>
  </si>
  <si>
    <r>
      <rPr>
        <u/>
        <sz val="10"/>
        <color rgb="FF1155CC"/>
        <rFont val="Verdana, sans-serif"/>
      </rPr>
      <t>Jamie Vardy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</si>
  <si>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Kasper Schmeichel</t>
    </r>
  </si>
  <si>
    <r>
      <rPr>
        <u/>
        <sz val="10"/>
        <color rgb="FF1155CC"/>
        <rFont val="Verdana, sans-serif"/>
      </rPr>
      <t>Newcastle Utd</t>
    </r>
  </si>
  <si>
    <r>
      <rPr>
        <u/>
        <sz val="10"/>
        <color rgb="FF1155CC"/>
        <rFont val="Verdana, sans-serif"/>
      </rPr>
      <t>Ayoze Pérez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</si>
  <si>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Rob Elliot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</si>
  <si>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</si>
  <si>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Luka Milivojević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</si>
  <si>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Wayne Hennessey</t>
    </r>
  </si>
  <si>
    <r>
      <rPr>
        <u/>
        <sz val="10"/>
        <color rgb="FF1155CC"/>
        <rFont val="Verdana, sans-serif"/>
      </rPr>
      <t>Bournemouth</t>
    </r>
  </si>
  <si>
    <r>
      <rPr>
        <u/>
        <sz val="10"/>
        <color rgb="FF1155CC"/>
        <rFont val="Verdana, sans-serif"/>
      </rPr>
      <t>Joshua King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Callum Wilson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</si>
  <si>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Asmir Begović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</si>
  <si>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</si>
  <si>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Marko Arnautović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</si>
  <si>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Joe Hart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Adrián</t>
    </r>
  </si>
  <si>
    <r>
      <rPr>
        <u/>
        <sz val="10"/>
        <color rgb="FF1155CC"/>
        <rFont val="Verdana, sans-serif"/>
      </rPr>
      <t>Watford</t>
    </r>
  </si>
  <si>
    <r>
      <rPr>
        <u/>
        <sz val="10"/>
        <color rgb="FF1155CC"/>
        <rFont val="Verdana, sans-serif"/>
      </rPr>
      <t>Abdoulaye Doucouré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</si>
  <si>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Heurelho Gomes</t>
    </r>
  </si>
  <si>
    <r>
      <rPr>
        <u/>
        <sz val="10"/>
        <color rgb="FF1155CC"/>
        <rFont val="Verdana, sans-serif"/>
      </rPr>
      <t>Brighton</t>
    </r>
  </si>
  <si>
    <r>
      <rPr>
        <u/>
        <sz val="10"/>
        <color rgb="FF1155CC"/>
        <rFont val="Verdana, sans-serif"/>
      </rPr>
      <t>Glenn Murray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</si>
  <si>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Mathew Ryan</t>
    </r>
  </si>
  <si>
    <r>
      <rPr>
        <u/>
        <sz val="10"/>
        <color rgb="FF1155CC"/>
        <rFont val="Verdana, sans-serif"/>
      </rPr>
      <t>Huddersfield</t>
    </r>
  </si>
  <si>
    <r>
      <rPr>
        <u/>
        <sz val="10"/>
        <color rgb="FF1155CC"/>
        <rFont val="Verdana, sans-serif"/>
      </rPr>
      <t>Steve Mounié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</si>
  <si>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Jonas Lössl</t>
    </r>
  </si>
  <si>
    <r>
      <rPr>
        <u/>
        <sz val="10"/>
        <color rgb="FF1155CC"/>
        <rFont val="Verdana, sans-serif"/>
      </rPr>
      <t>Southampton</t>
    </r>
  </si>
  <si>
    <r>
      <rPr>
        <u/>
        <sz val="10"/>
        <color rgb="FF1155CC"/>
        <rFont val="Verdana, sans-serif"/>
      </rPr>
      <t>Charlie Austin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</si>
  <si>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Fraser Forster</t>
    </r>
  </si>
  <si>
    <r>
      <rPr>
        <u/>
        <sz val="10"/>
        <color rgb="FF1155CC"/>
        <rFont val="Verdana, sans-serif"/>
      </rPr>
      <t>Swansea City</t>
    </r>
  </si>
  <si>
    <r>
      <rPr>
        <u/>
        <sz val="10"/>
        <color rgb="FF1155CC"/>
        <rFont val="Verdana, sans-serif"/>
      </rPr>
      <t>Jordan Ayew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</si>
  <si>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Łukasz Fabiański</t>
    </r>
  </si>
  <si>
    <r>
      <rPr>
        <u/>
        <sz val="10"/>
        <color rgb="FF1155CC"/>
        <rFont val="Verdana, sans-serif"/>
      </rPr>
      <t>Stoke City</t>
    </r>
  </si>
  <si>
    <r>
      <rPr>
        <u/>
        <sz val="10"/>
        <color rgb="FF1155CC"/>
        <rFont val="Verdana, sans-serif"/>
      </rPr>
      <t>Xherdan Shaqiri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</si>
  <si>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Jack Butland</t>
    </r>
  </si>
  <si>
    <r>
      <rPr>
        <u/>
        <sz val="10"/>
        <color rgb="FF1155CC"/>
        <rFont val="Verdana, sans-serif"/>
      </rPr>
      <t>West Brom</t>
    </r>
  </si>
  <si>
    <r>
      <rPr>
        <u/>
        <sz val="10"/>
        <color rgb="FF1155CC"/>
        <rFont val="Verdana, sans-serif"/>
      </rPr>
      <t>Jay Rodriguez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Salomón Rondón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</si>
  <si>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Ben Foster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</si>
  <si>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</si>
  <si>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Diego Costa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</si>
  <si>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Thibaut Courtois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</si>
  <si>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</si>
  <si>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Harry Kane</t>
    </r>
    <r>
      <rPr>
        <sz val="10"/>
        <rFont val="Verdana, sans-serif"/>
      </rPr>
      <t xml:space="preserve"> - 29</t>
    </r>
  </si>
  <si>
    <r>
      <rPr>
        <u/>
        <sz val="10"/>
        <color rgb="FF1155CC"/>
        <rFont val="Verdana, sans-serif"/>
      </rPr>
      <t>Hugo Lloris</t>
    </r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</si>
  <si>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</si>
  <si>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Sergio Agüero</t>
    </r>
    <r>
      <rPr>
        <sz val="10"/>
        <rFont val="Verdana, sans-serif"/>
      </rPr>
      <t xml:space="preserve"> - 20</t>
    </r>
  </si>
  <si>
    <r>
      <rPr>
        <u/>
        <sz val="10"/>
        <color rgb="FF1155CC"/>
        <rFont val="Verdana, sans-serif"/>
      </rPr>
      <t>Claudio Bravo</t>
    </r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</si>
  <si>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</si>
  <si>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Philippe Coutinho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Sadio Mané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</si>
  <si>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Simon Mignolet</t>
    </r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</si>
  <si>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</si>
  <si>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Alexis Sánchez</t>
    </r>
    <r>
      <rPr>
        <sz val="10"/>
        <rFont val="Verdana, sans-serif"/>
      </rPr>
      <t xml:space="preserve"> - 24</t>
    </r>
  </si>
  <si>
    <r>
      <rPr>
        <u/>
        <sz val="10"/>
        <color rgb="FF1155CC"/>
        <rFont val="Verdana, sans-serif"/>
      </rPr>
      <t>Petr Čech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</si>
  <si>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</si>
  <si>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Zlatan Ibrahimović</t>
    </r>
    <r>
      <rPr>
        <sz val="10"/>
        <rFont val="Verdana, sans-serif"/>
      </rPr>
      <t xml:space="preserve"> - 17</t>
    </r>
  </si>
  <si>
    <r>
      <rPr>
        <u/>
        <sz val="10"/>
        <color rgb="FF1155CC"/>
        <rFont val="Verdana, sans-serif"/>
      </rPr>
      <t>David de Gea</t>
    </r>
  </si>
  <si>
    <t>→ Champions League via Europa League win</t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</si>
  <si>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</si>
  <si>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Romelu Lukaku</t>
    </r>
    <r>
      <rPr>
        <sz val="10"/>
        <rFont val="Verdana, sans-serif"/>
      </rPr>
      <t xml:space="preserve"> - 25</t>
    </r>
  </si>
  <si>
    <r>
      <rPr>
        <u/>
        <sz val="10"/>
        <color rgb="FF1155CC"/>
        <rFont val="Verdana, sans-serif"/>
      </rPr>
      <t>Joel Robles</t>
    </r>
  </si>
  <si>
    <r>
      <rPr>
        <u/>
        <sz val="10"/>
        <color rgb="FF1155CC"/>
        <rFont val="Verdana, sans-serif"/>
      </rPr>
      <t>Southampton</t>
    </r>
  </si>
  <si>
    <r>
      <rPr>
        <u/>
        <sz val="10"/>
        <color rgb="FF1155CC"/>
        <rFont val="Verdana, sans-serif"/>
      </rPr>
      <t>Nathan Redmond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</si>
  <si>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Fraser Forster</t>
    </r>
  </si>
  <si>
    <r>
      <rPr>
        <u/>
        <sz val="10"/>
        <color rgb="FF1155CC"/>
        <rFont val="Verdana, sans-serif"/>
      </rPr>
      <t>Bournemouth</t>
    </r>
  </si>
  <si>
    <r>
      <rPr>
        <u/>
        <sz val="10"/>
        <color rgb="FF1155CC"/>
        <rFont val="Verdana, sans-serif"/>
      </rPr>
      <t>Joshua King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</si>
  <si>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Artur Boruc</t>
    </r>
  </si>
  <si>
    <r>
      <rPr>
        <u/>
        <sz val="10"/>
        <color rgb="FF1155CC"/>
        <rFont val="Verdana, sans-serif"/>
      </rPr>
      <t>West Brom</t>
    </r>
  </si>
  <si>
    <r>
      <rPr>
        <u/>
        <sz val="10"/>
        <color rgb="FF1155CC"/>
        <rFont val="Verdana, sans-serif"/>
      </rPr>
      <t>Salomón Rondón</t>
    </r>
    <r>
      <rPr>
        <sz val="10"/>
        <rFont val="Verdana, sans-serif"/>
      </rPr>
      <t xml:space="preserve"> - 8</t>
    </r>
  </si>
  <si>
    <r>
      <rPr>
        <u/>
        <sz val="10"/>
        <color rgb="FF1155CC"/>
        <rFont val="Verdana, sans-serif"/>
      </rPr>
      <t>Ben Foster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</si>
  <si>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</si>
  <si>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Michail Antonio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</si>
  <si>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Darren Randolph</t>
    </r>
  </si>
  <si>
    <r>
      <rPr>
        <u/>
        <sz val="10"/>
        <color rgb="FF1155CC"/>
        <rFont val="Verdana, sans-serif"/>
      </rPr>
      <t>Leicester City</t>
    </r>
  </si>
  <si>
    <r>
      <rPr>
        <u/>
        <sz val="10"/>
        <color rgb="FF1155CC"/>
        <rFont val="Verdana, sans-serif"/>
      </rPr>
      <t>Jamie Vardy</t>
    </r>
    <r>
      <rPr>
        <sz val="10"/>
        <rFont val="Verdana, sans-serif"/>
      </rPr>
      <t xml:space="preserve"> - 13</t>
    </r>
  </si>
  <si>
    <r>
      <rPr>
        <u/>
        <sz val="10"/>
        <color rgb="FF1155CC"/>
        <rFont val="Verdana, sans-serif"/>
      </rPr>
      <t>Kasper Schmeichel</t>
    </r>
  </si>
  <si>
    <r>
      <rPr>
        <u/>
        <sz val="10"/>
        <color rgb="FF1155CC"/>
        <rFont val="Verdana, sans-serif"/>
      </rPr>
      <t>Stoke City</t>
    </r>
  </si>
  <si>
    <r>
      <rPr>
        <u/>
        <sz val="10"/>
        <color rgb="FF1155CC"/>
        <rFont val="Verdana, sans-serif"/>
      </rPr>
      <t>Peter Crouch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</si>
  <si>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Lee Grant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</si>
  <si>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</si>
  <si>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Christian Benteke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</si>
  <si>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Wayne Hennessey</t>
    </r>
  </si>
  <si>
    <r>
      <rPr>
        <u/>
        <sz val="10"/>
        <color rgb="FF1155CC"/>
        <rFont val="Verdana, sans-serif"/>
      </rPr>
      <t>Swansea City</t>
    </r>
  </si>
  <si>
    <r>
      <rPr>
        <u/>
        <sz val="10"/>
        <color rgb="FF1155CC"/>
        <rFont val="Verdana, sans-serif"/>
      </rPr>
      <t>Fernando Llorente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</si>
  <si>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Łukasz Fabiański</t>
    </r>
  </si>
  <si>
    <r>
      <rPr>
        <u/>
        <sz val="10"/>
        <color rgb="FF1155CC"/>
        <rFont val="Verdana, sans-serif"/>
      </rPr>
      <t>Burnley</t>
    </r>
  </si>
  <si>
    <r>
      <rPr>
        <u/>
        <sz val="10"/>
        <color rgb="FF1155CC"/>
        <rFont val="Verdana, sans-serif"/>
      </rPr>
      <t>Sam Vokes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</si>
  <si>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Tom Heaton</t>
    </r>
  </si>
  <si>
    <r>
      <rPr>
        <u/>
        <sz val="10"/>
        <color rgb="FF1155CC"/>
        <rFont val="Verdana, sans-serif"/>
      </rPr>
      <t>Watford</t>
    </r>
  </si>
  <si>
    <r>
      <rPr>
        <u/>
        <sz val="10"/>
        <color rgb="FF1155CC"/>
        <rFont val="Verdana, sans-serif"/>
      </rPr>
      <t>Troy Deeney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</si>
  <si>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Heurelho Gomes</t>
    </r>
  </si>
  <si>
    <r>
      <rPr>
        <u/>
        <sz val="10"/>
        <color rgb="FF1155CC"/>
        <rFont val="Verdana, sans-serif"/>
      </rPr>
      <t>Hull City</t>
    </r>
  </si>
  <si>
    <r>
      <rPr>
        <u/>
        <sz val="10"/>
        <color rgb="FF1155CC"/>
        <rFont val="Verdana, sans-serif"/>
      </rPr>
      <t>Robert Snodgrass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</si>
  <si>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Eldin Jakupović</t>
    </r>
  </si>
  <si>
    <r>
      <rPr>
        <u/>
        <sz val="10"/>
        <color rgb="FF1155CC"/>
        <rFont val="Verdana, sans-serif"/>
      </rPr>
      <t>Middlesbrough</t>
    </r>
  </si>
  <si>
    <r>
      <rPr>
        <u/>
        <sz val="10"/>
        <color rgb="FF1155CC"/>
        <rFont val="Verdana, sans-serif"/>
      </rPr>
      <t>Álvaro Negredo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</si>
  <si>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Víctor Valdés</t>
    </r>
  </si>
  <si>
    <r>
      <rPr>
        <u/>
        <sz val="10"/>
        <color rgb="FF1155CC"/>
        <rFont val="Verdana, sans-serif"/>
      </rPr>
      <t>Sunderland</t>
    </r>
  </si>
  <si>
    <r>
      <rPr>
        <u/>
        <sz val="10"/>
        <color rgb="FF1155CC"/>
        <rFont val="Verdana, sans-serif"/>
      </rPr>
      <t>Jermain Defoe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</si>
  <si>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Jordan Pickford</t>
    </r>
  </si>
  <si>
    <r>
      <rPr>
        <u/>
        <sz val="10"/>
        <color rgb="FF1155CC"/>
        <rFont val="Verdana, sans-serif"/>
      </rPr>
      <t>Leicester City</t>
    </r>
  </si>
  <si>
    <r>
      <rPr>
        <u/>
        <sz val="10"/>
        <color rgb="FF1155CC"/>
        <rFont val="Verdana, sans-serif"/>
      </rPr>
      <t>Jamie Vardy</t>
    </r>
    <r>
      <rPr>
        <sz val="10"/>
        <rFont val="Verdana, sans-serif"/>
      </rPr>
      <t xml:space="preserve"> - 24</t>
    </r>
  </si>
  <si>
    <r>
      <rPr>
        <u/>
        <sz val="10"/>
        <color rgb="FF1155CC"/>
        <rFont val="Verdana, sans-serif"/>
      </rPr>
      <t>Kasper Schmeichel</t>
    </r>
  </si>
  <si>
    <r>
      <rPr>
        <u/>
        <sz val="10"/>
        <color rgb="FF1155CC"/>
        <rFont val="Verdana, sans-serif"/>
      </rPr>
      <t>Arsenal</t>
    </r>
  </si>
  <si>
    <r>
      <rPr>
        <u/>
        <sz val="10"/>
        <color rgb="FF1155CC"/>
        <rFont val="Verdana, sans-serif"/>
      </rPr>
      <t>Olivier Giroud</t>
    </r>
    <r>
      <rPr>
        <sz val="10"/>
        <rFont val="Verdana, sans-serif"/>
      </rPr>
      <t xml:space="preserve"> - 16</t>
    </r>
  </si>
  <si>
    <r>
      <rPr>
        <u/>
        <sz val="10"/>
        <color rgb="FF1155CC"/>
        <rFont val="Verdana, sans-serif"/>
      </rPr>
      <t>Petr Čech</t>
    </r>
  </si>
  <si>
    <r>
      <rPr>
        <u/>
        <sz val="10"/>
        <color rgb="FF1155CC"/>
        <rFont val="Verdana, sans-serif"/>
      </rPr>
      <t>Tottenham</t>
    </r>
  </si>
  <si>
    <r>
      <rPr>
        <u/>
        <sz val="10"/>
        <color rgb="FF1155CC"/>
        <rFont val="Verdana, sans-serif"/>
      </rPr>
      <t>Harry Kane</t>
    </r>
    <r>
      <rPr>
        <sz val="10"/>
        <rFont val="Verdana, sans-serif"/>
      </rPr>
      <t xml:space="preserve"> - 25</t>
    </r>
  </si>
  <si>
    <r>
      <rPr>
        <u/>
        <sz val="10"/>
        <color rgb="FF1155CC"/>
        <rFont val="Verdana, sans-serif"/>
      </rPr>
      <t>Hugo Lloris</t>
    </r>
  </si>
  <si>
    <r>
      <rPr>
        <u/>
        <sz val="10"/>
        <color rgb="FF1155CC"/>
        <rFont val="Verdana, sans-serif"/>
      </rPr>
      <t>Manchester City</t>
    </r>
  </si>
  <si>
    <r>
      <rPr>
        <u/>
        <sz val="10"/>
        <color rgb="FF1155CC"/>
        <rFont val="Verdana, sans-serif"/>
      </rPr>
      <t>Sergio Agüero</t>
    </r>
    <r>
      <rPr>
        <sz val="10"/>
        <rFont val="Verdana, sans-serif"/>
      </rPr>
      <t xml:space="preserve"> - 24</t>
    </r>
  </si>
  <si>
    <r>
      <rPr>
        <u/>
        <sz val="10"/>
        <color rgb="FF1155CC"/>
        <rFont val="Verdana, sans-serif"/>
      </rPr>
      <t>Joe Hart</t>
    </r>
  </si>
  <si>
    <r>
      <rPr>
        <u/>
        <sz val="10"/>
        <color rgb="FF1155CC"/>
        <rFont val="Verdana, sans-serif"/>
      </rPr>
      <t>Manchester Utd</t>
    </r>
  </si>
  <si>
    <r>
      <rPr>
        <u/>
        <sz val="10"/>
        <color rgb="FF1155CC"/>
        <rFont val="Verdana, sans-serif"/>
      </rPr>
      <t>Anthony Martial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</si>
  <si>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David de Gea</t>
    </r>
  </si>
  <si>
    <r>
      <rPr>
        <u/>
        <sz val="10"/>
        <color rgb="FF1155CC"/>
        <rFont val="Verdana, sans-serif"/>
      </rPr>
      <t>Southampton</t>
    </r>
  </si>
  <si>
    <r>
      <rPr>
        <u/>
        <sz val="10"/>
        <color rgb="FF1155CC"/>
        <rFont val="Verdana, sans-serif"/>
      </rPr>
      <t>Sadio Mané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Graziano Pellè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</si>
  <si>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Fraser Forster</t>
    </r>
  </si>
  <si>
    <r>
      <rPr>
        <u/>
        <sz val="10"/>
        <color rgb="FF1155CC"/>
        <rFont val="Verdana, sans-serif"/>
      </rPr>
      <t>West Ham</t>
    </r>
  </si>
  <si>
    <r>
      <rPr>
        <u/>
        <sz val="10"/>
        <color rgb="FF1155CC"/>
        <rFont val="Verdana, sans-serif"/>
      </rPr>
      <t>Dimitri Payet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Andy Carroll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</si>
  <si>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Adrián</t>
    </r>
  </si>
  <si>
    <t>→ Europa League via league finish 3</t>
  </si>
  <si>
    <r>
      <rPr>
        <u/>
        <sz val="10"/>
        <color rgb="FF1155CC"/>
        <rFont val="Verdana, sans-serif"/>
      </rPr>
      <t>Liverpool</t>
    </r>
  </si>
  <si>
    <r>
      <rPr>
        <u/>
        <sz val="10"/>
        <color rgb="FF1155CC"/>
        <rFont val="Verdana, sans-serif"/>
      </rPr>
      <t>Roberto Firmino</t>
    </r>
    <r>
      <rPr>
        <sz val="10"/>
        <rFont val="Verdana, sans-serif"/>
      </rPr>
      <t xml:space="preserve"> - 10</t>
    </r>
  </si>
  <si>
    <r>
      <rPr>
        <u/>
        <sz val="10"/>
        <color rgb="FF1155CC"/>
        <rFont val="Verdana, sans-serif"/>
      </rPr>
      <t>Simon Mignolet</t>
    </r>
  </si>
  <si>
    <r>
      <rPr>
        <u/>
        <sz val="10"/>
        <color rgb="FF1155CC"/>
        <rFont val="Verdana, sans-serif"/>
      </rPr>
      <t>Stoke City</t>
    </r>
  </si>
  <si>
    <r>
      <rPr>
        <u/>
        <sz val="10"/>
        <color rgb="FF1155CC"/>
        <rFont val="Verdana, sans-serif"/>
      </rPr>
      <t>Marko Arnautović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</si>
  <si>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Jack Butland</t>
    </r>
  </si>
  <si>
    <r>
      <rPr>
        <u/>
        <sz val="10"/>
        <color rgb="FF1155CC"/>
        <rFont val="Verdana, sans-serif"/>
      </rPr>
      <t>Chelsea</t>
    </r>
  </si>
  <si>
    <r>
      <rPr>
        <u/>
        <sz val="10"/>
        <color rgb="FF1155CC"/>
        <rFont val="Verdana, sans-serif"/>
      </rPr>
      <t>Diego Costa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</si>
  <si>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Thibaut Courtois</t>
    </r>
  </si>
  <si>
    <r>
      <rPr>
        <u/>
        <sz val="10"/>
        <color rgb="FF1155CC"/>
        <rFont val="Verdana, sans-serif"/>
      </rPr>
      <t>Everton</t>
    </r>
  </si>
  <si>
    <r>
      <rPr>
        <u/>
        <sz val="10"/>
        <color rgb="FF1155CC"/>
        <rFont val="Verdana, sans-serif"/>
      </rPr>
      <t>Romelu Lukaku</t>
    </r>
    <r>
      <rPr>
        <sz val="10"/>
        <rFont val="Verdana, sans-serif"/>
      </rPr>
      <t xml:space="preserve"> - 18</t>
    </r>
  </si>
  <si>
    <r>
      <rPr>
        <u/>
        <sz val="10"/>
        <color rgb="FF1155CC"/>
        <rFont val="Verdana, sans-serif"/>
      </rPr>
      <t>Tim Howard</t>
    </r>
  </si>
  <si>
    <r>
      <rPr>
        <u/>
        <sz val="10"/>
        <color rgb="FF1155CC"/>
        <rFont val="Verdana, sans-serif"/>
      </rPr>
      <t>Swansea City</t>
    </r>
  </si>
  <si>
    <r>
      <rPr>
        <u/>
        <sz val="10"/>
        <color rgb="FF1155CC"/>
        <rFont val="Verdana, sans-serif"/>
      </rPr>
      <t>André Ayew</t>
    </r>
    <r>
      <rPr>
        <sz val="10"/>
        <rFont val="Verdana, sans-serif"/>
      </rPr>
      <t xml:space="preserve"> - 12</t>
    </r>
  </si>
  <si>
    <r>
      <rPr>
        <u/>
        <sz val="10"/>
        <color rgb="FF1155CC"/>
        <rFont val="Verdana, sans-serif"/>
      </rPr>
      <t>Łukasz Fabiański</t>
    </r>
  </si>
  <si>
    <r>
      <rPr>
        <u/>
        <sz val="10"/>
        <color rgb="FF1155CC"/>
        <rFont val="Verdana, sans-serif"/>
      </rPr>
      <t>Watford</t>
    </r>
  </si>
  <si>
    <r>
      <rPr>
        <u/>
        <sz val="10"/>
        <color rgb="FF1155CC"/>
        <rFont val="Verdana, sans-serif"/>
      </rPr>
      <t>Odion Ighalo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</si>
  <si>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Heurelho Gomes</t>
    </r>
  </si>
  <si>
    <r>
      <rPr>
        <u/>
        <sz val="10"/>
        <color rgb="FF1155CC"/>
        <rFont val="Verdana, sans-serif"/>
      </rPr>
      <t>West Brom</t>
    </r>
  </si>
  <si>
    <r>
      <rPr>
        <u/>
        <sz val="10"/>
        <color rgb="FF1155CC"/>
        <rFont val="Verdana, sans-serif"/>
      </rPr>
      <t>Salomón Rondón</t>
    </r>
    <r>
      <rPr>
        <sz val="10"/>
        <rFont val="Verdana, sans-serif"/>
      </rPr>
      <t xml:space="preserve"> - 9</t>
    </r>
  </si>
  <si>
    <r>
      <rPr>
        <u/>
        <sz val="10"/>
        <color rgb="FF1155CC"/>
        <rFont val="Verdana, sans-serif"/>
      </rPr>
      <t>Boaz Myhill</t>
    </r>
  </si>
  <si>
    <r>
      <rPr>
        <u/>
        <sz val="10"/>
        <color rgb="FF1155CC"/>
        <rFont val="Verdana, sans-serif"/>
      </rPr>
      <t>Crystal Palace</t>
    </r>
  </si>
  <si>
    <r>
      <rPr>
        <u/>
        <sz val="10"/>
        <color rgb="FF1155CC"/>
        <rFont val="Verdana, sans-serif"/>
      </rPr>
      <t>Scott Dann</t>
    </r>
    <r>
      <rPr>
        <sz val="10"/>
        <rFont val="Verdana, sans-serif"/>
      </rPr>
      <t xml:space="preserve">, </t>
    </r>
    <r>
      <rPr>
        <u/>
        <sz val="10"/>
        <color rgb="FF1155CC"/>
        <rFont val="Verdana, sans-serif"/>
      </rPr>
      <t>Yohan Cabaye</t>
    </r>
    <r>
      <rPr>
        <sz val="10"/>
        <rFont val="Verdana, sans-serif"/>
      </rPr>
      <t>... - 5</t>
    </r>
  </si>
  <si>
    <r>
      <rPr>
        <u/>
        <sz val="10"/>
        <color rgb="FF1155CC"/>
        <rFont val="Verdana, sans-serif"/>
      </rPr>
      <t>Wayne Hennessey</t>
    </r>
  </si>
  <si>
    <r>
      <rPr>
        <u/>
        <sz val="10"/>
        <color rgb="FF1155CC"/>
        <rFont val="Verdana, sans-serif"/>
      </rPr>
      <t>Bournemouth</t>
    </r>
  </si>
  <si>
    <r>
      <rPr>
        <u/>
        <sz val="10"/>
        <color rgb="FF1155CC"/>
        <rFont val="Verdana, sans-serif"/>
      </rPr>
      <t>Joshua King</t>
    </r>
    <r>
      <rPr>
        <sz val="10"/>
        <rFont val="Verdana, sans-serif"/>
      </rPr>
      <t xml:space="preserve"> - 6</t>
    </r>
  </si>
  <si>
    <r>
      <rPr>
        <u/>
        <sz val="10"/>
        <color rgb="FF1155CC"/>
        <rFont val="Verdana, sans-serif"/>
      </rPr>
      <t>Artur Boruc</t>
    </r>
  </si>
  <si>
    <r>
      <rPr>
        <u/>
        <sz val="10"/>
        <color rgb="FF1155CC"/>
        <rFont val="Verdana, sans-serif"/>
      </rPr>
      <t>Sunderland</t>
    </r>
  </si>
  <si>
    <r>
      <rPr>
        <u/>
        <sz val="10"/>
        <color rgb="FF1155CC"/>
        <rFont val="Verdana, sans-serif"/>
      </rPr>
      <t>Jermain Defoe</t>
    </r>
    <r>
      <rPr>
        <sz val="10"/>
        <rFont val="Verdana, sans-serif"/>
      </rPr>
      <t xml:space="preserve"> - 15</t>
    </r>
  </si>
  <si>
    <r>
      <rPr>
        <u/>
        <sz val="10"/>
        <color rgb="FF1155CC"/>
        <rFont val="Verdana, sans-serif"/>
      </rPr>
      <t>Vito Mannone</t>
    </r>
  </si>
  <si>
    <r>
      <rPr>
        <u/>
        <sz val="10"/>
        <color rgb="FF1155CC"/>
        <rFont val="Verdana, sans-serif"/>
      </rPr>
      <t>Newcastle Utd</t>
    </r>
  </si>
  <si>
    <r>
      <rPr>
        <u/>
        <sz val="10"/>
        <color rgb="FF1155CC"/>
        <rFont val="Verdana, sans-serif"/>
      </rPr>
      <t>Georginio Wijnaldum</t>
    </r>
    <r>
      <rPr>
        <sz val="10"/>
        <rFont val="Verdana, sans-serif"/>
      </rPr>
      <t xml:space="preserve"> - 11</t>
    </r>
  </si>
  <si>
    <r>
      <rPr>
        <u/>
        <sz val="10"/>
        <color rgb="FF1155CC"/>
        <rFont val="Verdana, sans-serif"/>
      </rPr>
      <t>Rob Elliot</t>
    </r>
  </si>
  <si>
    <r>
      <rPr>
        <u/>
        <sz val="10"/>
        <color rgb="FF1155CC"/>
        <rFont val="Verdana, sans-serif"/>
      </rPr>
      <t>Norwich City</t>
    </r>
  </si>
  <si>
    <r>
      <rPr>
        <u/>
        <sz val="10"/>
        <color rgb="FF1155CC"/>
        <rFont val="Verdana, sans-serif"/>
      </rPr>
      <t>Dieumerci Mbokani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</si>
  <si>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John Ruddy</t>
    </r>
  </si>
  <si>
    <r>
      <rPr>
        <u/>
        <sz val="10"/>
        <color rgb="FF1155CC"/>
        <rFont val="Verdana, sans-serif"/>
      </rPr>
      <t>Aston Villa</t>
    </r>
  </si>
  <si>
    <r>
      <rPr>
        <u/>
        <sz val="10"/>
        <color rgb="FF1155CC"/>
        <rFont val="Verdana, sans-serif"/>
      </rPr>
      <t>Jordan Ayew</t>
    </r>
    <r>
      <rPr>
        <sz val="10"/>
        <rFont val="Verdana, sans-serif"/>
      </rPr>
      <t xml:space="preserve"> - 7</t>
    </r>
  </si>
  <si>
    <r>
      <rPr>
        <u/>
        <sz val="10"/>
        <color rgb="FF1155CC"/>
        <rFont val="Verdana, sans-serif"/>
      </rPr>
      <t>Brad Guzan</t>
    </r>
  </si>
  <si>
    <t>#  </t>
  </si>
  <si>
    <t>Team  </t>
  </si>
  <si>
    <t>P  </t>
  </si>
  <si>
    <t>W  </t>
  </si>
  <si>
    <t>D  </t>
  </si>
  <si>
    <t>L  </t>
  </si>
  <si>
    <t>Home  </t>
  </si>
  <si>
    <t>Away  </t>
  </si>
  <si>
    <t>GF-BF  </t>
  </si>
  <si>
    <t>For  </t>
  </si>
  <si>
    <t>GA-BA  </t>
  </si>
  <si>
    <t>Agn  </t>
  </si>
  <si>
    <t>%  </t>
  </si>
  <si>
    <t>Pts  </t>
  </si>
  <si>
    <t>Sydney</t>
  </si>
  <si>
    <t>308.278 (53%)</t>
  </si>
  <si>
    <t>207.246 (46%)</t>
  </si>
  <si>
    <t>Hawthorn</t>
  </si>
  <si>
    <t>367.256 (59%)</t>
  </si>
  <si>
    <t>254.222 (53%)</t>
  </si>
  <si>
    <t>Geelong</t>
  </si>
  <si>
    <t>292.281 (51%)</t>
  </si>
  <si>
    <t>255.257 (50%)</t>
  </si>
  <si>
    <t>Fremantle</t>
  </si>
  <si>
    <t>297.247 (55%)</t>
  </si>
  <si>
    <t>217.254 (46%)</t>
  </si>
  <si>
    <t>Port Adelaide</t>
  </si>
  <si>
    <t>314.296 (51%)</t>
  </si>
  <si>
    <t>243.220 (52%)</t>
  </si>
  <si>
    <t>North Melbourne</t>
  </si>
  <si>
    <t>291.280 (51%)</t>
  </si>
  <si>
    <t>248.243 (51%)</t>
  </si>
  <si>
    <t>Essendon</t>
  </si>
  <si>
    <t>262.256 (51%)</t>
  </si>
  <si>
    <t>250.219 (53%)</t>
  </si>
  <si>
    <t>Richmond</t>
  </si>
  <si>
    <t>274.243 (53%)</t>
  </si>
  <si>
    <t>256.248 (51%)</t>
  </si>
  <si>
    <t>West Coast</t>
  </si>
  <si>
    <t>259.196 (57%)</t>
  </si>
  <si>
    <t>Adelaide</t>
  </si>
  <si>
    <t>315.285 (53%)</t>
  </si>
  <si>
    <t>273.269 (50%)</t>
  </si>
  <si>
    <t>Collingwood</t>
  </si>
  <si>
    <t>252.254 (50%)</t>
  </si>
  <si>
    <t>270.256 (51%)</t>
  </si>
  <si>
    <t>Gold Coast</t>
  </si>
  <si>
    <t>278.249 (53%)</t>
  </si>
  <si>
    <t>296.269 (52%)</t>
  </si>
  <si>
    <t>Carlton</t>
  </si>
  <si>
    <t>276.235 (54%)</t>
  </si>
  <si>
    <t>304.283 (52%)</t>
  </si>
  <si>
    <t>Western Bulldogs</t>
  </si>
  <si>
    <t>257.242 (52%)</t>
  </si>
  <si>
    <t>325.227 (59%)</t>
  </si>
  <si>
    <t>Brisbane Lions</t>
  </si>
  <si>
    <t>221.206 (52%)</t>
  </si>
  <si>
    <t>320.292 (52%)</t>
  </si>
  <si>
    <t>Greater Western Sydney</t>
  </si>
  <si>
    <t>256.244 (51%)</t>
  </si>
  <si>
    <t>344.256 (57%)</t>
  </si>
  <si>
    <t>Melbourne</t>
  </si>
  <si>
    <t>190.196 (49%)</t>
  </si>
  <si>
    <t>278.286 (49%)</t>
  </si>
  <si>
    <t>St Kilda</t>
  </si>
  <si>
    <t>212.208 (50%)</t>
  </si>
  <si>
    <t>363.258 (58%)</t>
  </si>
  <si>
    <t>Totals</t>
  </si>
  <si>
    <t>374.279 (57%)</t>
  </si>
  <si>
    <t>271.233 (54%)</t>
  </si>
  <si>
    <t>353.291 (55%)</t>
  </si>
  <si>
    <t>262.204 (56%)</t>
  </si>
  <si>
    <t>217.216 (50%)</t>
  </si>
  <si>
    <t>332.252 (57%)</t>
  </si>
  <si>
    <t>242.242 (50%)</t>
  </si>
  <si>
    <t>311.288 (52%)</t>
  </si>
  <si>
    <t>252.242 (51%)</t>
  </si>
  <si>
    <t>310.288 (52%)</t>
  </si>
  <si>
    <t>274.224 (55%)</t>
  </si>
  <si>
    <t>298.263 (53%)</t>
  </si>
  <si>
    <t>295.232 (56%)</t>
  </si>
  <si>
    <t>304.301 (50%)</t>
  </si>
  <si>
    <t>283.294 (49%)</t>
  </si>
  <si>
    <t>312.273 (53%)</t>
  </si>
  <si>
    <t>289.266 (52%)</t>
  </si>
  <si>
    <t>56*</t>
  </si>
  <si>
    <t>342.255 (57%)</t>
  </si>
  <si>
    <t>279.256 (52%)</t>
  </si>
  <si>
    <t>297.282 (51%)</t>
  </si>
  <si>
    <t>279.235 (54%)</t>
  </si>
  <si>
    <t>276.266 (51%)</t>
  </si>
  <si>
    <t>309.290 (52%)</t>
  </si>
  <si>
    <t>295.268 (52%)</t>
  </si>
  <si>
    <t>317.237 (57%)</t>
  </si>
  <si>
    <t>276.262 (51%)</t>
  </si>
  <si>
    <t>301.285 (51%)</t>
  </si>
  <si>
    <t>331.276 (55%)</t>
  </si>
  <si>
    <t>251.245 (51%)</t>
  </si>
  <si>
    <t>308.272 (53%)</t>
  </si>
  <si>
    <t>209.201 (51%)</t>
  </si>
  <si>
    <t>393.333 (54%)</t>
  </si>
  <si>
    <t>221.198 (53%)</t>
  </si>
  <si>
    <t>444.326 (58%)</t>
  </si>
  <si>
    <t>391.333 (54%)</t>
  </si>
  <si>
    <t>251.227 (53%)</t>
  </si>
  <si>
    <t>357.286 (56%)</t>
  </si>
  <si>
    <t>265.243 (52%)</t>
  </si>
  <si>
    <t>338.262 (56%)</t>
  </si>
  <si>
    <t>234.225 (51%)</t>
  </si>
  <si>
    <t>305.293 (51%)</t>
  </si>
  <si>
    <t>257.281 (48%)</t>
  </si>
  <si>
    <t>327.282 (54%)</t>
  </si>
  <si>
    <t>264.223 (54%)</t>
  </si>
  <si>
    <t>322.277 (54%)</t>
  </si>
  <si>
    <t>274.242 (53%)</t>
  </si>
  <si>
    <t>286.240 (54%)</t>
  </si>
  <si>
    <t>244.227 (52%)</t>
  </si>
  <si>
    <t>351.253 (58%)</t>
  </si>
  <si>
    <t>305.267 (53%)</t>
  </si>
  <si>
    <t>345.277 (55%)</t>
  </si>
  <si>
    <t>276.247 (53%)</t>
  </si>
  <si>
    <t>299.285 (51%)</t>
  </si>
  <si>
    <t>278.257 (52%)</t>
  </si>
  <si>
    <t>299.297 (50%)</t>
  </si>
  <si>
    <t>305.260 (54%)</t>
  </si>
  <si>
    <t>311.303 (51%)</t>
  </si>
  <si>
    <t>284.239 (54%)</t>
  </si>
  <si>
    <t>279.230 (55%)</t>
  </si>
  <si>
    <t>304.268 (53%)</t>
  </si>
  <si>
    <t>243.233 (51%)</t>
  </si>
  <si>
    <t>314.260 (55%)</t>
  </si>
  <si>
    <t>218.234 (48%)</t>
  </si>
  <si>
    <t>341.255 (57%)</t>
  </si>
  <si>
    <t>224.236 (49%)</t>
  </si>
  <si>
    <t>339.307 (52%)</t>
  </si>
  <si>
    <t>215.219 (50%)</t>
  </si>
  <si>
    <t>357.339 (51%)</t>
  </si>
  <si>
    <t>182.178 (51%)</t>
  </si>
  <si>
    <t>400.351 (53%)</t>
  </si>
  <si>
    <t>MR  </t>
  </si>
  <si>
    <t>381.306 (55%)</t>
  </si>
  <si>
    <t>222.214 (51%)</t>
  </si>
  <si>
    <t>1 (90.91)</t>
  </si>
  <si>
    <t>377.286 (57%)</t>
  </si>
  <si>
    <t>235.209 (53%)</t>
  </si>
  <si>
    <t>2 (86.36)</t>
  </si>
  <si>
    <t>345.285 (55%)</t>
  </si>
  <si>
    <t>235.224 (51%)</t>
  </si>
  <si>
    <t>3 (81.82)</t>
  </si>
  <si>
    <t>322.303 (52%)</t>
  </si>
  <si>
    <t>253.197 (56%)</t>
  </si>
  <si>
    <t>4 (77.27)</t>
  </si>
  <si>
    <t>320.305 (51%)</t>
  </si>
  <si>
    <t>244.236 (51%)</t>
  </si>
  <si>
    <t>5 (65.91)</t>
  </si>
  <si>
    <t>275.241 (53%)</t>
  </si>
  <si>
    <t>238.249 (49%)</t>
  </si>
  <si>
    <t>6 (56.82)</t>
  </si>
  <si>
    <t>267.295 (48%)</t>
  </si>
  <si>
    <t>245.265 (48%)</t>
  </si>
  <si>
    <t>7 (56.82)</t>
  </si>
  <si>
    <t>327.255 (56%)</t>
  </si>
  <si>
    <t>326.261 (56%)</t>
  </si>
  <si>
    <t>8 (52.27)</t>
  </si>
  <si>
    <t>304.282 (52%)</t>
  </si>
  <si>
    <t>301.276 (52%)</t>
  </si>
  <si>
    <t>9 (45.45)</t>
  </si>
  <si>
    <t>306.224 (58%)</t>
  </si>
  <si>
    <t>312.283 (52%)</t>
  </si>
  <si>
    <t>10 (40.91)</t>
  </si>
  <si>
    <t>254.267 (49%)</t>
  </si>
  <si>
    <t>11 (40.91)</t>
  </si>
  <si>
    <t>300.269 (53%)</t>
  </si>
  <si>
    <t>347.314 (52%)</t>
  </si>
  <si>
    <t>12 (38.64)</t>
  </si>
  <si>
    <t>286.258 (53%)</t>
  </si>
  <si>
    <t>341.269 (56%)</t>
  </si>
  <si>
    <t>13 (38.64)</t>
  </si>
  <si>
    <t>252.230 (52%)</t>
  </si>
  <si>
    <t>315.303 (51%)</t>
  </si>
  <si>
    <t>14 (31.82)</t>
  </si>
  <si>
    <t>264.230 (53%)</t>
  </si>
  <si>
    <t>325.290 (53%)</t>
  </si>
  <si>
    <t>15 (18.18)</t>
  </si>
  <si>
    <t>255.188 (58%)</t>
  </si>
  <si>
    <t>390.323 (55%)</t>
  </si>
  <si>
    <t>16 (13.64)</t>
  </si>
  <si>
    <t>214.250 (46%)</t>
  </si>
  <si>
    <t>406.290 (58%)</t>
  </si>
  <si>
    <t>17 (13.64)</t>
  </si>
  <si>
    <t>335.339 (50%)</t>
  </si>
  <si>
    <t>242.206 (54%)</t>
  </si>
  <si>
    <t>371.292 (56%)</t>
  </si>
  <si>
    <t>241.256 (48%)</t>
  </si>
  <si>
    <t>284.231 (55%)</t>
  </si>
  <si>
    <t>231.205 (53%)</t>
  </si>
  <si>
    <t>321.248 (56%)</t>
  </si>
  <si>
    <t>251.228 (52%)</t>
  </si>
  <si>
    <t>293.259 (53%)</t>
  </si>
  <si>
    <t>272.231 (54%)</t>
  </si>
  <si>
    <t>315.278 (53%)</t>
  </si>
  <si>
    <t>297.262 (53%)</t>
  </si>
  <si>
    <t>265.257 (51%)</t>
  </si>
  <si>
    <t>315.253 (55%)</t>
  </si>
  <si>
    <t>285.273 (51%)</t>
  </si>
  <si>
    <t>326.252 (56%)</t>
  </si>
  <si>
    <t>252.237 (52%)</t>
  </si>
  <si>
    <t>306.287 (52%)</t>
  </si>
  <si>
    <t>250.263 (49%)</t>
  </si>
  <si>
    <t>269.256 (51%)</t>
  </si>
  <si>
    <t>280.291 (49%)</t>
  </si>
  <si>
    <t>254.251 (50%)</t>
  </si>
  <si>
    <t>311.292 (52%)</t>
  </si>
  <si>
    <t>277.268 (51%)</t>
  </si>
  <si>
    <t>358.254 (58%)</t>
  </si>
  <si>
    <t>246.238 (51%)</t>
  </si>
  <si>
    <t>339.314 (52%)</t>
  </si>
  <si>
    <t>333.302 (52%)</t>
  </si>
  <si>
    <t>322.265 (55%)</t>
  </si>
  <si>
    <t>206.175 (54%)</t>
  </si>
  <si>
    <t>337.290 (54%)</t>
  </si>
  <si>
    <t>269.201 (57%)</t>
  </si>
  <si>
    <t>351.272 (56%)</t>
  </si>
  <si>
    <t>284.236 (55%)</t>
  </si>
  <si>
    <t>313.296 (51%)</t>
  </si>
  <si>
    <t>255.248 (51%)</t>
  </si>
  <si>
    <t>307.262 (54%)</t>
  </si>
  <si>
    <t>262.217 (55%)</t>
  </si>
  <si>
    <t>298.229 (57%)</t>
  </si>
  <si>
    <t>273.252 (52%)</t>
  </si>
  <si>
    <t>333.272 (55%)</t>
  </si>
  <si>
    <t>303.262 (54%)</t>
  </si>
  <si>
    <t>310.267 (54%)</t>
  </si>
  <si>
    <t>285.252 (53%)</t>
  </si>
  <si>
    <t>306.284 (52%)</t>
  </si>
  <si>
    <t>290.250 (54%)</t>
  </si>
  <si>
    <t>272.261 (51%)</t>
  </si>
  <si>
    <t>278.220 (56%)</t>
  </si>
  <si>
    <t>294.263 (53%)</t>
  </si>
  <si>
    <t>244.216 (53%)</t>
  </si>
  <si>
    <t>293.257 (53%)</t>
  </si>
  <si>
    <t>333.261 (56%)</t>
  </si>
  <si>
    <t>255.244 (51%)</t>
  </si>
  <si>
    <t>348.300 (54%)</t>
  </si>
  <si>
    <t>252.194 (57%)</t>
  </si>
  <si>
    <t>332.293 (53%)</t>
  </si>
  <si>
    <t>392.320 (55%)</t>
  </si>
  <si>
    <t>354.310 (53%)</t>
  </si>
  <si>
    <t>266.250 (52%)</t>
  </si>
  <si>
    <t>371.280 (57%)</t>
  </si>
  <si>
    <t>308.264 (54%)</t>
  </si>
  <si>
    <t>309.272 (53%)</t>
  </si>
  <si>
    <t>278.255 (52%)</t>
  </si>
  <si>
    <t>287.295 (49%)</t>
  </si>
  <si>
    <t>260.278 (48%)</t>
  </si>
  <si>
    <t>302.283 (52%)</t>
  </si>
  <si>
    <t>266.267 (50%)</t>
  </si>
  <si>
    <t>310.261 (54%)</t>
  </si>
  <si>
    <t>318.279 (53%)</t>
  </si>
  <si>
    <t>331.281 (54%)</t>
  </si>
  <si>
    <t>296.262 (53%)</t>
  </si>
  <si>
    <t>331.242 (58%)</t>
  </si>
  <si>
    <t>335.278 (55%)</t>
  </si>
  <si>
    <t>306.320 (49%)</t>
  </si>
  <si>
    <t>322.268 (55%)</t>
  </si>
  <si>
    <t>323.279 (54%)</t>
  </si>
  <si>
    <t>345.284 (55%)</t>
  </si>
  <si>
    <t>315.240 (57%)</t>
  </si>
  <si>
    <t>384.304 (56%)</t>
  </si>
  <si>
    <t>309.264 (54%)</t>
  </si>
  <si>
    <t>321.282 (53%)</t>
  </si>
  <si>
    <t>287.266 (52%)</t>
  </si>
  <si>
    <t>236.254 (48%)</t>
  </si>
  <si>
    <t>375.285 (57%)</t>
  </si>
  <si>
    <t>376.346 (52%)</t>
  </si>
  <si>
    <t>370.322 (53%)</t>
  </si>
  <si>
    <t>240.224 (52%)</t>
  </si>
  <si>
    <t>337.292 (54%)</t>
  </si>
  <si>
    <t>313.284 (52%)</t>
  </si>
  <si>
    <t>281.249 (53%)</t>
  </si>
  <si>
    <t>Kangaroos</t>
  </si>
  <si>
    <t>314.299 (51%)</t>
  </si>
  <si>
    <t>285.288 (50%)</t>
  </si>
  <si>
    <t>266.259 (51%)</t>
  </si>
  <si>
    <t>288.264 (52%)</t>
  </si>
  <si>
    <t>297.249 (54%)</t>
  </si>
  <si>
    <t>246.222 (53%)</t>
  </si>
  <si>
    <t>270.261 (51%)</t>
  </si>
  <si>
    <t>244.248 (50%)</t>
  </si>
  <si>
    <t>267.272 (50%)</t>
  </si>
  <si>
    <t>282.249 (53%)</t>
  </si>
  <si>
    <t>283.288 (50%)</t>
  </si>
  <si>
    <t>266.289 (48%)</t>
  </si>
  <si>
    <t>333.256 (57%)</t>
  </si>
  <si>
    <t>317.296 (52%)</t>
  </si>
  <si>
    <t>320.264 (55%)</t>
  </si>
  <si>
    <t>351.288 (55%)</t>
  </si>
  <si>
    <t>308.263 (54%)</t>
  </si>
  <si>
    <t>358.321 (53%)</t>
  </si>
  <si>
    <t>349.324 (52%)</t>
  </si>
  <si>
    <t>312.295 (51%)</t>
  </si>
  <si>
    <t>433.313 (58%)</t>
  </si>
  <si>
    <t>285.248 (53%)</t>
  </si>
  <si>
    <t>370.317 (54%)</t>
  </si>
  <si>
    <t>324.313 (51%)</t>
  </si>
  <si>
    <t>273.236 (54%)</t>
  </si>
  <si>
    <t>340.291 (54%)</t>
  </si>
  <si>
    <t>237.218 (52%)</t>
  </si>
  <si>
    <t>303.261 (54%)</t>
  </si>
  <si>
    <t>267.291 (48%)</t>
  </si>
  <si>
    <t>304.274 (53%)</t>
  </si>
  <si>
    <t>240.190 (56%)</t>
  </si>
  <si>
    <t>346.269 (56%)</t>
  </si>
  <si>
    <t>285.255 (53%)</t>
  </si>
  <si>
    <t>302.262 (54%)</t>
  </si>
  <si>
    <t>250.252 (50%)</t>
  </si>
  <si>
    <t>314.262 (55%)</t>
  </si>
  <si>
    <t>282.265 (52%)</t>
  </si>
  <si>
    <t>340.271 (56%)</t>
  </si>
  <si>
    <t>311.307 (50%)</t>
  </si>
  <si>
    <t>278.266 (51%)</t>
  </si>
  <si>
    <t>323.307 (51%)</t>
  </si>
  <si>
    <t>290.242 (55%)</t>
  </si>
  <si>
    <t>293.244 (55%)</t>
  </si>
  <si>
    <t>271.208 (57%)</t>
  </si>
  <si>
    <t>308.292 (51%)</t>
  </si>
  <si>
    <t>271.285 (49%)</t>
  </si>
  <si>
    <t>309.297 (51%)</t>
  </si>
  <si>
    <t>260.284 (48%)</t>
  </si>
  <si>
    <t>324.295 (52%)</t>
  </si>
  <si>
    <t>249.260 (49%)</t>
  </si>
  <si>
    <t>317.265 (54%)</t>
  </si>
  <si>
    <t>291.275 (51%)</t>
  </si>
  <si>
    <t>367.267 (58%)</t>
  </si>
  <si>
    <t>257.249 (51%)</t>
  </si>
  <si>
    <t>301.264 (53%)</t>
  </si>
  <si>
    <t>219.203 (52%)</t>
  </si>
  <si>
    <t>328.293 (53%)</t>
  </si>
  <si>
    <t>267.222 (55%)</t>
  </si>
  <si>
    <t>287.252 (53%)</t>
  </si>
  <si>
    <t>245.226 (52%)</t>
  </si>
  <si>
    <t>355.277 (56%)</t>
  </si>
  <si>
    <t>268.198 (58%)</t>
  </si>
  <si>
    <t>301.247 (55%)</t>
  </si>
  <si>
    <t>301.263 (53%)</t>
  </si>
  <si>
    <t>310.274 (53%)</t>
  </si>
  <si>
    <t>281.220 (56%)</t>
  </si>
  <si>
    <t>317.269 (54%)</t>
  </si>
  <si>
    <t>328.298 (52%)</t>
  </si>
  <si>
    <t>295.258 (53%)</t>
  </si>
  <si>
    <t>300.266 (53%)</t>
  </si>
  <si>
    <t>352.273 (56%)</t>
  </si>
  <si>
    <t>342.299 (53%)</t>
  </si>
  <si>
    <t>304.217 (58%)</t>
  </si>
  <si>
    <t>291.292 (50%)</t>
  </si>
  <si>
    <t>314.255 (55%)</t>
  </si>
  <si>
    <t>313.286 (52%)</t>
  </si>
  <si>
    <t>294.258 (53%)</t>
  </si>
  <si>
    <t>323.252 (56%)</t>
  </si>
  <si>
    <t>314.234 (57%)</t>
  </si>
  <si>
    <t>337.280 (55%)</t>
  </si>
  <si>
    <t>280.224 (56%)</t>
  </si>
  <si>
    <t>343.259 (57%)</t>
  </si>
  <si>
    <t>270.264 (51%)</t>
  </si>
  <si>
    <t>357.283 (56%)</t>
  </si>
  <si>
    <t>293.258 (53%)</t>
  </si>
  <si>
    <t>400.270 (60%)</t>
  </si>
  <si>
    <t>357.271 (57%)</t>
  </si>
  <si>
    <t>258.275 (48%)</t>
  </si>
  <si>
    <t>358.299 (54%)</t>
  </si>
  <si>
    <t>259.229 (53%)</t>
  </si>
  <si>
    <t>370.223 (62%)</t>
  </si>
  <si>
    <t>283.211 (57%)</t>
  </si>
  <si>
    <t>299.294 (50%)</t>
  </si>
  <si>
    <t>254.217 (54%)</t>
  </si>
  <si>
    <t>305.297 (51%)</t>
  </si>
  <si>
    <t>277.238 (54%)</t>
  </si>
  <si>
    <t>287.216 (57%)</t>
  </si>
  <si>
    <t>262.232 (53%)</t>
  </si>
  <si>
    <t>293.284 (51%)</t>
  </si>
  <si>
    <t>290.228 (56%)</t>
  </si>
  <si>
    <t>338.254 (57%)</t>
  </si>
  <si>
    <t>328.260 (56%)</t>
  </si>
  <si>
    <t>275.232 (54%)</t>
  </si>
  <si>
    <t>267.268 (50%)</t>
  </si>
  <si>
    <t>315.252 (56%)</t>
  </si>
  <si>
    <t>317.233 (58%)</t>
  </si>
  <si>
    <t>328.267 (55%)</t>
  </si>
  <si>
    <t>280.270 (51%)</t>
  </si>
  <si>
    <t>299.245 (55%)</t>
  </si>
  <si>
    <t>271.273 (50%)</t>
  </si>
  <si>
    <t>302.270 (53%)</t>
  </si>
  <si>
    <t>280.277 (50%)</t>
  </si>
  <si>
    <t>359.305 (54%)</t>
  </si>
  <si>
    <t>246.192 (56%)</t>
  </si>
  <si>
    <t>343.317 (52%)</t>
  </si>
  <si>
    <t>246.217 (53%)</t>
  </si>
  <si>
    <t>362.273 (57%)</t>
  </si>
  <si>
    <t>326.273 (54%)</t>
  </si>
  <si>
    <t>329.285 (54%)</t>
  </si>
  <si>
    <t>267.256 (51%)</t>
  </si>
  <si>
    <t>335.285 (54%)</t>
  </si>
  <si>
    <t>271.256 (51%)</t>
  </si>
  <si>
    <t>320.222 (59%)</t>
  </si>
  <si>
    <t>270.242 (53%)</t>
  </si>
  <si>
    <t>305.248 (55%)</t>
  </si>
  <si>
    <t>310.254 (55%)</t>
  </si>
  <si>
    <t>255.224 (53%)</t>
  </si>
  <si>
    <t>341.280 (55%)</t>
  </si>
  <si>
    <t>289.248 (54%)</t>
  </si>
  <si>
    <t>322.258 (56%)</t>
  </si>
  <si>
    <t>286.244 (54%)</t>
  </si>
  <si>
    <t>296.235 (56%)</t>
  </si>
  <si>
    <t>294.235 (56%)</t>
  </si>
  <si>
    <t>319.271 (54%)</t>
  </si>
  <si>
    <t>328.255 (56%)</t>
  </si>
  <si>
    <t>307.253 (55%)</t>
  </si>
  <si>
    <t>321.261 (55%)</t>
  </si>
  <si>
    <t>262.247 (51%)</t>
  </si>
  <si>
    <t>301.219 (58%)</t>
  </si>
  <si>
    <t>270.226 (54%)</t>
  </si>
  <si>
    <t>302.266 (53%)</t>
  </si>
  <si>
    <t>280.219 (56%)</t>
  </si>
  <si>
    <t>349.250 (58%)</t>
  </si>
  <si>
    <t>259.230 (53%)</t>
  </si>
  <si>
    <t>394.310 (56%)</t>
  </si>
  <si>
    <t>295.244 (55%)</t>
  </si>
  <si>
    <t>397.311 (56%)</t>
  </si>
  <si>
    <t>350.260 (57%)</t>
  </si>
  <si>
    <t>368.312 (54%)</t>
  </si>
  <si>
    <t>268.235 (53%)</t>
  </si>
  <si>
    <t>339.274 (55%)</t>
  </si>
  <si>
    <t>295.237 (55%)</t>
  </si>
  <si>
    <t>303.263 (54%)</t>
  </si>
  <si>
    <t>273.259 (51%)</t>
  </si>
  <si>
    <t>278.271 (51%)</t>
  </si>
  <si>
    <t>329.269 (55%)</t>
  </si>
  <si>
    <t>327.283 (54%)</t>
  </si>
  <si>
    <t>327.279 (54%)</t>
  </si>
  <si>
    <t>338.241 (58%)</t>
  </si>
  <si>
    <t>327.246 (57%)</t>
  </si>
  <si>
    <t>328.286 (53%)</t>
  </si>
  <si>
    <t>283.235 (55%)</t>
  </si>
  <si>
    <t>298.241 (55%)</t>
  </si>
  <si>
    <t>286.222 (56%)</t>
  </si>
  <si>
    <t>305.277 (52%)</t>
  </si>
  <si>
    <t>310.263 (54%)</t>
  </si>
  <si>
    <t>290.236 (55%)</t>
  </si>
  <si>
    <t>342.283 (55%)</t>
  </si>
  <si>
    <t>329.272 (55%)</t>
  </si>
  <si>
    <t>274.256 (52%)</t>
  </si>
  <si>
    <t>319.237 (57%)</t>
  </si>
  <si>
    <t>257.259 (50%)</t>
  </si>
  <si>
    <t>317.270 (54%)</t>
  </si>
  <si>
    <t>265.195 (58%)</t>
  </si>
  <si>
    <t>334.267 (56%)</t>
  </si>
  <si>
    <t>244.218 (53%)</t>
  </si>
  <si>
    <t>337.278 (55%)</t>
  </si>
  <si>
    <t>379.274 (58%)</t>
  </si>
  <si>
    <t>278.227 (55%)</t>
  </si>
  <si>
    <t>368.330 (53%)</t>
  </si>
  <si>
    <t>291.243 (54%)</t>
  </si>
  <si>
    <t>363.295 (55%)</t>
  </si>
  <si>
    <t>279.244 (53%)</t>
  </si>
  <si>
    <t>312.254 (55%)</t>
  </si>
  <si>
    <t>285.263 (52%)</t>
  </si>
  <si>
    <t>338.283 (54%)</t>
  </si>
  <si>
    <t>261.231 (53%)</t>
  </si>
  <si>
    <t>319.235 (58%)</t>
  </si>
  <si>
    <t>292.289 (50%)</t>
  </si>
  <si>
    <t>307.279 (52%)</t>
  </si>
  <si>
    <t>259.279 (48%)</t>
  </si>
  <si>
    <t>298.297 (50%)</t>
  </si>
  <si>
    <t>300.226 (57%)</t>
  </si>
  <si>
    <t>328.264 (55%)</t>
  </si>
  <si>
    <t>337.283 (54%)</t>
  </si>
  <si>
    <t>364.274 (57%)</t>
  </si>
  <si>
    <t>312.264 (54%)</t>
  </si>
  <si>
    <t>347.282 (55%)</t>
  </si>
  <si>
    <t>279.252 (53%)</t>
  </si>
  <si>
    <t>304.230 (57%)</t>
  </si>
  <si>
    <t>319.247 (56%)</t>
  </si>
  <si>
    <t>352.259 (58%)</t>
  </si>
  <si>
    <t>248.220 (53%)</t>
  </si>
  <si>
    <t>380.310 (55%)</t>
  </si>
  <si>
    <t>284.213 (57%)</t>
  </si>
  <si>
    <t>389.308 (56%)</t>
  </si>
  <si>
    <t>258.246 (51%)</t>
  </si>
  <si>
    <t>362.319 (53%)</t>
  </si>
  <si>
    <t>415.326 (56%)</t>
  </si>
  <si>
    <t>259.216 (55%)</t>
  </si>
  <si>
    <t>396.291 (58%)</t>
  </si>
  <si>
    <t>291.233 (56%)</t>
  </si>
  <si>
    <t>378.289 (57%)</t>
  </si>
  <si>
    <t>314.275 (53%)</t>
  </si>
  <si>
    <t>359.293 (55%)</t>
  </si>
  <si>
    <t>338.276 (55%)</t>
  </si>
  <si>
    <t>329.260 (56%)</t>
  </si>
  <si>
    <t>337.284 (54%)</t>
  </si>
  <si>
    <t>384.298 (56%)</t>
  </si>
  <si>
    <t>323.284 (53%)</t>
  </si>
  <si>
    <t>347.239 (59%)</t>
  </si>
  <si>
    <t>330.261 (56%)</t>
  </si>
  <si>
    <t>327.236 (58%)</t>
  </si>
  <si>
    <t>328.283 (54%)</t>
  </si>
  <si>
    <t>303.250 (55%)</t>
  </si>
  <si>
    <t>323.283 (53%)</t>
  </si>
  <si>
    <t>328.251 (57%)</t>
  </si>
  <si>
    <t>323.317 (50%)</t>
  </si>
  <si>
    <t>347.265 (57%)</t>
  </si>
  <si>
    <t>276.230 (55%)</t>
  </si>
  <si>
    <t>387.296 (57%)</t>
  </si>
  <si>
    <t>326.260 (56%)</t>
  </si>
  <si>
    <t>351.293 (55%)</t>
  </si>
  <si>
    <t>273.290 (48%)</t>
  </si>
  <si>
    <t>339.261 (57%)</t>
  </si>
  <si>
    <t>301.283 (52%)</t>
  </si>
  <si>
    <t>356.295 (55%)</t>
  </si>
  <si>
    <t>272.223 (55%)</t>
  </si>
  <si>
    <t>391.285 (58%)</t>
  </si>
  <si>
    <t>Games: 176, Goals: 5342, Behinds: 4341, Accuracy: 55.17%, Total points: 36393, Average score: 103</t>
  </si>
  <si>
    <t>year</t>
  </si>
  <si>
    <t>Zlatan Ibrahimović - 19</t>
  </si>
  <si>
    <t>Salvatore Sirigu</t>
  </si>
  <si>
    <t>Alexandre Lacazette - 27</t>
  </si>
  <si>
    <t>Anthony Lopes</t>
  </si>
  <si>
    <t>Anthony Martial, Bernardo Silva - 9</t>
  </si>
  <si>
    <t>Danijel Subašić</t>
  </si>
  <si>
    <t>André-Pierre Gignac - 21</t>
  </si>
  <si>
    <t>Steve Mandanda</t>
  </si>
  <si>
    <t>→ Europa League via league finish 1</t>
  </si>
  <si>
    <t>Max Gradel - 17</t>
  </si>
  <si>
    <t>Stéphane Ruffier</t>
  </si>
  <si>
    <t>→ Europa League via league finish 2</t>
  </si>
  <si>
    <t>Diego Rolán - 15</t>
  </si>
  <si>
    <t>Cédric Carrasso</t>
  </si>
  <si>
    <t>Lucas Barrios - 11</t>
  </si>
  <si>
    <t>Geoffrey Jourdren</t>
  </si>
  <si>
    <t>Nolan Roux - 9</t>
  </si>
  <si>
    <t>Vincent Enyeama</t>
  </si>
  <si>
    <t>Paul-Georges Ntep - 10</t>
  </si>
  <si>
    <t>Benoît Costil</t>
  </si>
  <si>
    <t>Claudio Beauvue - 17</t>
  </si>
  <si>
    <t>Carlos Eduardo - 10</t>
  </si>
  <si>
    <t>Floyd Ayité - 6</t>
  </si>
  <si>
    <t>Hervé Bazile - 7</t>
  </si>
  <si>
    <t>Rémy Vercoutre</t>
  </si>
  <si>
    <t>Jordan Veretout - 7</t>
  </si>
  <si>
    <t>Rémy Riou</t>
  </si>
  <si>
    <t>Benjamin Moukandjo - 8</t>
  </si>
  <si>
    <t>Jordan Ayew - 12</t>
  </si>
  <si>
    <t>Wissam Ben Yedder - 14</t>
  </si>
  <si>
    <t>Ali Ahamada</t>
  </si>
  <si>
    <t>Daniel Wass - 8</t>
  </si>
  <si>
    <t>Modibo Maïga - 9</t>
  </si>
  <si>
    <t>Yoann Touzghar - 8</t>
  </si>
  <si>
    <t>Rudy Riou</t>
  </si>
  <si>
    <t>Zlatan Ibrahimović - 26</t>
  </si>
  <si>
    <t>Emmanuel Rivière - 10</t>
  </si>
  <si>
    <t>Salomon Kalou - 16</t>
  </si>
  <si>
    <t>Mevlüt Erdinç - 11</t>
  </si>
  <si>
    <t>Alexandre Lacazette - 15</t>
  </si>
  <si>
    <t>André-Pierre Gignac - 16</t>
  </si>
  <si>
    <t>Cheick Diabaté - 12</t>
  </si>
  <si>
    <t>Vincent Aboubakar - 16</t>
  </si>
  <si>
    <t>Fabien Audard</t>
  </si>
  <si>
    <t>Wissam Ben Yedder - 16</t>
  </si>
  <si>
    <t>Gianni Bruno - 8</t>
  </si>
  <si>
    <t>Mickaël Landreau</t>
  </si>
  <si>
    <t>Prince Oniangué - 10</t>
  </si>
  <si>
    <t>Kossi Agassa</t>
  </si>
  <si>
    <t>Nélson Oliveira - 8</t>
  </si>
  <si>
    <t>Filip Đorđević - 10</t>
  </si>
  <si>
    <t>Kévin Bérigaud - 10</t>
  </si>
  <si>
    <t>Jesper Hansen</t>
  </si>
  <si>
    <t>Rémy Cabella - 14</t>
  </si>
  <si>
    <t>Mustapha Yatabaré - 11</t>
  </si>
  <si>
    <t>Guy N'dy Assembé, Mamadou Samassa</t>
  </si>
  <si>
    <t>→ Europa League via cup win 2</t>
  </si>
  <si>
    <t>Darío Cvitanich - 8</t>
  </si>
  <si>
    <t>David Ospina</t>
  </si>
  <si>
    <t>Cédric Bakambu - 7</t>
  </si>
  <si>
    <t>Simon Pouplin</t>
  </si>
  <si>
    <t>Abdul Majeed Waris - 9</t>
  </si>
  <si>
    <t>Nicolas Penneteau</t>
  </si>
  <si>
    <t>Junior Tallo - 7</t>
  </si>
  <si>
    <t>Guillermo Ochoa</t>
  </si>
  <si>
    <t>Zlatan Ibrahimović - 30</t>
  </si>
  <si>
    <t>André-Pierre Gignac - 13</t>
  </si>
  <si>
    <t>Bafétimbi Gomis - 16</t>
  </si>
  <si>
    <t>Darío Cvitanich - 19</t>
  </si>
  <si>
    <t>Pierre-Emerick Aubameyang - 19</t>
  </si>
  <si>
    <t>→ Europa League via cup win 1</t>
  </si>
  <si>
    <t>Salomon Kalou - 14</t>
  </si>
  <si>
    <t>Steeve Elana</t>
  </si>
  <si>
    <t>Yoan Gouffran, Cheick Diabaté... - 8</t>
  </si>
  <si>
    <t>Jérémie Aliadière - 15</t>
  </si>
  <si>
    <t>Souleymane Camara, Younès Belhanda - 10</t>
  </si>
  <si>
    <t>Wissam Ben Yedder - 15</t>
  </si>
  <si>
    <t>Grégory Pujol - 8</t>
  </si>
  <si>
    <t>Anthony Modeste - 15</t>
  </si>
  <si>
    <t>Julien Féret - 11</t>
  </si>
  <si>
    <t>Gaëtan Courtet - 9</t>
  </si>
  <si>
    <t>Sloan Privat - 9</t>
  </si>
  <si>
    <t>Saber Khalifa - 13</t>
  </si>
  <si>
    <t>Bertrand Laquait</t>
  </si>
  <si>
    <t>Adrian Mutu - 11</t>
  </si>
  <si>
    <t>2-point deduction 3</t>
  </si>
  <si>
    <t>Sébastien Puygrenier - 7</t>
  </si>
  <si>
    <t>Damien Gregorini</t>
  </si>
  <si>
    <t>Benjamin Nivet - 10</t>
  </si>
  <si>
    <t>Yohann Thuram-Ulien</t>
  </si>
  <si>
    <t>Eden Ben Basat - 9</t>
  </si>
  <si>
    <t>Alexis Thébaux</t>
  </si>
  <si>
    <t>Olivier Giroud - 21</t>
  </si>
  <si>
    <t>Nenê - 21</t>
  </si>
  <si>
    <t>Eden Hazard - 20</t>
  </si>
  <si>
    <t>Lisandro López - 16</t>
  </si>
  <si>
    <t>Hugo Lloris</t>
  </si>
  <si>
    <t>Yoan Gouffran - 14</t>
  </si>
  <si>
    <t>Jirès Kembo Ekoko - 10</t>
  </si>
  <si>
    <t>Pierre-Emerick Aubameyang - 16</t>
  </si>
  <si>
    <t>Emmanuel Rivière, Umut Bulut - 5</t>
  </si>
  <si>
    <t>Yannick Sagbo - 10</t>
  </si>
  <si>
    <t>Stephan Andersen</t>
  </si>
  <si>
    <t>Loïc Rémy - 12</t>
  </si>
  <si>
    <t>Daniel Niculae - 6</t>
  </si>
  <si>
    <t>Guy N'dy Assembé</t>
  </si>
  <si>
    <t>Renaud Cohade, Gaël Danic - 7</t>
  </si>
  <si>
    <t>Fabián Monzón, Anthony Mounier - 8</t>
  </si>
  <si>
    <t>Teddy Richert</t>
  </si>
  <si>
    <t>Bruno Grougi - 9</t>
  </si>
  <si>
    <t>Ilan - 6</t>
  </si>
  <si>
    <t>Kévin Monnet-Paquet - 6</t>
  </si>
  <si>
    <t>Benjamin Nivet - 7</t>
  </si>
  <si>
    <t>Brice Jovial - 9</t>
  </si>
  <si>
    <t>Baptiste Reynet</t>
  </si>
  <si>
    <t>Dennis Oliech - 10</t>
  </si>
  <si>
    <t>Olivier Sorin</t>
  </si>
  <si>
    <t>Moussa Sow - 25</t>
  </si>
  <si>
    <t>Loïc Rémy - 15</t>
  </si>
  <si>
    <t>Lisandro López - 17</t>
  </si>
  <si>
    <t>Nenê - 14</t>
  </si>
  <si>
    <t>Apoula Edel</t>
  </si>
  <si>
    <t>Brown Ideye, Modibo Maïga - 15</t>
  </si>
  <si>
    <t>Víctor Montaño - 9</t>
  </si>
  <si>
    <t>Nicolas Douchez</t>
  </si>
  <si>
    <t>Anthony Modeste - 10</t>
  </si>
  <si>
    <t>Daniel Braaten, Federico Santander... - 5</t>
  </si>
  <si>
    <t>Mathieu Valverde</t>
  </si>
  <si>
    <t>Ireneusz Jeleń, Valter Birsa... - 5</t>
  </si>
  <si>
    <t>Dimitri Payet - 13</t>
  </si>
  <si>
    <t>Jérémie Janot</t>
  </si>
  <si>
    <t>Kévin Gameiro - 22</t>
  </si>
  <si>
    <t>Grégory Pujol - 17</t>
  </si>
  <si>
    <t>Youssouf Hadji - 8</t>
  </si>
  <si>
    <t>Olivier Giroud - 12</t>
  </si>
  <si>
    <t>Youssef El-Arabi - 17</t>
  </si>
  <si>
    <t>Éric Mouloungui - 8</t>
  </si>
  <si>
    <t>Park Chu-young - 12</t>
  </si>
  <si>
    <t>Issam Jemâa - 5</t>
  </si>
  <si>
    <t>Vedran Runje</t>
  </si>
  <si>
    <t>Franck Dja Djédjé - 4</t>
  </si>
  <si>
    <t>Cyrille Merville</t>
  </si>
  <si>
    <t>Mamadou Niang - 18</t>
  </si>
  <si>
    <t>Lisandro López - 15</t>
  </si>
  <si>
    <t>Ireneusz Jeleń - 14</t>
  </si>
  <si>
    <t>Yohan Cabaye, Pierre-Alain Frau... - 13</t>
  </si>
  <si>
    <t>Víctor Montaño - 11</t>
  </si>
  <si>
    <t>Wendel Geraldo - 11</t>
  </si>
  <si>
    <t>Kévin Gameiro - 17</t>
  </si>
  <si>
    <t>Asamoah Gyan - 13</t>
  </si>
  <si>
    <t>Fahid Ben Khalfallah, Mamadou Samassa... - 7</t>
  </si>
  <si>
    <t>Toifilou Maoulida - 10</t>
  </si>
  <si>
    <t>Youssouf Hadji - 11</t>
  </si>
  <si>
    <t>Gennaro Bracigliano</t>
  </si>
  <si>
    <t>Mevlüt Erdinç - 15</t>
  </si>
  <si>
    <t>André-Pierre Gignac - 8</t>
  </si>
  <si>
    <t>Yohann Pelé</t>
  </si>
  <si>
    <t>Loïc Rémy - 14</t>
  </si>
  <si>
    <t>Stéphane Dalmat - 4</t>
  </si>
  <si>
    <t>Emmanuel Rivière - 8</t>
  </si>
  <si>
    <t>Anthony Le Tallec - 8</t>
  </si>
  <si>
    <t>Didier Ovono</t>
  </si>
  <si>
    <t>Jérémy Blayac - 6</t>
  </si>
  <si>
    <t>Jean-François Bédénik</t>
  </si>
  <si>
    <t>Danijel Ljuboja - 10</t>
  </si>
  <si>
    <t>Jody Viviani</t>
  </si>
  <si>
    <t>Fernando Cavenaghi, Marouane Chamakh - 13</t>
  </si>
  <si>
    <t>Ulrich Ramé</t>
  </si>
  <si>
    <t>Mamadou Niang - 14</t>
  </si>
  <si>
    <t>Karim Benzema - 17</t>
  </si>
  <si>
    <t>André-Pierre Gignac - 24</t>
  </si>
  <si>
    <t>Michel Bastos - 14</t>
  </si>
  <si>
    <t>Grégory Malicki</t>
  </si>
  <si>
    <t>Guillaume Hoarau - 17</t>
  </si>
  <si>
    <t>Moussa Sow - 9</t>
  </si>
  <si>
    <t>Loïc Rémy - 11</t>
  </si>
  <si>
    <t>Kévin Gameiro - 11</t>
  </si>
  <si>
    <t>Alexandre Licata - 7</t>
  </si>
  <si>
    <t>Johan Audel, Grégory Pujol - 7</t>
  </si>
  <si>
    <t>Nassim Akrour - 6</t>
  </si>
  <si>
    <t>Grégory Wimbée</t>
  </si>
  <si>
    <t>Thorstein Helstad - 10</t>
  </si>
  <si>
    <t>Bafétimbi Gomis, Ilan - 9</t>
  </si>
  <si>
    <t>Steve Savidan - 14</t>
  </si>
  <si>
    <t>Vincent Planté</t>
  </si>
  <si>
    <t>Mamadou Bagayoko - 7</t>
  </si>
  <si>
    <t>Jérôme Alonzo</t>
  </si>
  <si>
    <t>Amadou Alassane - 10</t>
  </si>
  <si>
    <t>Christophe Revault</t>
  </si>
  <si>
    <t>Karim Benzema - 20</t>
  </si>
  <si>
    <t>Grégory Coupet, Rémy Vercoutre</t>
  </si>
  <si>
    <t>Fernando Cavenaghi - 15</t>
  </si>
  <si>
    <t>Youssouf Hadji - 7</t>
  </si>
  <si>
    <t>→ UEFA Cup via league finish</t>
  </si>
  <si>
    <t>→ UEFA Cup via league finish 1</t>
  </si>
  <si>
    <t>Mickaël Pagis - 11</t>
  </si>
  <si>
    <t>Patrice Luzi, Simon Pouplin</t>
  </si>
  <si>
    <t>→ UEFA Intertoto Cup via league finish</t>
  </si>
  <si>
    <t>Michel Bastos - 8</t>
  </si>
  <si>
    <t>Tony Sylva</t>
  </si>
  <si>
    <t>Bakari Koné - 14</t>
  </si>
  <si>
    <t>Túlio de Melo - 13</t>
  </si>
  <si>
    <t>Rafik Saïfi - 14</t>
  </si>
  <si>
    <t>Yoan Gouffran - 10</t>
  </si>
  <si>
    <t>Jérémy Ménez, Frédéric Piquionne - 7</t>
  </si>
  <si>
    <t>Flavio Roma</t>
  </si>
  <si>
    <t>Steve Savidan - 13</t>
  </si>
  <si>
    <t>Daniel Niculae - 11</t>
  </si>
  <si>
    <t>Rémy Riou, Olivier Sorin</t>
  </si>
  <si>
    <t>Amara Diané - 11</t>
  </si>
  <si>
    <t>→ UEFA Cup via cup win 2</t>
  </si>
  <si>
    <t>Johan Elmander - 11</t>
  </si>
  <si>
    <t>Olivier Monterrubio - 9</t>
  </si>
  <si>
    <t>Wason Rentería - 9</t>
  </si>
  <si>
    <t>Stéphane Cassard</t>
  </si>
  <si>
    <t>Babacar Gueye - 6</t>
  </si>
  <si>
    <t>Christophe Marichez</t>
  </si>
  <si>
    <t>Fred - 11</t>
  </si>
  <si>
    <t>Grégory Coupet</t>
  </si>
  <si>
    <t>Mamadou Niang - 12</t>
  </si>
  <si>
    <t>John Utaka - 11</t>
  </si>
  <si>
    <t>Seydou Keita, Aruna Dindane - 11</t>
  </si>
  <si>
    <t>Charles Itandje</t>
  </si>
  <si>
    <t>Jean-Claude Darcheville - 7</t>
  </si>
  <si>
    <t>→ UEFA Cup via cup win 1</t>
  </si>
  <si>
    <t>Álvaro Santos, Karim Ziani - 8</t>
  </si>
  <si>
    <t>Ireneusz Jeleń - 10</t>
  </si>
  <si>
    <t>Jan Koller - 8</t>
  </si>
  <si>
    <t>Abdul Kader Keïta - 9</t>
  </si>
  <si>
    <t>Bafétimbi Gomis - 10</t>
  </si>
  <si>
    <t>Ismaël Bangoura, Grafite - 12</t>
  </si>
  <si>
    <t>Benjamin Gavanon - 8</t>
  </si>
  <si>
    <t>André-Pierre Gignac - 9</t>
  </si>
  <si>
    <t>Pauleta - 15</t>
  </si>
  <si>
    <t>David Bellion, Bakari Koné - 8</t>
  </si>
  <si>
    <t>David Gigliotti - 9</t>
  </si>
  <si>
    <t>Ronan Le Crom</t>
  </si>
  <si>
    <t>Grégory Pujol - 10</t>
  </si>
  <si>
    <t>Patrick Regnault</t>
  </si>
  <si>
    <t>Claudiu Keșerü, Mamadou Diallo... - 4</t>
  </si>
  <si>
    <t>Fabien Barthez</t>
  </si>
  <si>
    <t>Fred - 14</t>
  </si>
  <si>
    <t>Jean-Claude Darcheville - 8</t>
  </si>
  <si>
    <t>Peter Odemwingie - 14</t>
  </si>
  <si>
    <t>Daniel Cousin - 13</t>
  </si>
  <si>
    <t>Mamadou Niang - 10</t>
  </si>
  <si>
    <t>Luigi Pieroni - 12</t>
  </si>
  <si>
    <t>Fabien Cool</t>
  </si>
  <si>
    <t>Andreas Isaksson</t>
  </si>
  <si>
    <t>Bakari Koné - 7</t>
  </si>
  <si>
    <t>Pauleta - 21</t>
  </si>
  <si>
    <t>Lionel Letizi</t>
  </si>
  <si>
    <t>Javier Chevantón - 10</t>
  </si>
  <si>
    <t>Guillaume Warmuz</t>
  </si>
  <si>
    <t>Túlio de Melo - 7</t>
  </si>
  <si>
    <t>Élie Kroupi - 9</t>
  </si>
  <si>
    <t>Frédéric Piquionne - 6</t>
  </si>
  <si>
    <t>Mamadou Diallo - 10</t>
  </si>
  <si>
    <t>Ilan - 10</t>
  </si>
  <si>
    <t>Daniel Moreira - 10</t>
  </si>
  <si>
    <t>Sébastien Grax - 9</t>
  </si>
  <si>
    <t>Moussa N'Diaye, Waldir Lucas Pereira - 5</t>
  </si>
  <si>
    <t>Stéphane Porato</t>
  </si>
  <si>
    <t>Amara Diané - 9</t>
  </si>
  <si>
    <t>Babacar Gueye, Grégory Proment... - 3</t>
  </si>
  <si>
    <t>Juninho Pernambucano - 13</t>
  </si>
  <si>
    <t>Matt Moussilou - 13</t>
  </si>
  <si>
    <t>Mohamed Kallon, Javier Chevantón - 10</t>
  </si>
  <si>
    <t>Alexander Frei - 20</t>
  </si>
  <si>
    <t>Péguy Luyindula - 10</t>
  </si>
  <si>
    <t>Pascal Feindouno - 13</t>
  </si>
  <si>
    <t>John Utaka - 12</t>
  </si>
  <si>
    <t>Benjani - 11</t>
  </si>
  <si>
    <t>Pauleta - 14</t>
  </si>
  <si>
    <t>Ilan - 13</t>
  </si>
  <si>
    <t>Mickaël Pagis - 15</t>
  </si>
  <si>
    <t>Marama Vahirua - 10</t>
  </si>
  <si>
    <t>Daniel Moreira - 11</t>
  </si>
  <si>
    <t>Waldir Lucas Pereira - 11</t>
  </si>
  <si>
    <t>Marouane Chamakh - 10</t>
  </si>
  <si>
    <t>Hervé Tum - 9</t>
  </si>
  <si>
    <t>Sébastien Mazure - 13</t>
  </si>
  <si>
    <t>Moussa N'Diaye - 6</t>
  </si>
  <si>
    <t>Péguy Luyindula - 16</t>
  </si>
  <si>
    <t>Pauleta - 18</t>
  </si>
  <si>
    <t>Ludovic Giuly - 13</t>
  </si>
  <si>
    <t>Djibril Cissé - 26</t>
  </si>
  <si>
    <t>Pierre-Alain Frau - 17</t>
  </si>
  <si>
    <t>Viorel Moldovan - 11</t>
  </si>
  <si>
    <t>Didier Drogba - 19</t>
  </si>
  <si>
    <t>Daniel Moreira - 8</t>
  </si>
  <si>
    <t>Petr Čech</t>
  </si>
  <si>
    <t>Vladimir Manchev - 13</t>
  </si>
  <si>
    <t>Lilian Laslandes - 10</t>
  </si>
  <si>
    <t>Juan Pablo Francia, Jean-Claude Darcheville - 7</t>
  </si>
  <si>
    <t>Ulrich Le Pen, Mamadou Niang - 9</t>
  </si>
  <si>
    <t>Richard Dutruel</t>
  </si>
  <si>
    <t>Toifilou Maoulida - 12</t>
  </si>
  <si>
    <t>Ludovic Butelle</t>
  </si>
  <si>
    <t>Mamadou Bagayoko - 8</t>
  </si>
  <si>
    <t>Stéphane Trévisan</t>
  </si>
  <si>
    <t>Cédric Fauré - 10</t>
  </si>
  <si>
    <t>Florian Maurice - 8</t>
  </si>
  <si>
    <t>Moumouni Dagano - 8</t>
  </si>
  <si>
    <t>Daniel Cousin - 11</t>
  </si>
  <si>
    <t>Habib Bamogo - 16</t>
  </si>
  <si>
    <t>Sonny Anderson - 14</t>
  </si>
  <si>
    <t>Daniel Moreira - 12</t>
  </si>
  <si>
    <t>Djibril Cissé - 22</t>
  </si>
  <si>
    <t>Ronaldinho - 9</t>
  </si>
  <si>
    <t>Bruno Cheyrou - 11</t>
  </si>
  <si>
    <t>Pauleta - 22</t>
  </si>
  <si>
    <t>Nicolas Goussé - 15</t>
  </si>
  <si>
    <t>Tony Heurtebis</t>
  </si>
  <si>
    <t>Pierre-Alain Frau - 14</t>
  </si>
  <si>
    <t>Vincent Fernandez</t>
  </si>
  <si>
    <t>Ibrahima Bakayoko - 8</t>
  </si>
  <si>
    <t>Marama Vahirua - 6</t>
  </si>
  <si>
    <t>Tony Vairelles - 14</t>
  </si>
  <si>
    <t>Olivier Monterrubio - 8</t>
  </si>
  <si>
    <t>Éric Durand</t>
  </si>
  <si>
    <t>Toifilou Maoulida - 5</t>
  </si>
  <si>
    <t>Henri Camara, Pius Ndiefi - 8</t>
  </si>
  <si>
    <t>Shabani Nonda - 14</t>
  </si>
  <si>
    <t>Cédric Bardon - 8</t>
  </si>
  <si>
    <t>Éric Loussouarn</t>
  </si>
  <si>
    <t>Jonathan Jäger - 6</t>
  </si>
  <si>
    <t>Jacques Songo'o</t>
  </si>
  <si>
    <t>Jean-Claude Darcheville - 19</t>
  </si>
  <si>
    <t>Stéphane Le Garrec</t>
  </si>
  <si>
    <t>Relegated, → UEFA Cup via cup win 2</t>
  </si>
  <si>
    <t> Paris Saint-Germain</t>
  </si>
  <si>
    <t> Lyon</t>
  </si>
  <si>
    <t> Monaco</t>
  </si>
  <si>
    <t> Marseille</t>
  </si>
  <si>
    <t> Saint-Étienne</t>
  </si>
  <si>
    <t> Bordeaux</t>
  </si>
  <si>
    <t> Montpellier</t>
  </si>
  <si>
    <t> Lille</t>
  </si>
  <si>
    <t> Rennes</t>
  </si>
  <si>
    <t> Guingamp</t>
  </si>
  <si>
    <t> Nice</t>
  </si>
  <si>
    <t> Bastia</t>
  </si>
  <si>
    <t> Caen</t>
  </si>
  <si>
    <t> Nantes</t>
  </si>
  <si>
    <t> Reims</t>
  </si>
  <si>
    <t> Lorient</t>
  </si>
  <si>
    <t> Toulouse</t>
  </si>
  <si>
    <t> Evian</t>
  </si>
  <si>
    <t> Metz</t>
  </si>
  <si>
    <t> Lens</t>
  </si>
  <si>
    <t> Sochaux</t>
  </si>
  <si>
    <t> Valenciennes</t>
  </si>
  <si>
    <t> Ajaccio</t>
  </si>
  <si>
    <t> Nancy</t>
  </si>
  <si>
    <t> Troyes</t>
  </si>
  <si>
    <t> Brest</t>
  </si>
  <si>
    <t> Dijon</t>
  </si>
  <si>
    <t> Auxerre</t>
  </si>
  <si>
    <t> Arles-Avignon</t>
  </si>
  <si>
    <t> Le Mans</t>
  </si>
  <si>
    <t> Boulogne</t>
  </si>
  <si>
    <t> Grenoble Foot</t>
  </si>
  <si>
    <t> Le Havre</t>
  </si>
  <si>
    <t> Strasbourg</t>
  </si>
  <si>
    <t> Sedan</t>
  </si>
  <si>
    <t> Istres</t>
  </si>
  <si>
    <t>Diego Costa - 20</t>
  </si>
  <si>
    <t>Thibaut Courtois</t>
  </si>
  <si>
    <t>Sergio Agüero - 26</t>
  </si>
  <si>
    <t>Joe Hart</t>
  </si>
  <si>
    <t>Alexis Sánchez - 16</t>
  </si>
  <si>
    <t>Wayne Rooney - 12</t>
  </si>
  <si>
    <t>David de Gea</t>
  </si>
  <si>
    <t>Harry Kane - 21</t>
  </si>
  <si>
    <t>Steven Gerrard - 9</t>
  </si>
  <si>
    <t>Simon Mignolet</t>
  </si>
  <si>
    <t>Graziano Pellè - 12</t>
  </si>
  <si>
    <t>Fraser Forster</t>
  </si>
  <si>
    <t>Wilfried Bony - 9</t>
  </si>
  <si>
    <t>Łukasz Fabiański</t>
  </si>
  <si>
    <t>Mame Biram Diouf - 11</t>
  </si>
  <si>
    <t>Asmir Begović</t>
  </si>
  <si>
    <t>Glenn Murray - 7</t>
  </si>
  <si>
    <t>Julián Speroni</t>
  </si>
  <si>
    <t>Romelu Lukaku - 10</t>
  </si>
  <si>
    <t>Tim Howard</t>
  </si>
  <si>
    <t>Diafra Sakho - 10</t>
  </si>
  <si>
    <t>Adrián</t>
  </si>
  <si>
    <t>→ Europa League 3</t>
  </si>
  <si>
    <t>Saido Berahino - 14</t>
  </si>
  <si>
    <t>Ben Foster</t>
  </si>
  <si>
    <t>Leonardo Ulloa - 11</t>
  </si>
  <si>
    <t>Kasper Schmeichel</t>
  </si>
  <si>
    <t>Papiss Cissé - 11</t>
  </si>
  <si>
    <t>Tim Krul</t>
  </si>
  <si>
    <t>Steven Fletcher, Connor Wickham - 5</t>
  </si>
  <si>
    <t>Costel Pantilimon</t>
  </si>
  <si>
    <t>Christian Benteke - 13</t>
  </si>
  <si>
    <t>Brad Guzan</t>
  </si>
  <si>
    <t>Nikica Jelavić - 8</t>
  </si>
  <si>
    <t>Allan McGregor</t>
  </si>
  <si>
    <t>Danny Ings - 11</t>
  </si>
  <si>
    <t>Tom Heaton</t>
  </si>
  <si>
    <t>Charlie Austin - 18</t>
  </si>
  <si>
    <t>Robert Green</t>
  </si>
  <si>
    <t>Yaya Touré - 20</t>
  </si>
  <si>
    <t>Luis Suárez - 31</t>
  </si>
  <si>
    <t>Eden Hazard - 14</t>
  </si>
  <si>
    <t>Olivier Giroud - 16</t>
  </si>
  <si>
    <t>Wojciech Szczęsny</t>
  </si>
  <si>
    <t>Romelu Lukaku - 15</t>
  </si>
  <si>
    <t>Emmanuel Adebayor - 11</t>
  </si>
  <si>
    <t>Wayne Rooney - 17</t>
  </si>
  <si>
    <t>Jay Rodriguez - 15</t>
  </si>
  <si>
    <t>Artur Boruc</t>
  </si>
  <si>
    <t>Charlie Adam, Peter Crouch - 7</t>
  </si>
  <si>
    <t>Dwight Gayle, Jason Puncheon - 7</t>
  </si>
  <si>
    <t>Wilfried Bony - 16</t>
  </si>
  <si>
    <t>Michel Vorm</t>
  </si>
  <si>
    <t>Kevin Nolan - 7</t>
  </si>
  <si>
    <t>Adam Johnson - 8</t>
  </si>
  <si>
    <t>Vito Mannone</t>
  </si>
  <si>
    <t>Christian Benteke - 10</t>
  </si>
  <si>
    <t>Nikica Jelavić - 5</t>
  </si>
  <si>
    <t>→ Europa League via cup loss 2</t>
  </si>
  <si>
    <t>Saido Berahino, Stéphane Sessègnon - 5</t>
  </si>
  <si>
    <t>Gary Hooper, Robert Snodgrass - 6</t>
  </si>
  <si>
    <t>John Ruddy</t>
  </si>
  <si>
    <t>Steve Sidwell - 7</t>
  </si>
  <si>
    <t>David Stockdale</t>
  </si>
  <si>
    <t>Jordon Mutch - 7</t>
  </si>
  <si>
    <t>David Marshall</t>
  </si>
  <si>
    <t>Robin van Persie - 26</t>
  </si>
  <si>
    <t>Edin Džeko - 14</t>
  </si>
  <si>
    <t>Frank Lampard - 15</t>
  </si>
  <si>
    <t>Theo Walcott - 14</t>
  </si>
  <si>
    <t>Gareth Bale - 21</t>
  </si>
  <si>
    <t>Marouane Fellaini - 11</t>
  </si>
  <si>
    <t>Luis Suárez - 23</t>
  </si>
  <si>
    <t>Pepe Reina</t>
  </si>
  <si>
    <t>Romelu Lukaku - 17</t>
  </si>
  <si>
    <t>Michu - 18</t>
  </si>
  <si>
    <t>Kevin Nolan - 10</t>
  </si>
  <si>
    <t>Jussi Jääskeläinen</t>
  </si>
  <si>
    <t>Grant Holt - 8</t>
  </si>
  <si>
    <t>Mark Bunn</t>
  </si>
  <si>
    <t>Dimitar Berbatov - 15</t>
  </si>
  <si>
    <t>Mark Schwarzer</t>
  </si>
  <si>
    <t>Jonathan Walters - 8</t>
  </si>
  <si>
    <t>Rickie Lambert - 15</t>
  </si>
  <si>
    <t>Christian Benteke - 19</t>
  </si>
  <si>
    <t>Demba Ba - 13</t>
  </si>
  <si>
    <t>Steven Fletcher - 11</t>
  </si>
  <si>
    <t>Arouna Koné - 11</t>
  </si>
  <si>
    <t>Ali Al-Habsi</t>
  </si>
  <si>
    <t>Relegated, → Europa League via cup win 2</t>
  </si>
  <si>
    <t>Adam le Fondre - 12</t>
  </si>
  <si>
    <t>Adam Federici</t>
  </si>
  <si>
    <t>Loïc Rémy - 6</t>
  </si>
  <si>
    <t>Júlio César</t>
  </si>
  <si>
    <t>Sergio Agüero - 23</t>
  </si>
  <si>
    <t>Wayne Rooney - 27</t>
  </si>
  <si>
    <t>Robin van Persie - 30</t>
  </si>
  <si>
    <t>Emmanuel Adebayor - 17</t>
  </si>
  <si>
    <t>Brad Friedel</t>
  </si>
  <si>
    <t>Demba Ba - 16</t>
  </si>
  <si>
    <t>Frank Lampard, Daniel Sturridge - 11</t>
  </si>
  <si>
    <t>→ Champions League via Champions League win</t>
  </si>
  <si>
    <t>Nikica Jelavić - 9</t>
  </si>
  <si>
    <t>Luis Suárez - 11</t>
  </si>
  <si>
    <t>Clint Dempsey - 17</t>
  </si>
  <si>
    <t>Peter Odemwingie - 10</t>
  </si>
  <si>
    <t>Danny Graham - 12</t>
  </si>
  <si>
    <t>Grant Holt - 15</t>
  </si>
  <si>
    <t>Nicklas Bendtner - 8</t>
  </si>
  <si>
    <t>Peter Crouch - 10</t>
  </si>
  <si>
    <t>Franco Di Santo - 7</t>
  </si>
  <si>
    <t>Darren Bent - 9</t>
  </si>
  <si>
    <t>Shay Given</t>
  </si>
  <si>
    <t>Heiðar Helguson - 8</t>
  </si>
  <si>
    <t>Paddy Kenny</t>
  </si>
  <si>
    <t>Ivan Klasnić - 8</t>
  </si>
  <si>
    <t>Ádám Bogdán</t>
  </si>
  <si>
    <t>Yakubu Aiyegbeni - 17</t>
  </si>
  <si>
    <t>Paul Robinson</t>
  </si>
  <si>
    <t>Steven Fletcher - 12</t>
  </si>
  <si>
    <t>Wayne Hennessey</t>
  </si>
  <si>
    <t>Dimitar Berbatov - 20</t>
  </si>
  <si>
    <t>Edwin van der Sar</t>
  </si>
  <si>
    <t>Florent Malouda - 13</t>
  </si>
  <si>
    <t>Carlos Tevez - 20</t>
  </si>
  <si>
    <t>Robin van Persie - 18</t>
  </si>
  <si>
    <t>Rafael van der Vaart - 13</t>
  </si>
  <si>
    <t>Heurelho Gomes</t>
  </si>
  <si>
    <t>Dirk Kuyt - 13</t>
  </si>
  <si>
    <t>Tim Cahill - 9</t>
  </si>
  <si>
    <t>Clint Dempsey - 12</t>
  </si>
  <si>
    <t>→ Europa League 1</t>
  </si>
  <si>
    <t>Asamoah Gyan - 10</t>
  </si>
  <si>
    <t>Peter Odemwingie - 15</t>
  </si>
  <si>
    <t>Scott Carson</t>
  </si>
  <si>
    <t>Kevin Nolan - 12</t>
  </si>
  <si>
    <t>Kenwyne Jones - 9</t>
  </si>
  <si>
    <t>Johan Elmander - 10</t>
  </si>
  <si>
    <t>Nikola Kalinić, Junior Hoilett... - 5</t>
  </si>
  <si>
    <t>Charles N'Zogbia, Hugo Rodallega - 9</t>
  </si>
  <si>
    <t>Steven Fletcher - 10</t>
  </si>
  <si>
    <t>Craig Gardner - 8</t>
  </si>
  <si>
    <t>Relegated, → Europa League via cup win</t>
  </si>
  <si>
    <t>DJ Campbell - 13</t>
  </si>
  <si>
    <t>Richard Kingson</t>
  </si>
  <si>
    <t>Demba Ba - 7</t>
  </si>
  <si>
    <t>Didier Drogba - 29</t>
  </si>
  <si>
    <t>Wayne Rooney - 26</t>
  </si>
  <si>
    <t>Cesc Fàbregas - 15</t>
  </si>
  <si>
    <t>Manuel Almunia</t>
  </si>
  <si>
    <t>Jermain Defoe - 18</t>
  </si>
  <si>
    <t>Carlos Tevez - 23</t>
  </si>
  <si>
    <t>Gabriel Agbonlahor - 13</t>
  </si>
  <si>
    <t>Fernando Torres - 18</t>
  </si>
  <si>
    <t>Louis Saha - 13</t>
  </si>
  <si>
    <t>Cameron Jerome - 11</t>
  </si>
  <si>
    <t>David Dunn - 9</t>
  </si>
  <si>
    <t>Matthew Etherington - 5</t>
  </si>
  <si>
    <t>Thomas Sørensen</t>
  </si>
  <si>
    <t>Bobby Zamora - 8</t>
  </si>
  <si>
    <t>Darren Bent - 24</t>
  </si>
  <si>
    <t>Craig Gordon</t>
  </si>
  <si>
    <t>Ivan Klasnić, Matthew Taylor - 8</t>
  </si>
  <si>
    <t>Kevin Doyle - 9</t>
  </si>
  <si>
    <t>Marcus Hahnemann</t>
  </si>
  <si>
    <t>Hugo Rodallega - 10</t>
  </si>
  <si>
    <t>Chris Kirkland</t>
  </si>
  <si>
    <t>Carlton Cole - 10</t>
  </si>
  <si>
    <t>Steven Fletcher - 8</t>
  </si>
  <si>
    <t>Brian Jensen</t>
  </si>
  <si>
    <t>Stephen Hunt - 6</t>
  </si>
  <si>
    <t>Boaz Myhill</t>
  </si>
  <si>
    <t>Aruna Dindane - 8</t>
  </si>
  <si>
    <t>David James</t>
  </si>
  <si>
    <t>9-point deduction 3, Releg</t>
  </si>
  <si>
    <t>Cristiano Ronaldo - 18</t>
  </si>
  <si>
    <t>Steven Gerrard - 16</t>
  </si>
  <si>
    <t>Nicolas Anelka - 19</t>
  </si>
  <si>
    <t>Robin van Persie - 11</t>
  </si>
  <si>
    <t>Marouane Fellaini, Tim Cahill - 8</t>
  </si>
  <si>
    <t>Gabriel Agbonlahor - 12</t>
  </si>
  <si>
    <t>Andrew Johnson, Clint Dempsey - 7</t>
  </si>
  <si>
    <t>Darren Bent - 12</t>
  </si>
  <si>
    <t>Robinho - 14</t>
  </si>
  <si>
    <t>Amr Zaki - 10</t>
  </si>
  <si>
    <t>Ricardo Fuller - 11</t>
  </si>
  <si>
    <t>Kevin Davies - 12</t>
  </si>
  <si>
    <t>Benni McCarthy - 10</t>
  </si>
  <si>
    <t>Kenwyne Jones, Djibril Cissé - 10</t>
  </si>
  <si>
    <t>Márton Fülöp</t>
  </si>
  <si>
    <t>Geovanni - 8</t>
  </si>
  <si>
    <t>Obafemi Martins, Michael Owen - 8</t>
  </si>
  <si>
    <t>Tuncay Şanlı - 7</t>
  </si>
  <si>
    <t>Ross Turnbull</t>
  </si>
  <si>
    <t>Chris Brunt - 9</t>
  </si>
  <si>
    <t>Cristiano Ronaldo - 31</t>
  </si>
  <si>
    <t>Frank Lampard - 10</t>
  </si>
  <si>
    <t>Emmanuel Adebayor - 24</t>
  </si>
  <si>
    <t>Fernando Torres - 24</t>
  </si>
  <si>
    <t>Yakubu Aiyegbeni - 15</t>
  </si>
  <si>
    <t>John Carew - 13</t>
  </si>
  <si>
    <t>Roque Santa Cruz - 19</t>
  </si>
  <si>
    <t>Benjani - 12</t>
  </si>
  <si>
    <t>Elano - 8</t>
  </si>
  <si>
    <t>→ UEFA Cup 2</t>
  </si>
  <si>
    <t>Dean Ashton - 10</t>
  </si>
  <si>
    <t>Dimitar Berbatov, Robbie Keane - 15</t>
  </si>
  <si>
    <t>→ UEFA Cup via cup win 3</t>
  </si>
  <si>
    <t>Michael Owen - 11</t>
  </si>
  <si>
    <t>Steve Harper</t>
  </si>
  <si>
    <t>Stewart Downing - 9</t>
  </si>
  <si>
    <t>Marcus Bent - 7</t>
  </si>
  <si>
    <t>Kenwyne Jones - 7</t>
  </si>
  <si>
    <t>Nicolas Anelka - 10</t>
  </si>
  <si>
    <t>Clint Dempsey - 6</t>
  </si>
  <si>
    <t>Antti Niemi</t>
  </si>
  <si>
    <t>Dave Kitson - 10</t>
  </si>
  <si>
    <t>Mikael Forssell - 9</t>
  </si>
  <si>
    <t>Maik Taylor</t>
  </si>
  <si>
    <t>Kenny Miller - 4</t>
  </si>
  <si>
    <t>Stephen Bywater</t>
  </si>
  <si>
    <t>Cristiano Ronaldo - 17</t>
  </si>
  <si>
    <t>Didier Drogba - 20</t>
  </si>
  <si>
    <t>Dirk Kuyt - 12</t>
  </si>
  <si>
    <t>Jens Lehmann</t>
  </si>
  <si>
    <t>Dimitar Berbatov - 12</t>
  </si>
  <si>
    <t>Andrew Johnson - 11</t>
  </si>
  <si>
    <t>Nicolas Anelka - 11</t>
  </si>
  <si>
    <t>→ UEFA Cup via league finish 2</t>
  </si>
  <si>
    <t>Kevin Doyle - 13</t>
  </si>
  <si>
    <t>Nwankwo Kanu - 10</t>
  </si>
  <si>
    <t>Benni McCarthy - 18</t>
  </si>
  <si>
    <t>Gabriel Agbonlahor - 9</t>
  </si>
  <si>
    <t>Mark Viduka - 14</t>
  </si>
  <si>
    <t>Obafemi Martins - 11</t>
  </si>
  <si>
    <t>Joey Barton - 6</t>
  </si>
  <si>
    <t>Nicky Weaver</t>
  </si>
  <si>
    <t>Bobby Zamora - 11</t>
  </si>
  <si>
    <t>Brian McBride - 9</t>
  </si>
  <si>
    <t>Emile Heskey - 8</t>
  </si>
  <si>
    <t>Robert Hulse - 8</t>
  </si>
  <si>
    <t>Darren Bent - 13</t>
  </si>
  <si>
    <t>Hameur Bouazza - 5</t>
  </si>
  <si>
    <t>Frank Lampard - 16</t>
  </si>
  <si>
    <t>Ruud van Nistelrooy - 21</t>
  </si>
  <si>
    <t>Steven Gerrard - 10</t>
  </si>
  <si>
    <t>Thierry Henry - 27</t>
  </si>
  <si>
    <t>Robbie Keane - 16</t>
  </si>
  <si>
    <t>Craig Bellamy - 13</t>
  </si>
  <si>
    <t>Alan Shearer - 10</t>
  </si>
  <si>
    <t>Stelios Giannakopoulos, Kevin Nolan - 9</t>
  </si>
  <si>
    <t>Marlon Harewood - 14</t>
  </si>
  <si>
    <t>Roy Carroll</t>
  </si>
  <si>
    <t>→ UEFA Cup via cup loss 2</t>
  </si>
  <si>
    <t>Henri Camara - 12</t>
  </si>
  <si>
    <t>Mike Pollitt</t>
  </si>
  <si>
    <t>James Beattie - 10</t>
  </si>
  <si>
    <t>Nigel Martyn</t>
  </si>
  <si>
    <t>Collins John - 11</t>
  </si>
  <si>
    <t>Tony Warner</t>
  </si>
  <si>
    <t>Darren Bent - 18</t>
  </si>
  <si>
    <t>Thomas Myhre</t>
  </si>
  <si>
    <t>Yakubu Aiyegbeni - 13</t>
  </si>
  <si>
    <t>Andy Cole - 9</t>
  </si>
  <si>
    <t>Milan Baroš, Luke Moore - 8</t>
  </si>
  <si>
    <t>Lomana LuaLua - 7</t>
  </si>
  <si>
    <t>Jamie Ashdown</t>
  </si>
  <si>
    <t>Jiří Jarošík - 5</t>
  </si>
  <si>
    <t>Nathan Ellington, Nwankwo Kanu - 5</t>
  </si>
  <si>
    <t>Tomasz Kuszczak</t>
  </si>
  <si>
    <t>Liam Lawrence, Anthony Le Tallec... - 3</t>
  </si>
  <si>
    <t>Kelvin Davis</t>
  </si>
  <si>
    <t>Frank Lampard - 13</t>
  </si>
  <si>
    <t>Thierry Henry - 25</t>
  </si>
  <si>
    <t>Wayne Rooney - 11</t>
  </si>
  <si>
    <t>Tim Cahill - 11</t>
  </si>
  <si>
    <t>Milan Baroš - 9</t>
  </si>
  <si>
    <t>Jerzy Dudek</t>
  </si>
  <si>
    <t>→ Champions League 1</t>
  </si>
  <si>
    <t>El Hadji Diouf - 9</t>
  </si>
  <si>
    <t>Jimmy Floyd Hasselbaink - 13</t>
  </si>
  <si>
    <t>→ UEFA Cup via league finish 3</t>
  </si>
  <si>
    <t>Robbie Fowler - 11</t>
  </si>
  <si>
    <t>Jermain Defoe - 13</t>
  </si>
  <si>
    <t>Nolberto Solano - 8</t>
  </si>
  <si>
    <t>Shaun Bartlett - 6</t>
  </si>
  <si>
    <t>Dean Kiely</t>
  </si>
  <si>
    <t>Emile Heskey - 10</t>
  </si>
  <si>
    <t>Andy Cole - 12</t>
  </si>
  <si>
    <t>Craig Bellamy, Alan Shearer - 7</t>
  </si>
  <si>
    <t>Paul Dickov - 9</t>
  </si>
  <si>
    <t>Shaka Hislop</t>
  </si>
  <si>
    <t>Robert Earnshaw - 11</t>
  </si>
  <si>
    <t>Russell Hoult</t>
  </si>
  <si>
    <t>Andrew Johnson - 21</t>
  </si>
  <si>
    <t>Gábor Király</t>
  </si>
  <si>
    <t>Damien Francis, Dean Ashton... - 7</t>
  </si>
  <si>
    <t>Peter Crouch - 12</t>
  </si>
  <si>
    <t>Thierry Henry - 30</t>
  </si>
  <si>
    <t>Jimmy Floyd Hasselbaink - 12</t>
  </si>
  <si>
    <t>Carlo Cudicini</t>
  </si>
  <si>
    <t>Ruud van Nistelrooy - 20</t>
  </si>
  <si>
    <t>Michael Owen - 16</t>
  </si>
  <si>
    <t>Alan Shearer - 22</t>
  </si>
  <si>
    <t>Juan Pablo Ángel - 16</t>
  </si>
  <si>
    <t>Jason Euell - 10</t>
  </si>
  <si>
    <t>Kevin Davies, Kevin Nolan... - 9</t>
  </si>
  <si>
    <t>Mikael Forssell - 17</t>
  </si>
  <si>
    <t>Szilárd Németh - 9</t>
  </si>
  <si>
    <t>James Beattie - 14</t>
  </si>
  <si>
    <t>Yakubu Aiyegbeni - 16</t>
  </si>
  <si>
    <t>Robbie Keane - 14</t>
  </si>
  <si>
    <t>Kasey Keller</t>
  </si>
  <si>
    <t>Andy Cole - 11</t>
  </si>
  <si>
    <t>Nicolas Anelka - 16</t>
  </si>
  <si>
    <t>David Seaman</t>
  </si>
  <si>
    <t>Wayne Rooney - 9</t>
  </si>
  <si>
    <t>Les Ferdinand - 12</t>
  </si>
  <si>
    <t>Ian Walker</t>
  </si>
  <si>
    <t>Mark Viduka - 11</t>
  </si>
  <si>
    <t>Henri Camara - 7</t>
  </si>
  <si>
    <t>Michael Oakes</t>
  </si>
  <si>
    <t>Ruud van Nistelrooy - 25</t>
  </si>
  <si>
    <t>Thierry Henry - 24</t>
  </si>
  <si>
    <t>Alan Shearer - 17</t>
  </si>
  <si>
    <t>Gianfranco Zola - 14</t>
  </si>
  <si>
    <t>Michael Owen - 19</t>
  </si>
  <si>
    <t>Damien Duff - 9</t>
  </si>
  <si>
    <t>Tomasz Radzinski - 11</t>
  </si>
  <si>
    <t>Richard Wright</t>
  </si>
  <si>
    <t>James Beattie - 23</t>
  </si>
  <si>
    <t>Nicolas Anelka - 14</t>
  </si>
  <si>
    <t>Peter Schmeichel</t>
  </si>
  <si>
    <t>→ UEFA Cup 3</t>
  </si>
  <si>
    <t>Robbie Keane - 13</t>
  </si>
  <si>
    <t>Massimo Maccarone - 9</t>
  </si>
  <si>
    <t>Clinton Morrison - 6</t>
  </si>
  <si>
    <t>Nico Vaesen</t>
  </si>
  <si>
    <t>Steed Malbranque - 6</t>
  </si>
  <si>
    <t>Mark Viduka - 20</t>
  </si>
  <si>
    <t>Dion Dublin - 10</t>
  </si>
  <si>
    <t>Peter Enckelman</t>
  </si>
  <si>
    <t>Youri Djorkaeff, Jay-Jay Okocha... - 7</t>
  </si>
  <si>
    <t>Paolo Di Canio - 9</t>
  </si>
  <si>
    <t>Danny Dichio, Scott Dobie - 5</t>
  </si>
  <si>
    <t>Kevin Phillips - 6</t>
  </si>
  <si>
    <t>Ruud van Nistelrooy - 23</t>
  </si>
  <si>
    <t>Alan Shearer - 23</t>
  </si>
  <si>
    <t>Robbie Fowler - 12</t>
  </si>
  <si>
    <t>Jimmy Floyd Hasselbaink - 23</t>
  </si>
  <si>
    <t>→ UEFA Cup via cup loss 1</t>
  </si>
  <si>
    <t>Frédéric Kanouté - 11</t>
  </si>
  <si>
    <t>Juan Pablo Ángel, Darius Vassell - 12</t>
  </si>
  <si>
    <t>Gus Poyet, Teddy Sheringham - 10</t>
  </si>
  <si>
    <t>Neil Sullivan</t>
  </si>
  <si>
    <t>Matt Jansen - 10</t>
  </si>
  <si>
    <t>Marians Pahars - 14</t>
  </si>
  <si>
    <t>Paul Jones</t>
  </si>
  <si>
    <t>Alen Bokšić - 8</t>
  </si>
  <si>
    <t>Barry Hayles, Steed Malbranque... - 8</t>
  </si>
  <si>
    <t>Jason Euell - 11</t>
  </si>
  <si>
    <t>Duncan Ferguson, Tomasz Radzinski - 6</t>
  </si>
  <si>
    <t>Steve Simonsen</t>
  </si>
  <si>
    <t>Michael Ricketts - 12</t>
  </si>
  <si>
    <t>Kevin Phillips - 11</t>
  </si>
  <si>
    <t>Marcus Bent - 9</t>
  </si>
  <si>
    <t>Matteo Sereni</t>
  </si>
  <si>
    <t>Relegated, → UEFA Cup 3</t>
  </si>
  <si>
    <t>Malcolm Christie, Fabrizio Ravanelli - 9</t>
  </si>
  <si>
    <t>Andy Oakes</t>
  </si>
  <si>
    <t>Brian Deane - 6</t>
  </si>
  <si>
    <t>Teddy Sheringham - 15</t>
  </si>
  <si>
    <t>Thierry Henry - 17</t>
  </si>
  <si>
    <t>Sander Westerveld</t>
  </si>
  <si>
    <t>Mark Viduka - 17</t>
  </si>
  <si>
    <t>Marcus Stewart - 19</t>
  </si>
  <si>
    <t>Kevin Phillips - 14</t>
  </si>
  <si>
    <t>Dion Dublin - 8</t>
  </si>
  <si>
    <t>Jonatan Johansson - 11</t>
  </si>
  <si>
    <t>James Beattie - 11</t>
  </si>
  <si>
    <t>Carl Cort, Nolberto Solano - 6</t>
  </si>
  <si>
    <t>Les Ferdinand - 10</t>
  </si>
  <si>
    <t>Ade Akinbiyi - 9</t>
  </si>
  <si>
    <t>Tim Flowers</t>
  </si>
  <si>
    <t>Alen Bokšić - 12</t>
  </si>
  <si>
    <t>Kevin Campbell - 9</t>
  </si>
  <si>
    <t>Paul Gerrard</t>
  </si>
  <si>
    <t>Malcolm Christie - 8</t>
  </si>
  <si>
    <t>Mart Poom</t>
  </si>
  <si>
    <t>Paulo Wanchope - 9</t>
  </si>
  <si>
    <t>Craig Bellamy, Mustapha Hadji... - 6</t>
  </si>
  <si>
    <t>Benito Carbone - 5</t>
  </si>
  <si>
    <t>Gary Walsh</t>
  </si>
  <si>
    <t> Chelsea</t>
  </si>
  <si>
    <t> Manchester City</t>
  </si>
  <si>
    <t> Arsenal</t>
  </si>
  <si>
    <t> Manchester Utd</t>
  </si>
  <si>
    <t> Tottenham Hotspur</t>
  </si>
  <si>
    <t> Liverpool</t>
  </si>
  <si>
    <t> Southampton</t>
  </si>
  <si>
    <t> Swansea City</t>
  </si>
  <si>
    <t> Stoke City</t>
  </si>
  <si>
    <t> Crystal Palace</t>
  </si>
  <si>
    <t> Everton</t>
  </si>
  <si>
    <t> West Ham United</t>
  </si>
  <si>
    <t> West Bromwich Albion</t>
  </si>
  <si>
    <t> Leicester City</t>
  </si>
  <si>
    <t> Newcastle United</t>
  </si>
  <si>
    <t> Sunderland</t>
  </si>
  <si>
    <t> Aston Villa</t>
  </si>
  <si>
    <t> Hull City</t>
  </si>
  <si>
    <t> Burnley</t>
  </si>
  <si>
    <t> Queens Park Rangers</t>
  </si>
  <si>
    <t> Norwich City</t>
  </si>
  <si>
    <t> Fulham</t>
  </si>
  <si>
    <t> Cardiff City</t>
  </si>
  <si>
    <t> Wigan Athletic</t>
  </si>
  <si>
    <t> Reading</t>
  </si>
  <si>
    <t> Bolton Wanderers</t>
  </si>
  <si>
    <t> Blackburn Rovers</t>
  </si>
  <si>
    <t> Wolves</t>
  </si>
  <si>
    <t> Birmingham City</t>
  </si>
  <si>
    <t> Blackpool</t>
  </si>
  <si>
    <t> Portsmouth</t>
  </si>
  <si>
    <t> Middlesbrough</t>
  </si>
  <si>
    <t> Derby County</t>
  </si>
  <si>
    <t> Sheffield United</t>
  </si>
  <si>
    <t> Charlton Athletic</t>
  </si>
  <si>
    <t> Watford</t>
  </si>
  <si>
    <t> Leeds United</t>
  </si>
  <si>
    <t> Ipswich Town</t>
  </si>
  <si>
    <t> Coventry City</t>
  </si>
  <si>
    <t> Bradford City</t>
  </si>
  <si>
    <t>Olivier Monterrubio - 12</t>
  </si>
  <si>
    <t>Sonny Anderson - 22</t>
  </si>
  <si>
    <t>Laurent Peyrelade - 7</t>
  </si>
  <si>
    <t>Pauleta - 20</t>
  </si>
  <si>
    <t>Cédric Mionnet, Pius Ndiefi - 10</t>
  </si>
  <si>
    <t>Nicolas Sachy</t>
  </si>
  <si>
    <t>Cyril Chapuis - 10</t>
  </si>
  <si>
    <t>Bernard Lama</t>
  </si>
  <si>
    <t>Slađan Đukić - 12</t>
  </si>
  <si>
    <t>Frédéric Née - 16</t>
  </si>
  <si>
    <t>Laurent Robert - 14</t>
  </si>
  <si>
    <t>Bruno Rodriguez - 12</t>
  </si>
  <si>
    <t>Shabani Nonda - 12</t>
  </si>
  <si>
    <t>Gérald Baticle - 15</t>
  </si>
  <si>
    <t>Faryd Mondragón</t>
  </si>
  <si>
    <t>Stéphane Guivarc'h - 11</t>
  </si>
  <si>
    <t>El Hadji Diouf - 8</t>
  </si>
  <si>
    <t>Djamel Belmadi - 8</t>
  </si>
  <si>
    <t>Víctor Bonilla - 15</t>
  </si>
  <si>
    <t>Relegated 2</t>
  </si>
  <si>
    <t>Alex Dias - 13</t>
  </si>
  <si>
    <t>Maksym Levytskyi</t>
  </si>
  <si>
    <t>Péguy Luyindula - 7</t>
  </si>
  <si>
    <t>José Luis Chilavert</t>
  </si>
  <si>
    <t>Relegated, → UEFA Cup via cup win 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</si>
</sst>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\-yyyy"/>
  </numFmts>
  <fonts count="21">
    <font>
      <sz val="10"/>
      <color rgb="FF000000"/>
      <name val="Arial"/>
      <scheme val="minor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990000"/>
      <name val="Verdana"/>
    </font>
    <font>
      <sz val="10"/>
      <color rgb="FF000000"/>
      <name val="Verdana"/>
    </font>
    <font>
      <u/>
      <sz val="10"/>
      <color rgb="FF0000FF"/>
      <name val="Verdana"/>
    </font>
    <font>
      <u/>
      <sz val="10"/>
      <color rgb="FF0000FF"/>
      <name val="Verdana"/>
    </font>
    <font>
      <sz val="10"/>
      <color rgb="FFFFFFFF"/>
      <name val="Verdana"/>
    </font>
    <font>
      <u/>
      <sz val="10"/>
      <color rgb="FF0000FF"/>
      <name val="Verdana"/>
    </font>
    <font>
      <u/>
      <sz val="10"/>
      <color rgb="FF0000FF"/>
      <name val="Verdana"/>
    </font>
    <font>
      <sz val="11"/>
      <color rgb="FF000000"/>
      <name val="&quot;Helvetica Neue&quot;"/>
    </font>
    <font>
      <b/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Verdana, sans-serif"/>
    </font>
    <font>
      <sz val="10"/>
      <name val="Verdana, sans-serif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5">
    <border>
      <left/>
      <right/>
      <top/>
      <bottom/>
      <diagonal/>
    </border>
    <border>
      <left style="thin">
        <color rgb="FF747678"/>
      </left>
      <right/>
      <top/>
      <bottom style="thin">
        <color rgb="FF747678"/>
      </bottom>
      <diagonal/>
    </border>
    <border>
      <left style="thin">
        <color rgb="FFDDDDDD"/>
      </left>
      <right/>
      <top/>
      <bottom style="thin">
        <color rgb="FF747678"/>
      </bottom>
      <diagonal/>
    </border>
    <border>
      <left style="thin">
        <color rgb="FF747678"/>
      </left>
      <right/>
      <top/>
      <bottom style="hair">
        <color rgb="FFDDDDDD"/>
      </bottom>
      <diagonal/>
    </border>
    <border>
      <left style="thin">
        <color rgb="FFDDDDDD"/>
      </left>
      <right/>
      <top/>
      <bottom style="hair">
        <color rgb="FFDDDD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164" fontId="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7" fillId="4" borderId="4" xfId="0" applyFont="1" applyFill="1" applyBorder="1" applyAlignment="1">
      <alignment horizontal="right"/>
    </xf>
    <xf numFmtId="3" fontId="7" fillId="4" borderId="4" xfId="0" applyNumberFormat="1" applyFont="1" applyFill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7" fillId="4" borderId="4" xfId="0" applyFont="1" applyFill="1" applyBorder="1" applyAlignment="1">
      <alignment horizontal="left"/>
    </xf>
    <xf numFmtId="0" fontId="10" fillId="0" borderId="3" xfId="0" applyFont="1" applyBorder="1" applyAlignment="1">
      <alignment horizontal="right"/>
    </xf>
    <xf numFmtId="0" fontId="10" fillId="5" borderId="1" xfId="0" applyFont="1" applyFill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7" fillId="5" borderId="2" xfId="0" applyFont="1" applyFill="1" applyBorder="1" applyAlignment="1">
      <alignment horizontal="right"/>
    </xf>
    <xf numFmtId="3" fontId="7" fillId="5" borderId="2" xfId="0" applyNumberFormat="1" applyFont="1" applyFill="1" applyBorder="1" applyAlignment="1">
      <alignment horizontal="right"/>
    </xf>
    <xf numFmtId="0" fontId="12" fillId="0" borderId="2" xfId="0" applyFont="1" applyBorder="1" applyAlignment="1">
      <alignment horizontal="right"/>
    </xf>
    <xf numFmtId="0" fontId="7" fillId="5" borderId="2" xfId="0" applyFont="1" applyFill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left"/>
    </xf>
    <xf numFmtId="0" fontId="13" fillId="4" borderId="0" xfId="0" applyFont="1" applyFill="1" applyAlignment="1">
      <alignment horizontal="center"/>
    </xf>
    <xf numFmtId="14" fontId="0" fillId="0" borderId="0" xfId="0" applyNumberFormat="1"/>
    <xf numFmtId="0" fontId="18" fillId="0" borderId="0" xfId="0" applyFont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19" fillId="2" borderId="0" xfId="0" applyFont="1" applyFill="1" applyAlignment="1">
      <alignment horizontal="center"/>
    </xf>
    <xf numFmtId="3" fontId="0" fillId="0" borderId="0" xfId="0" applyNumberFormat="1"/>
    <xf numFmtId="0" fontId="20" fillId="4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fltables.com/afl/teams/fremantle_idx.html" TargetMode="External"/><Relationship Id="rId299" Type="http://schemas.openxmlformats.org/officeDocument/2006/relationships/hyperlink" Target="https://afltables.com/afl/seas/2016.html" TargetMode="External"/><Relationship Id="rId21" Type="http://schemas.openxmlformats.org/officeDocument/2006/relationships/hyperlink" Target="https://afltables.com/afl/teams/fremantle_idx.html" TargetMode="External"/><Relationship Id="rId63" Type="http://schemas.openxmlformats.org/officeDocument/2006/relationships/hyperlink" Target="https://afltables.com/afl/teams/adelaide_idx.html" TargetMode="External"/><Relationship Id="rId159" Type="http://schemas.openxmlformats.org/officeDocument/2006/relationships/hyperlink" Target="https://afltables.com/afl/teams/adelaide_idx.html" TargetMode="External"/><Relationship Id="rId324" Type="http://schemas.openxmlformats.org/officeDocument/2006/relationships/hyperlink" Target="https://afltables.com/afl/seas/2015.html" TargetMode="External"/><Relationship Id="rId170" Type="http://schemas.openxmlformats.org/officeDocument/2006/relationships/hyperlink" Target="https://afltables.com/afl/seas/2020.html" TargetMode="External"/><Relationship Id="rId226" Type="http://schemas.openxmlformats.org/officeDocument/2006/relationships/hyperlink" Target="https://afltables.com/afl/teams/goldcoast_idx.html" TargetMode="External"/><Relationship Id="rId268" Type="http://schemas.openxmlformats.org/officeDocument/2006/relationships/hyperlink" Target="https://afltables.com/afl/seas/2017.html" TargetMode="External"/><Relationship Id="rId32" Type="http://schemas.openxmlformats.org/officeDocument/2006/relationships/hyperlink" Target="https://afltables.com/afl/teams/richmond_idx.html" TargetMode="External"/><Relationship Id="rId74" Type="http://schemas.openxmlformats.org/officeDocument/2006/relationships/hyperlink" Target="https://afltables.com/afl/seas/2023.html" TargetMode="External"/><Relationship Id="rId128" Type="http://schemas.openxmlformats.org/officeDocument/2006/relationships/hyperlink" Target="https://afltables.com/afl/teams/gws_idx.html" TargetMode="External"/><Relationship Id="rId335" Type="http://schemas.openxmlformats.org/officeDocument/2006/relationships/hyperlink" Target="https://afltables.com/afl/seas/2015.html" TargetMode="External"/><Relationship Id="rId5" Type="http://schemas.openxmlformats.org/officeDocument/2006/relationships/hyperlink" Target="https://afltables.com/afl/seas/2025.html" TargetMode="External"/><Relationship Id="rId181" Type="http://schemas.openxmlformats.org/officeDocument/2006/relationships/hyperlink" Target="https://afltables.com/afl/teams/westcoast_idx.html" TargetMode="External"/><Relationship Id="rId237" Type="http://schemas.openxmlformats.org/officeDocument/2006/relationships/hyperlink" Target="https://afltables.com/afl/seas/2018.html" TargetMode="External"/><Relationship Id="rId279" Type="http://schemas.openxmlformats.org/officeDocument/2006/relationships/hyperlink" Target="https://afltables.com/afl/teams/essendon_idx.html" TargetMode="External"/><Relationship Id="rId43" Type="http://schemas.openxmlformats.org/officeDocument/2006/relationships/hyperlink" Target="https://afltables.com/afl/seas/2024.html" TargetMode="External"/><Relationship Id="rId139" Type="http://schemas.openxmlformats.org/officeDocument/2006/relationships/hyperlink" Target="https://afltables.com/afl/seas/2021.html" TargetMode="External"/><Relationship Id="rId290" Type="http://schemas.openxmlformats.org/officeDocument/2006/relationships/hyperlink" Target="https://afltables.com/afl/teams/brisbanel_idx.html" TargetMode="External"/><Relationship Id="rId304" Type="http://schemas.openxmlformats.org/officeDocument/2006/relationships/hyperlink" Target="https://afltables.com/afl/seas/2016.html" TargetMode="External"/><Relationship Id="rId346" Type="http://schemas.openxmlformats.org/officeDocument/2006/relationships/hyperlink" Target="https://afltables.com/afl/teams/geelong_idx.html" TargetMode="External"/><Relationship Id="rId85" Type="http://schemas.openxmlformats.org/officeDocument/2006/relationships/hyperlink" Target="https://afltables.com/afl/teams/carlton_idx.html" TargetMode="External"/><Relationship Id="rId150" Type="http://schemas.openxmlformats.org/officeDocument/2006/relationships/hyperlink" Target="https://afltables.com/afl/teams/swans_idx.html" TargetMode="External"/><Relationship Id="rId192" Type="http://schemas.openxmlformats.org/officeDocument/2006/relationships/hyperlink" Target="https://afltables.com/afl/teams/swans_idx.html" TargetMode="External"/><Relationship Id="rId206" Type="http://schemas.openxmlformats.org/officeDocument/2006/relationships/hyperlink" Target="https://afltables.com/afl/seas/2019.html" TargetMode="External"/><Relationship Id="rId248" Type="http://schemas.openxmlformats.org/officeDocument/2006/relationships/hyperlink" Target="https://afltables.com/afl/teams/geelong_idx.html" TargetMode="External"/><Relationship Id="rId12" Type="http://schemas.openxmlformats.org/officeDocument/2006/relationships/hyperlink" Target="https://afltables.com/afl/seas/2025.html" TargetMode="External"/><Relationship Id="rId108" Type="http://schemas.openxmlformats.org/officeDocument/2006/relationships/hyperlink" Target="https://afltables.com/afl/seas/2022.html" TargetMode="External"/><Relationship Id="rId315" Type="http://schemas.openxmlformats.org/officeDocument/2006/relationships/hyperlink" Target="https://afltables.com/afl/teams/melbourne_idx.html" TargetMode="External"/><Relationship Id="rId54" Type="http://schemas.openxmlformats.org/officeDocument/2006/relationships/hyperlink" Target="https://afltables.com/afl/teams/bullldogs_idx.html" TargetMode="External"/><Relationship Id="rId96" Type="http://schemas.openxmlformats.org/officeDocument/2006/relationships/hyperlink" Target="https://afltables.com/afl/teams/hawthorn_idx.html" TargetMode="External"/><Relationship Id="rId161" Type="http://schemas.openxmlformats.org/officeDocument/2006/relationships/hyperlink" Target="https://afltables.com/afl/teams/collingwood_idx.html" TargetMode="External"/><Relationship Id="rId217" Type="http://schemas.openxmlformats.org/officeDocument/2006/relationships/hyperlink" Target="https://afltables.com/afl/teams/hawthorn_idx.html" TargetMode="External"/><Relationship Id="rId259" Type="http://schemas.openxmlformats.org/officeDocument/2006/relationships/hyperlink" Target="https://afltables.com/afl/seas/2017.html" TargetMode="External"/><Relationship Id="rId23" Type="http://schemas.openxmlformats.org/officeDocument/2006/relationships/hyperlink" Target="https://afltables.com/afl/teams/hawthorn_idx.html" TargetMode="External"/><Relationship Id="rId119" Type="http://schemas.openxmlformats.org/officeDocument/2006/relationships/hyperlink" Target="https://afltables.com/afl/teams/richmond_idx.html" TargetMode="External"/><Relationship Id="rId270" Type="http://schemas.openxmlformats.org/officeDocument/2006/relationships/hyperlink" Target="https://afltables.com/afl/seas/2017.html" TargetMode="External"/><Relationship Id="rId326" Type="http://schemas.openxmlformats.org/officeDocument/2006/relationships/hyperlink" Target="https://afltables.com/afl/seas/2015.html" TargetMode="External"/><Relationship Id="rId65" Type="http://schemas.openxmlformats.org/officeDocument/2006/relationships/hyperlink" Target="https://afltables.com/afl/teams/kangaroos_idx.html" TargetMode="External"/><Relationship Id="rId130" Type="http://schemas.openxmlformats.org/officeDocument/2006/relationships/hyperlink" Target="https://afltables.com/afl/teams/kangaroos_idx.html" TargetMode="External"/><Relationship Id="rId172" Type="http://schemas.openxmlformats.org/officeDocument/2006/relationships/hyperlink" Target="https://afltables.com/afl/seas/2020.html" TargetMode="External"/><Relationship Id="rId228" Type="http://schemas.openxmlformats.org/officeDocument/2006/relationships/hyperlink" Target="https://afltables.com/afl/seas/2018.html" TargetMode="External"/><Relationship Id="rId281" Type="http://schemas.openxmlformats.org/officeDocument/2006/relationships/hyperlink" Target="https://afltables.com/afl/teams/melbourne_idx.html" TargetMode="External"/><Relationship Id="rId337" Type="http://schemas.openxmlformats.org/officeDocument/2006/relationships/hyperlink" Target="https://afltables.com/afl/teams/fremantle_idx.html" TargetMode="External"/><Relationship Id="rId34" Type="http://schemas.openxmlformats.org/officeDocument/2006/relationships/hyperlink" Target="https://afltables.com/afl/seas/2024.html" TargetMode="External"/><Relationship Id="rId76" Type="http://schemas.openxmlformats.org/officeDocument/2006/relationships/hyperlink" Target="https://afltables.com/afl/seas/2023.html" TargetMode="External"/><Relationship Id="rId141" Type="http://schemas.openxmlformats.org/officeDocument/2006/relationships/hyperlink" Target="https://afltables.com/afl/seas/2021.html" TargetMode="External"/><Relationship Id="rId7" Type="http://schemas.openxmlformats.org/officeDocument/2006/relationships/hyperlink" Target="https://afltables.com/afl/seas/2025.html" TargetMode="External"/><Relationship Id="rId183" Type="http://schemas.openxmlformats.org/officeDocument/2006/relationships/hyperlink" Target="https://afltables.com/afl/teams/bullldogs_idx.html" TargetMode="External"/><Relationship Id="rId239" Type="http://schemas.openxmlformats.org/officeDocument/2006/relationships/hyperlink" Target="https://afltables.com/afl/seas/2018.html" TargetMode="External"/><Relationship Id="rId250" Type="http://schemas.openxmlformats.org/officeDocument/2006/relationships/hyperlink" Target="https://afltables.com/afl/teams/padelaide_idx.html" TargetMode="External"/><Relationship Id="rId292" Type="http://schemas.openxmlformats.org/officeDocument/2006/relationships/hyperlink" Target="https://afltables.com/afl/seas/2016.html" TargetMode="External"/><Relationship Id="rId306" Type="http://schemas.openxmlformats.org/officeDocument/2006/relationships/hyperlink" Target="https://afltables.com/afl/teams/geelong_idx.html" TargetMode="External"/><Relationship Id="rId45" Type="http://schemas.openxmlformats.org/officeDocument/2006/relationships/hyperlink" Target="https://afltables.com/afl/seas/2024.html" TargetMode="External"/><Relationship Id="rId87" Type="http://schemas.openxmlformats.org/officeDocument/2006/relationships/hyperlink" Target="https://afltables.com/afl/teams/gws_idx.html" TargetMode="External"/><Relationship Id="rId110" Type="http://schemas.openxmlformats.org/officeDocument/2006/relationships/hyperlink" Target="https://afltables.com/afl/seas/2022.html" TargetMode="External"/><Relationship Id="rId348" Type="http://schemas.openxmlformats.org/officeDocument/2006/relationships/hyperlink" Target="https://afltables.com/afl/teams/collingwood_idx.html" TargetMode="External"/><Relationship Id="rId152" Type="http://schemas.openxmlformats.org/officeDocument/2006/relationships/hyperlink" Target="https://afltables.com/afl/teams/essendon_idx.html" TargetMode="External"/><Relationship Id="rId194" Type="http://schemas.openxmlformats.org/officeDocument/2006/relationships/hyperlink" Target="https://afltables.com/afl/teams/adelaide_idx.html" TargetMode="External"/><Relationship Id="rId208" Type="http://schemas.openxmlformats.org/officeDocument/2006/relationships/hyperlink" Target="https://afltables.com/afl/seas/2019.html" TargetMode="External"/><Relationship Id="rId261" Type="http://schemas.openxmlformats.org/officeDocument/2006/relationships/hyperlink" Target="https://afltables.com/afl/seas/2017.html" TargetMode="External"/><Relationship Id="rId14" Type="http://schemas.openxmlformats.org/officeDocument/2006/relationships/hyperlink" Target="https://afltables.com/afl/seas/2025.html" TargetMode="External"/><Relationship Id="rId56" Type="http://schemas.openxmlformats.org/officeDocument/2006/relationships/hyperlink" Target="https://afltables.com/afl/teams/carlton_idx.html" TargetMode="External"/><Relationship Id="rId317" Type="http://schemas.openxmlformats.org/officeDocument/2006/relationships/hyperlink" Target="https://afltables.com/afl/teams/richmond_idx.html" TargetMode="External"/><Relationship Id="rId98" Type="http://schemas.openxmlformats.org/officeDocument/2006/relationships/hyperlink" Target="https://afltables.com/afl/teams/westcoast_idx.html" TargetMode="External"/><Relationship Id="rId121" Type="http://schemas.openxmlformats.org/officeDocument/2006/relationships/hyperlink" Target="https://afltables.com/afl/teams/carlton_idx.html" TargetMode="External"/><Relationship Id="rId163" Type="http://schemas.openxmlformats.org/officeDocument/2006/relationships/hyperlink" Target="https://afltables.com/afl/seas/2020.html" TargetMode="External"/><Relationship Id="rId219" Type="http://schemas.openxmlformats.org/officeDocument/2006/relationships/hyperlink" Target="https://afltables.com/afl/teams/adelaide_idx.html" TargetMode="External"/><Relationship Id="rId230" Type="http://schemas.openxmlformats.org/officeDocument/2006/relationships/hyperlink" Target="https://afltables.com/afl/seas/2018.html" TargetMode="External"/><Relationship Id="rId251" Type="http://schemas.openxmlformats.org/officeDocument/2006/relationships/hyperlink" Target="https://afltables.com/afl/teams/essendon_idx.html" TargetMode="External"/><Relationship Id="rId25" Type="http://schemas.openxmlformats.org/officeDocument/2006/relationships/hyperlink" Target="https://afltables.com/afl/teams/swans_idx.html" TargetMode="External"/><Relationship Id="rId46" Type="http://schemas.openxmlformats.org/officeDocument/2006/relationships/hyperlink" Target="https://afltables.com/afl/seas/2024.html" TargetMode="External"/><Relationship Id="rId67" Type="http://schemas.openxmlformats.org/officeDocument/2006/relationships/hyperlink" Target="https://afltables.com/afl/seas/2023.html" TargetMode="External"/><Relationship Id="rId272" Type="http://schemas.openxmlformats.org/officeDocument/2006/relationships/hyperlink" Target="https://afltables.com/afl/seas/2017.html" TargetMode="External"/><Relationship Id="rId293" Type="http://schemas.openxmlformats.org/officeDocument/2006/relationships/hyperlink" Target="https://afltables.com/afl/seas/2016.html" TargetMode="External"/><Relationship Id="rId307" Type="http://schemas.openxmlformats.org/officeDocument/2006/relationships/hyperlink" Target="https://afltables.com/afl/teams/hawthorn_idx.html" TargetMode="External"/><Relationship Id="rId328" Type="http://schemas.openxmlformats.org/officeDocument/2006/relationships/hyperlink" Target="https://afltables.com/afl/seas/2015.html" TargetMode="External"/><Relationship Id="rId349" Type="http://schemas.openxmlformats.org/officeDocument/2006/relationships/hyperlink" Target="https://afltables.com/afl/teams/melbourne_idx.html" TargetMode="External"/><Relationship Id="rId88" Type="http://schemas.openxmlformats.org/officeDocument/2006/relationships/hyperlink" Target="https://afltables.com/afl/teams/swans_idx.html" TargetMode="External"/><Relationship Id="rId111" Type="http://schemas.openxmlformats.org/officeDocument/2006/relationships/hyperlink" Target="https://afltables.com/afl/seas/2022.html" TargetMode="External"/><Relationship Id="rId132" Type="http://schemas.openxmlformats.org/officeDocument/2006/relationships/hyperlink" Target="https://afltables.com/afl/seas/2021.html" TargetMode="External"/><Relationship Id="rId153" Type="http://schemas.openxmlformats.org/officeDocument/2006/relationships/hyperlink" Target="https://afltables.com/afl/teams/westcoast_idx.html" TargetMode="External"/><Relationship Id="rId174" Type="http://schemas.openxmlformats.org/officeDocument/2006/relationships/hyperlink" Target="https://afltables.com/afl/seas/2020.html" TargetMode="External"/><Relationship Id="rId195" Type="http://schemas.openxmlformats.org/officeDocument/2006/relationships/hyperlink" Target="https://afltables.com/afl/seas/2019.html" TargetMode="External"/><Relationship Id="rId209" Type="http://schemas.openxmlformats.org/officeDocument/2006/relationships/hyperlink" Target="https://afltables.com/afl/teams/geelong_idx.html" TargetMode="External"/><Relationship Id="rId220" Type="http://schemas.openxmlformats.org/officeDocument/2006/relationships/hyperlink" Target="https://afltables.com/afl/teams/kangaroos_idx.html" TargetMode="External"/><Relationship Id="rId241" Type="http://schemas.openxmlformats.org/officeDocument/2006/relationships/hyperlink" Target="https://afltables.com/afl/teams/richmond_idx.html" TargetMode="External"/><Relationship Id="rId15" Type="http://schemas.openxmlformats.org/officeDocument/2006/relationships/hyperlink" Target="https://afltables.com/afl/seas/2025.html" TargetMode="External"/><Relationship Id="rId36" Type="http://schemas.openxmlformats.org/officeDocument/2006/relationships/hyperlink" Target="https://afltables.com/afl/seas/2024.html" TargetMode="External"/><Relationship Id="rId57" Type="http://schemas.openxmlformats.org/officeDocument/2006/relationships/hyperlink" Target="https://afltables.com/afl/teams/collingwood_idx.html" TargetMode="External"/><Relationship Id="rId262" Type="http://schemas.openxmlformats.org/officeDocument/2006/relationships/hyperlink" Target="https://afltables.com/afl/seas/2017.html" TargetMode="External"/><Relationship Id="rId283" Type="http://schemas.openxmlformats.org/officeDocument/2006/relationships/hyperlink" Target="https://afltables.com/afl/teams/stkilda_idx.html" TargetMode="External"/><Relationship Id="rId318" Type="http://schemas.openxmlformats.org/officeDocument/2006/relationships/hyperlink" Target="https://afltables.com/afl/teams/carlton_idx.html" TargetMode="External"/><Relationship Id="rId339" Type="http://schemas.openxmlformats.org/officeDocument/2006/relationships/hyperlink" Target="https://afltables.com/afl/teams/hawthorn_idx.html" TargetMode="External"/><Relationship Id="rId78" Type="http://schemas.openxmlformats.org/officeDocument/2006/relationships/hyperlink" Target="https://afltables.com/afl/seas/2023.html" TargetMode="External"/><Relationship Id="rId99" Type="http://schemas.openxmlformats.org/officeDocument/2006/relationships/hyperlink" Target="https://afltables.com/afl/seas/2022.html" TargetMode="External"/><Relationship Id="rId101" Type="http://schemas.openxmlformats.org/officeDocument/2006/relationships/hyperlink" Target="https://afltables.com/afl/seas/2022.html" TargetMode="External"/><Relationship Id="rId122" Type="http://schemas.openxmlformats.org/officeDocument/2006/relationships/hyperlink" Target="https://afltables.com/afl/teams/stkilda_idx.html" TargetMode="External"/><Relationship Id="rId143" Type="http://schemas.openxmlformats.org/officeDocument/2006/relationships/hyperlink" Target="https://afltables.com/afl/seas/2021.html" TargetMode="External"/><Relationship Id="rId164" Type="http://schemas.openxmlformats.org/officeDocument/2006/relationships/hyperlink" Target="https://afltables.com/afl/seas/2020.html" TargetMode="External"/><Relationship Id="rId185" Type="http://schemas.openxmlformats.org/officeDocument/2006/relationships/hyperlink" Target="https://afltables.com/afl/teams/melbourne_idx.html" TargetMode="External"/><Relationship Id="rId350" Type="http://schemas.openxmlformats.org/officeDocument/2006/relationships/hyperlink" Target="https://afltables.com/afl/teams/stkilda_idx.html" TargetMode="External"/><Relationship Id="rId9" Type="http://schemas.openxmlformats.org/officeDocument/2006/relationships/hyperlink" Target="https://afltables.com/afl/seas/2025.html" TargetMode="External"/><Relationship Id="rId210" Type="http://schemas.openxmlformats.org/officeDocument/2006/relationships/hyperlink" Target="https://afltables.com/afl/teams/brisbanel_idx.html" TargetMode="External"/><Relationship Id="rId26" Type="http://schemas.openxmlformats.org/officeDocument/2006/relationships/hyperlink" Target="https://afltables.com/afl/teams/carlton_idx.html" TargetMode="External"/><Relationship Id="rId231" Type="http://schemas.openxmlformats.org/officeDocument/2006/relationships/hyperlink" Target="https://afltables.com/afl/seas/2018.html" TargetMode="External"/><Relationship Id="rId252" Type="http://schemas.openxmlformats.org/officeDocument/2006/relationships/hyperlink" Target="https://afltables.com/afl/teams/adelaide_idx.html" TargetMode="External"/><Relationship Id="rId273" Type="http://schemas.openxmlformats.org/officeDocument/2006/relationships/hyperlink" Target="https://afltables.com/afl/teams/adelaide_idx.html" TargetMode="External"/><Relationship Id="rId294" Type="http://schemas.openxmlformats.org/officeDocument/2006/relationships/hyperlink" Target="https://afltables.com/afl/seas/2016.html" TargetMode="External"/><Relationship Id="rId308" Type="http://schemas.openxmlformats.org/officeDocument/2006/relationships/hyperlink" Target="https://afltables.com/afl/teams/gws_idx.html" TargetMode="External"/><Relationship Id="rId329" Type="http://schemas.openxmlformats.org/officeDocument/2006/relationships/hyperlink" Target="https://afltables.com/afl/seas/2015.html" TargetMode="External"/><Relationship Id="rId47" Type="http://schemas.openxmlformats.org/officeDocument/2006/relationships/hyperlink" Target="https://afltables.com/afl/seas/2024.html" TargetMode="External"/><Relationship Id="rId68" Type="http://schemas.openxmlformats.org/officeDocument/2006/relationships/hyperlink" Target="https://afltables.com/afl/seas/2023.html" TargetMode="External"/><Relationship Id="rId89" Type="http://schemas.openxmlformats.org/officeDocument/2006/relationships/hyperlink" Target="https://afltables.com/afl/teams/bullldogs_idx.html" TargetMode="External"/><Relationship Id="rId112" Type="http://schemas.openxmlformats.org/officeDocument/2006/relationships/hyperlink" Target="https://afltables.com/afl/seas/2022.html" TargetMode="External"/><Relationship Id="rId133" Type="http://schemas.openxmlformats.org/officeDocument/2006/relationships/hyperlink" Target="https://afltables.com/afl/seas/2021.html" TargetMode="External"/><Relationship Id="rId154" Type="http://schemas.openxmlformats.org/officeDocument/2006/relationships/hyperlink" Target="https://afltables.com/afl/teams/stkilda_idx.html" TargetMode="External"/><Relationship Id="rId175" Type="http://schemas.openxmlformats.org/officeDocument/2006/relationships/hyperlink" Target="https://afltables.com/afl/seas/2020.html" TargetMode="External"/><Relationship Id="rId340" Type="http://schemas.openxmlformats.org/officeDocument/2006/relationships/hyperlink" Target="https://afltables.com/afl/teams/swans_idx.html" TargetMode="External"/><Relationship Id="rId196" Type="http://schemas.openxmlformats.org/officeDocument/2006/relationships/hyperlink" Target="https://afltables.com/afl/seas/2019.html" TargetMode="External"/><Relationship Id="rId200" Type="http://schemas.openxmlformats.org/officeDocument/2006/relationships/hyperlink" Target="https://afltables.com/afl/seas/2019.html" TargetMode="External"/><Relationship Id="rId16" Type="http://schemas.openxmlformats.org/officeDocument/2006/relationships/hyperlink" Target="https://afltables.com/afl/teams/adelaide_idx.html" TargetMode="External"/><Relationship Id="rId221" Type="http://schemas.openxmlformats.org/officeDocument/2006/relationships/hyperlink" Target="https://afltables.com/afl/teams/fremantle_idx.html" TargetMode="External"/><Relationship Id="rId242" Type="http://schemas.openxmlformats.org/officeDocument/2006/relationships/hyperlink" Target="https://afltables.com/afl/teams/westcoast_idx.html" TargetMode="External"/><Relationship Id="rId263" Type="http://schemas.openxmlformats.org/officeDocument/2006/relationships/hyperlink" Target="https://afltables.com/afl/seas/2017.html" TargetMode="External"/><Relationship Id="rId284" Type="http://schemas.openxmlformats.org/officeDocument/2006/relationships/hyperlink" Target="https://afltables.com/afl/teams/hawthorn_idx.html" TargetMode="External"/><Relationship Id="rId319" Type="http://schemas.openxmlformats.org/officeDocument/2006/relationships/hyperlink" Target="https://afltables.com/afl/teams/goldcoast_idx.html" TargetMode="External"/><Relationship Id="rId37" Type="http://schemas.openxmlformats.org/officeDocument/2006/relationships/hyperlink" Target="https://afltables.com/afl/seas/2024.html" TargetMode="External"/><Relationship Id="rId58" Type="http://schemas.openxmlformats.org/officeDocument/2006/relationships/hyperlink" Target="https://afltables.com/afl/teams/fremantle_idx.html" TargetMode="External"/><Relationship Id="rId79" Type="http://schemas.openxmlformats.org/officeDocument/2006/relationships/hyperlink" Target="https://afltables.com/afl/seas/2023.html" TargetMode="External"/><Relationship Id="rId102" Type="http://schemas.openxmlformats.org/officeDocument/2006/relationships/hyperlink" Target="https://afltables.com/afl/seas/2022.html" TargetMode="External"/><Relationship Id="rId123" Type="http://schemas.openxmlformats.org/officeDocument/2006/relationships/hyperlink" Target="https://afltables.com/afl/teams/padelaide_idx.html" TargetMode="External"/><Relationship Id="rId144" Type="http://schemas.openxmlformats.org/officeDocument/2006/relationships/hyperlink" Target="https://afltables.com/afl/seas/2021.html" TargetMode="External"/><Relationship Id="rId330" Type="http://schemas.openxmlformats.org/officeDocument/2006/relationships/hyperlink" Target="https://afltables.com/afl/seas/2015.html" TargetMode="External"/><Relationship Id="rId90" Type="http://schemas.openxmlformats.org/officeDocument/2006/relationships/hyperlink" Target="https://afltables.com/afl/teams/adelaide_idx.html" TargetMode="External"/><Relationship Id="rId165" Type="http://schemas.openxmlformats.org/officeDocument/2006/relationships/hyperlink" Target="https://afltables.com/afl/seas/2020.html" TargetMode="External"/><Relationship Id="rId186" Type="http://schemas.openxmlformats.org/officeDocument/2006/relationships/hyperlink" Target="https://afltables.com/afl/teams/gws_idx.html" TargetMode="External"/><Relationship Id="rId351" Type="http://schemas.openxmlformats.org/officeDocument/2006/relationships/hyperlink" Target="https://afltables.com/afl/teams/essendon_idx.html" TargetMode="External"/><Relationship Id="rId211" Type="http://schemas.openxmlformats.org/officeDocument/2006/relationships/hyperlink" Target="https://afltables.com/afl/teams/richmond_idx.html" TargetMode="External"/><Relationship Id="rId232" Type="http://schemas.openxmlformats.org/officeDocument/2006/relationships/hyperlink" Target="https://afltables.com/afl/seas/2018.html" TargetMode="External"/><Relationship Id="rId253" Type="http://schemas.openxmlformats.org/officeDocument/2006/relationships/hyperlink" Target="https://afltables.com/afl/teams/bullldogs_idx.html" TargetMode="External"/><Relationship Id="rId274" Type="http://schemas.openxmlformats.org/officeDocument/2006/relationships/hyperlink" Target="https://afltables.com/afl/teams/geelong_idx.html" TargetMode="External"/><Relationship Id="rId295" Type="http://schemas.openxmlformats.org/officeDocument/2006/relationships/hyperlink" Target="https://afltables.com/afl/seas/2016.html" TargetMode="External"/><Relationship Id="rId309" Type="http://schemas.openxmlformats.org/officeDocument/2006/relationships/hyperlink" Target="https://afltables.com/afl/teams/adelaide_idx.html" TargetMode="External"/><Relationship Id="rId27" Type="http://schemas.openxmlformats.org/officeDocument/2006/relationships/hyperlink" Target="https://afltables.com/afl/teams/stkilda_idx.html" TargetMode="External"/><Relationship Id="rId48" Type="http://schemas.openxmlformats.org/officeDocument/2006/relationships/hyperlink" Target="https://afltables.com/afl/seas/2024.html" TargetMode="External"/><Relationship Id="rId69" Type="http://schemas.openxmlformats.org/officeDocument/2006/relationships/hyperlink" Target="https://afltables.com/afl/seas/2023.html" TargetMode="External"/><Relationship Id="rId113" Type="http://schemas.openxmlformats.org/officeDocument/2006/relationships/hyperlink" Target="https://afltables.com/afl/teams/geelong_idx.html" TargetMode="External"/><Relationship Id="rId134" Type="http://schemas.openxmlformats.org/officeDocument/2006/relationships/hyperlink" Target="https://afltables.com/afl/seas/2021.html" TargetMode="External"/><Relationship Id="rId320" Type="http://schemas.openxmlformats.org/officeDocument/2006/relationships/hyperlink" Target="https://afltables.com/afl/teams/fremantle_idx.html" TargetMode="External"/><Relationship Id="rId80" Type="http://schemas.openxmlformats.org/officeDocument/2006/relationships/hyperlink" Target="https://afltables.com/afl/seas/2023.html" TargetMode="External"/><Relationship Id="rId155" Type="http://schemas.openxmlformats.org/officeDocument/2006/relationships/hyperlink" Target="https://afltables.com/afl/teams/fremantle_idx.html" TargetMode="External"/><Relationship Id="rId176" Type="http://schemas.openxmlformats.org/officeDocument/2006/relationships/hyperlink" Target="https://afltables.com/afl/seas/2020.html" TargetMode="External"/><Relationship Id="rId197" Type="http://schemas.openxmlformats.org/officeDocument/2006/relationships/hyperlink" Target="https://afltables.com/afl/seas/2019.html" TargetMode="External"/><Relationship Id="rId341" Type="http://schemas.openxmlformats.org/officeDocument/2006/relationships/hyperlink" Target="https://afltables.com/afl/teams/richmond_idx.html" TargetMode="External"/><Relationship Id="rId201" Type="http://schemas.openxmlformats.org/officeDocument/2006/relationships/hyperlink" Target="https://afltables.com/afl/seas/2019.html" TargetMode="External"/><Relationship Id="rId222" Type="http://schemas.openxmlformats.org/officeDocument/2006/relationships/hyperlink" Target="https://afltables.com/afl/teams/stkilda_idx.html" TargetMode="External"/><Relationship Id="rId243" Type="http://schemas.openxmlformats.org/officeDocument/2006/relationships/hyperlink" Target="https://afltables.com/afl/teams/collingwood_idx.html" TargetMode="External"/><Relationship Id="rId264" Type="http://schemas.openxmlformats.org/officeDocument/2006/relationships/hyperlink" Target="https://afltables.com/afl/seas/2017.html" TargetMode="External"/><Relationship Id="rId285" Type="http://schemas.openxmlformats.org/officeDocument/2006/relationships/hyperlink" Target="https://afltables.com/afl/teams/collingwood_idx.html" TargetMode="External"/><Relationship Id="rId17" Type="http://schemas.openxmlformats.org/officeDocument/2006/relationships/hyperlink" Target="https://afltables.com/afl/teams/geelong_idx.html" TargetMode="External"/><Relationship Id="rId38" Type="http://schemas.openxmlformats.org/officeDocument/2006/relationships/hyperlink" Target="https://afltables.com/afl/seas/2024.html" TargetMode="External"/><Relationship Id="rId59" Type="http://schemas.openxmlformats.org/officeDocument/2006/relationships/hyperlink" Target="https://afltables.com/afl/teams/essendon_idx.html" TargetMode="External"/><Relationship Id="rId103" Type="http://schemas.openxmlformats.org/officeDocument/2006/relationships/hyperlink" Target="https://afltables.com/afl/seas/2022.html" TargetMode="External"/><Relationship Id="rId124" Type="http://schemas.openxmlformats.org/officeDocument/2006/relationships/hyperlink" Target="https://afltables.com/afl/teams/goldcoast_idx.html" TargetMode="External"/><Relationship Id="rId310" Type="http://schemas.openxmlformats.org/officeDocument/2006/relationships/hyperlink" Target="https://afltables.com/afl/teams/westcoast_idx.html" TargetMode="External"/><Relationship Id="rId70" Type="http://schemas.openxmlformats.org/officeDocument/2006/relationships/hyperlink" Target="https://afltables.com/afl/seas/2023.html" TargetMode="External"/><Relationship Id="rId91" Type="http://schemas.openxmlformats.org/officeDocument/2006/relationships/hyperlink" Target="https://afltables.com/afl/teams/essendon_idx.html" TargetMode="External"/><Relationship Id="rId145" Type="http://schemas.openxmlformats.org/officeDocument/2006/relationships/hyperlink" Target="https://afltables.com/afl/teams/melbourne_idx.html" TargetMode="External"/><Relationship Id="rId166" Type="http://schemas.openxmlformats.org/officeDocument/2006/relationships/hyperlink" Target="https://afltables.com/afl/seas/2020.html" TargetMode="External"/><Relationship Id="rId187" Type="http://schemas.openxmlformats.org/officeDocument/2006/relationships/hyperlink" Target="https://afltables.com/afl/teams/carlton_idx.html" TargetMode="External"/><Relationship Id="rId331" Type="http://schemas.openxmlformats.org/officeDocument/2006/relationships/hyperlink" Target="https://afltables.com/afl/seas/2015.html" TargetMode="External"/><Relationship Id="rId352" Type="http://schemas.openxmlformats.org/officeDocument/2006/relationships/hyperlink" Target="https://afltables.com/afl/teams/goldcoast_idx.html" TargetMode="External"/><Relationship Id="rId1" Type="http://schemas.openxmlformats.org/officeDocument/2006/relationships/hyperlink" Target="https://afltables.com/afl/seas/2025.html" TargetMode="External"/><Relationship Id="rId212" Type="http://schemas.openxmlformats.org/officeDocument/2006/relationships/hyperlink" Target="https://afltables.com/afl/teams/collingwood_idx.html" TargetMode="External"/><Relationship Id="rId233" Type="http://schemas.openxmlformats.org/officeDocument/2006/relationships/hyperlink" Target="https://afltables.com/afl/seas/2018.html" TargetMode="External"/><Relationship Id="rId254" Type="http://schemas.openxmlformats.org/officeDocument/2006/relationships/hyperlink" Target="https://afltables.com/afl/teams/fremantle_idx.html" TargetMode="External"/><Relationship Id="rId28" Type="http://schemas.openxmlformats.org/officeDocument/2006/relationships/hyperlink" Target="https://afltables.com/afl/teams/padelaide_idx.html" TargetMode="External"/><Relationship Id="rId49" Type="http://schemas.openxmlformats.org/officeDocument/2006/relationships/hyperlink" Target="https://afltables.com/afl/teams/swans_idx.html" TargetMode="External"/><Relationship Id="rId114" Type="http://schemas.openxmlformats.org/officeDocument/2006/relationships/hyperlink" Target="https://afltables.com/afl/teams/melbourne_idx.html" TargetMode="External"/><Relationship Id="rId275" Type="http://schemas.openxmlformats.org/officeDocument/2006/relationships/hyperlink" Target="https://afltables.com/afl/teams/richmond_idx.html" TargetMode="External"/><Relationship Id="rId296" Type="http://schemas.openxmlformats.org/officeDocument/2006/relationships/hyperlink" Target="https://afltables.com/afl/seas/2016.html" TargetMode="External"/><Relationship Id="rId300" Type="http://schemas.openxmlformats.org/officeDocument/2006/relationships/hyperlink" Target="https://afltables.com/afl/seas/2016.html" TargetMode="External"/><Relationship Id="rId60" Type="http://schemas.openxmlformats.org/officeDocument/2006/relationships/hyperlink" Target="https://afltables.com/afl/teams/stkilda_idx.html" TargetMode="External"/><Relationship Id="rId81" Type="http://schemas.openxmlformats.org/officeDocument/2006/relationships/hyperlink" Target="https://afltables.com/afl/teams/collingwood_idx.html" TargetMode="External"/><Relationship Id="rId135" Type="http://schemas.openxmlformats.org/officeDocument/2006/relationships/hyperlink" Target="https://afltables.com/afl/seas/2021.html" TargetMode="External"/><Relationship Id="rId156" Type="http://schemas.openxmlformats.org/officeDocument/2006/relationships/hyperlink" Target="https://afltables.com/afl/teams/richmond_idx.html" TargetMode="External"/><Relationship Id="rId177" Type="http://schemas.openxmlformats.org/officeDocument/2006/relationships/hyperlink" Target="https://afltables.com/afl/teams/padelaide_idx.html" TargetMode="External"/><Relationship Id="rId198" Type="http://schemas.openxmlformats.org/officeDocument/2006/relationships/hyperlink" Target="https://afltables.com/afl/seas/2019.html" TargetMode="External"/><Relationship Id="rId321" Type="http://schemas.openxmlformats.org/officeDocument/2006/relationships/hyperlink" Target="https://afltables.com/afl/teams/brisbanel_idx.html" TargetMode="External"/><Relationship Id="rId342" Type="http://schemas.openxmlformats.org/officeDocument/2006/relationships/hyperlink" Target="https://afltables.com/afl/teams/bullldogs_idx.html" TargetMode="External"/><Relationship Id="rId202" Type="http://schemas.openxmlformats.org/officeDocument/2006/relationships/hyperlink" Target="https://afltables.com/afl/seas/2019.html" TargetMode="External"/><Relationship Id="rId223" Type="http://schemas.openxmlformats.org/officeDocument/2006/relationships/hyperlink" Target="https://afltables.com/afl/teams/swans_idx.html" TargetMode="External"/><Relationship Id="rId244" Type="http://schemas.openxmlformats.org/officeDocument/2006/relationships/hyperlink" Target="https://afltables.com/afl/teams/hawthorn_idx.html" TargetMode="External"/><Relationship Id="rId18" Type="http://schemas.openxmlformats.org/officeDocument/2006/relationships/hyperlink" Target="https://afltables.com/afl/teams/brisbanel_idx.html" TargetMode="External"/><Relationship Id="rId39" Type="http://schemas.openxmlformats.org/officeDocument/2006/relationships/hyperlink" Target="https://afltables.com/afl/seas/2024.html" TargetMode="External"/><Relationship Id="rId265" Type="http://schemas.openxmlformats.org/officeDocument/2006/relationships/hyperlink" Target="https://afltables.com/afl/seas/2017.html" TargetMode="External"/><Relationship Id="rId286" Type="http://schemas.openxmlformats.org/officeDocument/2006/relationships/hyperlink" Target="https://afltables.com/afl/teams/fremantle_idx.html" TargetMode="External"/><Relationship Id="rId50" Type="http://schemas.openxmlformats.org/officeDocument/2006/relationships/hyperlink" Target="https://afltables.com/afl/teams/padelaide_idx.html" TargetMode="External"/><Relationship Id="rId104" Type="http://schemas.openxmlformats.org/officeDocument/2006/relationships/hyperlink" Target="https://afltables.com/afl/seas/2022.html" TargetMode="External"/><Relationship Id="rId125" Type="http://schemas.openxmlformats.org/officeDocument/2006/relationships/hyperlink" Target="https://afltables.com/afl/teams/hawthorn_idx.html" TargetMode="External"/><Relationship Id="rId146" Type="http://schemas.openxmlformats.org/officeDocument/2006/relationships/hyperlink" Target="https://afltables.com/afl/teams/padelaide_idx.html" TargetMode="External"/><Relationship Id="rId167" Type="http://schemas.openxmlformats.org/officeDocument/2006/relationships/hyperlink" Target="https://afltables.com/afl/seas/2020.html" TargetMode="External"/><Relationship Id="rId188" Type="http://schemas.openxmlformats.org/officeDocument/2006/relationships/hyperlink" Target="https://afltables.com/afl/teams/fremantle_idx.html" TargetMode="External"/><Relationship Id="rId311" Type="http://schemas.openxmlformats.org/officeDocument/2006/relationships/hyperlink" Target="https://afltables.com/afl/teams/bullldogs_idx.html" TargetMode="External"/><Relationship Id="rId332" Type="http://schemas.openxmlformats.org/officeDocument/2006/relationships/hyperlink" Target="https://afltables.com/afl/seas/2015.html" TargetMode="External"/><Relationship Id="rId353" Type="http://schemas.openxmlformats.org/officeDocument/2006/relationships/hyperlink" Target="https://afltables.com/afl/teams/brisbanel_idx.html" TargetMode="External"/><Relationship Id="rId71" Type="http://schemas.openxmlformats.org/officeDocument/2006/relationships/hyperlink" Target="https://afltables.com/afl/seas/2023.html" TargetMode="External"/><Relationship Id="rId92" Type="http://schemas.openxmlformats.org/officeDocument/2006/relationships/hyperlink" Target="https://afltables.com/afl/teams/geelong_idx.html" TargetMode="External"/><Relationship Id="rId213" Type="http://schemas.openxmlformats.org/officeDocument/2006/relationships/hyperlink" Target="https://afltables.com/afl/teams/westcoast_idx.html" TargetMode="External"/><Relationship Id="rId234" Type="http://schemas.openxmlformats.org/officeDocument/2006/relationships/hyperlink" Target="https://afltables.com/afl/seas/2018.html" TargetMode="External"/><Relationship Id="rId2" Type="http://schemas.openxmlformats.org/officeDocument/2006/relationships/hyperlink" Target="https://afltables.com/afl/seas/2025.html" TargetMode="External"/><Relationship Id="rId29" Type="http://schemas.openxmlformats.org/officeDocument/2006/relationships/hyperlink" Target="https://afltables.com/afl/teams/melbourne_idx.html" TargetMode="External"/><Relationship Id="rId255" Type="http://schemas.openxmlformats.org/officeDocument/2006/relationships/hyperlink" Target="https://afltables.com/afl/teams/brisbanel_idx.html" TargetMode="External"/><Relationship Id="rId276" Type="http://schemas.openxmlformats.org/officeDocument/2006/relationships/hyperlink" Target="https://afltables.com/afl/teams/gws_idx.html" TargetMode="External"/><Relationship Id="rId297" Type="http://schemas.openxmlformats.org/officeDocument/2006/relationships/hyperlink" Target="https://afltables.com/afl/seas/2016.html" TargetMode="External"/><Relationship Id="rId40" Type="http://schemas.openxmlformats.org/officeDocument/2006/relationships/hyperlink" Target="https://afltables.com/afl/seas/2024.html" TargetMode="External"/><Relationship Id="rId115" Type="http://schemas.openxmlformats.org/officeDocument/2006/relationships/hyperlink" Target="https://afltables.com/afl/teams/swans_idx.html" TargetMode="External"/><Relationship Id="rId136" Type="http://schemas.openxmlformats.org/officeDocument/2006/relationships/hyperlink" Target="https://afltables.com/afl/seas/2021.html" TargetMode="External"/><Relationship Id="rId157" Type="http://schemas.openxmlformats.org/officeDocument/2006/relationships/hyperlink" Target="https://afltables.com/afl/teams/carlton_idx.html" TargetMode="External"/><Relationship Id="rId178" Type="http://schemas.openxmlformats.org/officeDocument/2006/relationships/hyperlink" Target="https://afltables.com/afl/teams/brisbanel_idx.html" TargetMode="External"/><Relationship Id="rId301" Type="http://schemas.openxmlformats.org/officeDocument/2006/relationships/hyperlink" Target="https://afltables.com/afl/seas/2016.html" TargetMode="External"/><Relationship Id="rId322" Type="http://schemas.openxmlformats.org/officeDocument/2006/relationships/hyperlink" Target="https://afltables.com/afl/teams/essendon_idx.html" TargetMode="External"/><Relationship Id="rId343" Type="http://schemas.openxmlformats.org/officeDocument/2006/relationships/hyperlink" Target="https://afltables.com/afl/teams/adelaide_idx.html" TargetMode="External"/><Relationship Id="rId61" Type="http://schemas.openxmlformats.org/officeDocument/2006/relationships/hyperlink" Target="https://afltables.com/afl/teams/goldcoast_idx.html" TargetMode="External"/><Relationship Id="rId82" Type="http://schemas.openxmlformats.org/officeDocument/2006/relationships/hyperlink" Target="https://afltables.com/afl/teams/brisbanel_idx.html" TargetMode="External"/><Relationship Id="rId199" Type="http://schemas.openxmlformats.org/officeDocument/2006/relationships/hyperlink" Target="https://afltables.com/afl/seas/2019.html" TargetMode="External"/><Relationship Id="rId203" Type="http://schemas.openxmlformats.org/officeDocument/2006/relationships/hyperlink" Target="https://afltables.com/afl/seas/2019.html" TargetMode="External"/><Relationship Id="rId19" Type="http://schemas.openxmlformats.org/officeDocument/2006/relationships/hyperlink" Target="https://afltables.com/afl/teams/collingwood_idx.html" TargetMode="External"/><Relationship Id="rId224" Type="http://schemas.openxmlformats.org/officeDocument/2006/relationships/hyperlink" Target="https://afltables.com/afl/teams/carlton_idx.html" TargetMode="External"/><Relationship Id="rId245" Type="http://schemas.openxmlformats.org/officeDocument/2006/relationships/hyperlink" Target="https://afltables.com/afl/teams/melbourne_idx.html" TargetMode="External"/><Relationship Id="rId266" Type="http://schemas.openxmlformats.org/officeDocument/2006/relationships/hyperlink" Target="https://afltables.com/afl/seas/2017.html" TargetMode="External"/><Relationship Id="rId287" Type="http://schemas.openxmlformats.org/officeDocument/2006/relationships/hyperlink" Target="https://afltables.com/afl/teams/kangaroos_idx.html" TargetMode="External"/><Relationship Id="rId30" Type="http://schemas.openxmlformats.org/officeDocument/2006/relationships/hyperlink" Target="https://afltables.com/afl/teams/essendon_idx.html" TargetMode="External"/><Relationship Id="rId105" Type="http://schemas.openxmlformats.org/officeDocument/2006/relationships/hyperlink" Target="https://afltables.com/afl/seas/2022.html" TargetMode="External"/><Relationship Id="rId126" Type="http://schemas.openxmlformats.org/officeDocument/2006/relationships/hyperlink" Target="https://afltables.com/afl/teams/adelaide_idx.html" TargetMode="External"/><Relationship Id="rId147" Type="http://schemas.openxmlformats.org/officeDocument/2006/relationships/hyperlink" Target="https://afltables.com/afl/teams/geelong_idx.html" TargetMode="External"/><Relationship Id="rId168" Type="http://schemas.openxmlformats.org/officeDocument/2006/relationships/hyperlink" Target="https://afltables.com/afl/seas/2020.html" TargetMode="External"/><Relationship Id="rId312" Type="http://schemas.openxmlformats.org/officeDocument/2006/relationships/hyperlink" Target="https://afltables.com/afl/teams/kangaroos_idx.html" TargetMode="External"/><Relationship Id="rId333" Type="http://schemas.openxmlformats.org/officeDocument/2006/relationships/hyperlink" Target="https://afltables.com/afl/seas/2015.html" TargetMode="External"/><Relationship Id="rId354" Type="http://schemas.openxmlformats.org/officeDocument/2006/relationships/hyperlink" Target="https://afltables.com/afl/teams/carlton_idx.html" TargetMode="External"/><Relationship Id="rId51" Type="http://schemas.openxmlformats.org/officeDocument/2006/relationships/hyperlink" Target="https://afltables.com/afl/teams/geelong_idx.html" TargetMode="External"/><Relationship Id="rId72" Type="http://schemas.openxmlformats.org/officeDocument/2006/relationships/hyperlink" Target="https://afltables.com/afl/seas/2023.html" TargetMode="External"/><Relationship Id="rId93" Type="http://schemas.openxmlformats.org/officeDocument/2006/relationships/hyperlink" Target="https://afltables.com/afl/teams/richmond_idx.html" TargetMode="External"/><Relationship Id="rId189" Type="http://schemas.openxmlformats.org/officeDocument/2006/relationships/hyperlink" Target="https://afltables.com/afl/teams/essendon_idx.html" TargetMode="External"/><Relationship Id="rId3" Type="http://schemas.openxmlformats.org/officeDocument/2006/relationships/hyperlink" Target="https://afltables.com/afl/seas/2025.html" TargetMode="External"/><Relationship Id="rId214" Type="http://schemas.openxmlformats.org/officeDocument/2006/relationships/hyperlink" Target="https://afltables.com/afl/teams/gws_idx.html" TargetMode="External"/><Relationship Id="rId235" Type="http://schemas.openxmlformats.org/officeDocument/2006/relationships/hyperlink" Target="https://afltables.com/afl/seas/2018.html" TargetMode="External"/><Relationship Id="rId256" Type="http://schemas.openxmlformats.org/officeDocument/2006/relationships/hyperlink" Target="https://afltables.com/afl/teams/stkilda_idx.html" TargetMode="External"/><Relationship Id="rId277" Type="http://schemas.openxmlformats.org/officeDocument/2006/relationships/hyperlink" Target="https://afltables.com/afl/teams/padelaide_idx.html" TargetMode="External"/><Relationship Id="rId298" Type="http://schemas.openxmlformats.org/officeDocument/2006/relationships/hyperlink" Target="https://afltables.com/afl/seas/2016.html" TargetMode="External"/><Relationship Id="rId116" Type="http://schemas.openxmlformats.org/officeDocument/2006/relationships/hyperlink" Target="https://afltables.com/afl/teams/collingwood_idx.html" TargetMode="External"/><Relationship Id="rId137" Type="http://schemas.openxmlformats.org/officeDocument/2006/relationships/hyperlink" Target="https://afltables.com/afl/seas/2021.html" TargetMode="External"/><Relationship Id="rId158" Type="http://schemas.openxmlformats.org/officeDocument/2006/relationships/hyperlink" Target="https://afltables.com/afl/teams/hawthorn_idx.html" TargetMode="External"/><Relationship Id="rId302" Type="http://schemas.openxmlformats.org/officeDocument/2006/relationships/hyperlink" Target="https://afltables.com/afl/seas/2016.html" TargetMode="External"/><Relationship Id="rId323" Type="http://schemas.openxmlformats.org/officeDocument/2006/relationships/hyperlink" Target="https://afltables.com/afl/seas/2015.html" TargetMode="External"/><Relationship Id="rId344" Type="http://schemas.openxmlformats.org/officeDocument/2006/relationships/hyperlink" Target="https://afltables.com/afl/teams/kangaroos_idx.html" TargetMode="External"/><Relationship Id="rId20" Type="http://schemas.openxmlformats.org/officeDocument/2006/relationships/hyperlink" Target="https://afltables.com/afl/teams/gws_idx.html" TargetMode="External"/><Relationship Id="rId41" Type="http://schemas.openxmlformats.org/officeDocument/2006/relationships/hyperlink" Target="https://afltables.com/afl/seas/2024.html" TargetMode="External"/><Relationship Id="rId62" Type="http://schemas.openxmlformats.org/officeDocument/2006/relationships/hyperlink" Target="https://afltables.com/afl/teams/melbourne_idx.html" TargetMode="External"/><Relationship Id="rId83" Type="http://schemas.openxmlformats.org/officeDocument/2006/relationships/hyperlink" Target="https://afltables.com/afl/teams/padelaide_idx.html" TargetMode="External"/><Relationship Id="rId179" Type="http://schemas.openxmlformats.org/officeDocument/2006/relationships/hyperlink" Target="https://afltables.com/afl/teams/richmond_idx.html" TargetMode="External"/><Relationship Id="rId190" Type="http://schemas.openxmlformats.org/officeDocument/2006/relationships/hyperlink" Target="https://afltables.com/afl/teams/goldcoast_idx.html" TargetMode="External"/><Relationship Id="rId204" Type="http://schemas.openxmlformats.org/officeDocument/2006/relationships/hyperlink" Target="https://afltables.com/afl/seas/2019.html" TargetMode="External"/><Relationship Id="rId225" Type="http://schemas.openxmlformats.org/officeDocument/2006/relationships/hyperlink" Target="https://afltables.com/afl/teams/melbourne_idx.html" TargetMode="External"/><Relationship Id="rId246" Type="http://schemas.openxmlformats.org/officeDocument/2006/relationships/hyperlink" Target="https://afltables.com/afl/teams/swans_idx.html" TargetMode="External"/><Relationship Id="rId267" Type="http://schemas.openxmlformats.org/officeDocument/2006/relationships/hyperlink" Target="https://afltables.com/afl/seas/2017.html" TargetMode="External"/><Relationship Id="rId288" Type="http://schemas.openxmlformats.org/officeDocument/2006/relationships/hyperlink" Target="https://afltables.com/afl/teams/carlton_idx.html" TargetMode="External"/><Relationship Id="rId106" Type="http://schemas.openxmlformats.org/officeDocument/2006/relationships/hyperlink" Target="https://afltables.com/afl/seas/2022.html" TargetMode="External"/><Relationship Id="rId127" Type="http://schemas.openxmlformats.org/officeDocument/2006/relationships/hyperlink" Target="https://afltables.com/afl/teams/essendon_idx.html" TargetMode="External"/><Relationship Id="rId313" Type="http://schemas.openxmlformats.org/officeDocument/2006/relationships/hyperlink" Target="https://afltables.com/afl/teams/stkilda_idx.html" TargetMode="External"/><Relationship Id="rId10" Type="http://schemas.openxmlformats.org/officeDocument/2006/relationships/hyperlink" Target="https://afltables.com/afl/seas/2025.html" TargetMode="External"/><Relationship Id="rId31" Type="http://schemas.openxmlformats.org/officeDocument/2006/relationships/hyperlink" Target="https://afltables.com/afl/teams/kangaroos_idx.html" TargetMode="External"/><Relationship Id="rId52" Type="http://schemas.openxmlformats.org/officeDocument/2006/relationships/hyperlink" Target="https://afltables.com/afl/teams/gws_idx.html" TargetMode="External"/><Relationship Id="rId73" Type="http://schemas.openxmlformats.org/officeDocument/2006/relationships/hyperlink" Target="https://afltables.com/afl/seas/2023.html" TargetMode="External"/><Relationship Id="rId94" Type="http://schemas.openxmlformats.org/officeDocument/2006/relationships/hyperlink" Target="https://afltables.com/afl/teams/fremantle_idx.html" TargetMode="External"/><Relationship Id="rId148" Type="http://schemas.openxmlformats.org/officeDocument/2006/relationships/hyperlink" Target="https://afltables.com/afl/teams/brisbanel_idx.html" TargetMode="External"/><Relationship Id="rId169" Type="http://schemas.openxmlformats.org/officeDocument/2006/relationships/hyperlink" Target="https://afltables.com/afl/seas/2020.html" TargetMode="External"/><Relationship Id="rId334" Type="http://schemas.openxmlformats.org/officeDocument/2006/relationships/hyperlink" Target="https://afltables.com/afl/seas/2015.html" TargetMode="External"/><Relationship Id="rId4" Type="http://schemas.openxmlformats.org/officeDocument/2006/relationships/hyperlink" Target="https://afltables.com/afl/seas/2025.html" TargetMode="External"/><Relationship Id="rId180" Type="http://schemas.openxmlformats.org/officeDocument/2006/relationships/hyperlink" Target="https://afltables.com/afl/teams/geelong_idx.html" TargetMode="External"/><Relationship Id="rId215" Type="http://schemas.openxmlformats.org/officeDocument/2006/relationships/hyperlink" Target="https://afltables.com/afl/teams/bullldogs_idx.html" TargetMode="External"/><Relationship Id="rId236" Type="http://schemas.openxmlformats.org/officeDocument/2006/relationships/hyperlink" Target="https://afltables.com/afl/seas/2018.html" TargetMode="External"/><Relationship Id="rId257" Type="http://schemas.openxmlformats.org/officeDocument/2006/relationships/hyperlink" Target="https://afltables.com/afl/teams/goldcoast_idx.html" TargetMode="External"/><Relationship Id="rId278" Type="http://schemas.openxmlformats.org/officeDocument/2006/relationships/hyperlink" Target="https://afltables.com/afl/teams/swans_idx.html" TargetMode="External"/><Relationship Id="rId303" Type="http://schemas.openxmlformats.org/officeDocument/2006/relationships/hyperlink" Target="https://afltables.com/afl/seas/2016.html" TargetMode="External"/><Relationship Id="rId42" Type="http://schemas.openxmlformats.org/officeDocument/2006/relationships/hyperlink" Target="https://afltables.com/afl/seas/2024.html" TargetMode="External"/><Relationship Id="rId84" Type="http://schemas.openxmlformats.org/officeDocument/2006/relationships/hyperlink" Target="https://afltables.com/afl/teams/melbourne_idx.html" TargetMode="External"/><Relationship Id="rId138" Type="http://schemas.openxmlformats.org/officeDocument/2006/relationships/hyperlink" Target="https://afltables.com/afl/seas/2021.html" TargetMode="External"/><Relationship Id="rId345" Type="http://schemas.openxmlformats.org/officeDocument/2006/relationships/hyperlink" Target="https://afltables.com/afl/teams/padelaide_idx.html" TargetMode="External"/><Relationship Id="rId191" Type="http://schemas.openxmlformats.org/officeDocument/2006/relationships/hyperlink" Target="https://afltables.com/afl/teams/hawthorn_idx.html" TargetMode="External"/><Relationship Id="rId205" Type="http://schemas.openxmlformats.org/officeDocument/2006/relationships/hyperlink" Target="https://afltables.com/afl/seas/2019.html" TargetMode="External"/><Relationship Id="rId247" Type="http://schemas.openxmlformats.org/officeDocument/2006/relationships/hyperlink" Target="https://afltables.com/afl/teams/gws_idx.html" TargetMode="External"/><Relationship Id="rId107" Type="http://schemas.openxmlformats.org/officeDocument/2006/relationships/hyperlink" Target="https://afltables.com/afl/seas/2022.html" TargetMode="External"/><Relationship Id="rId289" Type="http://schemas.openxmlformats.org/officeDocument/2006/relationships/hyperlink" Target="https://afltables.com/afl/teams/goldcoast_idx.html" TargetMode="External"/><Relationship Id="rId11" Type="http://schemas.openxmlformats.org/officeDocument/2006/relationships/hyperlink" Target="https://afltables.com/afl/seas/2025.html" TargetMode="External"/><Relationship Id="rId53" Type="http://schemas.openxmlformats.org/officeDocument/2006/relationships/hyperlink" Target="https://afltables.com/afl/teams/brisbanel_idx.html" TargetMode="External"/><Relationship Id="rId149" Type="http://schemas.openxmlformats.org/officeDocument/2006/relationships/hyperlink" Target="https://afltables.com/afl/teams/bullldogs_idx.html" TargetMode="External"/><Relationship Id="rId314" Type="http://schemas.openxmlformats.org/officeDocument/2006/relationships/hyperlink" Target="https://afltables.com/afl/teams/padelaide_idx.html" TargetMode="External"/><Relationship Id="rId95" Type="http://schemas.openxmlformats.org/officeDocument/2006/relationships/hyperlink" Target="https://afltables.com/afl/teams/goldcoast_idx.html" TargetMode="External"/><Relationship Id="rId160" Type="http://schemas.openxmlformats.org/officeDocument/2006/relationships/hyperlink" Target="https://afltables.com/afl/teams/goldcoast_idx.html" TargetMode="External"/><Relationship Id="rId216" Type="http://schemas.openxmlformats.org/officeDocument/2006/relationships/hyperlink" Target="https://afltables.com/afl/teams/essendon_idx.html" TargetMode="External"/><Relationship Id="rId258" Type="http://schemas.openxmlformats.org/officeDocument/2006/relationships/hyperlink" Target="https://afltables.com/afl/teams/carlton_idx.html" TargetMode="External"/><Relationship Id="rId22" Type="http://schemas.openxmlformats.org/officeDocument/2006/relationships/hyperlink" Target="https://afltables.com/afl/teams/goldcoast_idx.html" TargetMode="External"/><Relationship Id="rId64" Type="http://schemas.openxmlformats.org/officeDocument/2006/relationships/hyperlink" Target="https://afltables.com/afl/teams/westcoast_idx.html" TargetMode="External"/><Relationship Id="rId118" Type="http://schemas.openxmlformats.org/officeDocument/2006/relationships/hyperlink" Target="https://afltables.com/afl/teams/brisbanel_idx.html" TargetMode="External"/><Relationship Id="rId325" Type="http://schemas.openxmlformats.org/officeDocument/2006/relationships/hyperlink" Target="https://afltables.com/afl/seas/2015.html" TargetMode="External"/><Relationship Id="rId171" Type="http://schemas.openxmlformats.org/officeDocument/2006/relationships/hyperlink" Target="https://afltables.com/afl/seas/2020.html" TargetMode="External"/><Relationship Id="rId227" Type="http://schemas.openxmlformats.org/officeDocument/2006/relationships/hyperlink" Target="https://afltables.com/afl/seas/2018.html" TargetMode="External"/><Relationship Id="rId269" Type="http://schemas.openxmlformats.org/officeDocument/2006/relationships/hyperlink" Target="https://afltables.com/afl/seas/2017.html" TargetMode="External"/><Relationship Id="rId33" Type="http://schemas.openxmlformats.org/officeDocument/2006/relationships/hyperlink" Target="https://afltables.com/afl/teams/westcoast_idx.html" TargetMode="External"/><Relationship Id="rId129" Type="http://schemas.openxmlformats.org/officeDocument/2006/relationships/hyperlink" Target="https://afltables.com/afl/teams/westcoast_idx.html" TargetMode="External"/><Relationship Id="rId280" Type="http://schemas.openxmlformats.org/officeDocument/2006/relationships/hyperlink" Target="https://afltables.com/afl/teams/westcoast_idx.html" TargetMode="External"/><Relationship Id="rId336" Type="http://schemas.openxmlformats.org/officeDocument/2006/relationships/hyperlink" Target="https://afltables.com/afl/seas/2015.html" TargetMode="External"/><Relationship Id="rId75" Type="http://schemas.openxmlformats.org/officeDocument/2006/relationships/hyperlink" Target="https://afltables.com/afl/seas/2023.html" TargetMode="External"/><Relationship Id="rId140" Type="http://schemas.openxmlformats.org/officeDocument/2006/relationships/hyperlink" Target="https://afltables.com/afl/seas/2021.html" TargetMode="External"/><Relationship Id="rId182" Type="http://schemas.openxmlformats.org/officeDocument/2006/relationships/hyperlink" Target="https://afltables.com/afl/teams/stkilda_idx.html" TargetMode="External"/><Relationship Id="rId6" Type="http://schemas.openxmlformats.org/officeDocument/2006/relationships/hyperlink" Target="https://afltables.com/afl/seas/2025.html" TargetMode="External"/><Relationship Id="rId238" Type="http://schemas.openxmlformats.org/officeDocument/2006/relationships/hyperlink" Target="https://afltables.com/afl/seas/2018.html" TargetMode="External"/><Relationship Id="rId291" Type="http://schemas.openxmlformats.org/officeDocument/2006/relationships/hyperlink" Target="https://afltables.com/afl/seas/2016.html" TargetMode="External"/><Relationship Id="rId305" Type="http://schemas.openxmlformats.org/officeDocument/2006/relationships/hyperlink" Target="https://afltables.com/afl/teams/swans_idx.html" TargetMode="External"/><Relationship Id="rId347" Type="http://schemas.openxmlformats.org/officeDocument/2006/relationships/hyperlink" Target="https://afltables.com/afl/teams/gws_idx.html" TargetMode="External"/><Relationship Id="rId44" Type="http://schemas.openxmlformats.org/officeDocument/2006/relationships/hyperlink" Target="https://afltables.com/afl/seas/2024.html" TargetMode="External"/><Relationship Id="rId86" Type="http://schemas.openxmlformats.org/officeDocument/2006/relationships/hyperlink" Target="https://afltables.com/afl/teams/stkilda_idx.html" TargetMode="External"/><Relationship Id="rId151" Type="http://schemas.openxmlformats.org/officeDocument/2006/relationships/hyperlink" Target="https://afltables.com/afl/teams/gws_idx.html" TargetMode="External"/><Relationship Id="rId193" Type="http://schemas.openxmlformats.org/officeDocument/2006/relationships/hyperlink" Target="https://afltables.com/afl/teams/kangaroos_idx.html" TargetMode="External"/><Relationship Id="rId207" Type="http://schemas.openxmlformats.org/officeDocument/2006/relationships/hyperlink" Target="https://afltables.com/afl/seas/2019.html" TargetMode="External"/><Relationship Id="rId249" Type="http://schemas.openxmlformats.org/officeDocument/2006/relationships/hyperlink" Target="https://afltables.com/afl/teams/kangaroos_idx.html" TargetMode="External"/><Relationship Id="rId13" Type="http://schemas.openxmlformats.org/officeDocument/2006/relationships/hyperlink" Target="https://afltables.com/afl/seas/2025.html" TargetMode="External"/><Relationship Id="rId109" Type="http://schemas.openxmlformats.org/officeDocument/2006/relationships/hyperlink" Target="https://afltables.com/afl/seas/2022.html" TargetMode="External"/><Relationship Id="rId260" Type="http://schemas.openxmlformats.org/officeDocument/2006/relationships/hyperlink" Target="https://afltables.com/afl/seas/2017.html" TargetMode="External"/><Relationship Id="rId316" Type="http://schemas.openxmlformats.org/officeDocument/2006/relationships/hyperlink" Target="https://afltables.com/afl/teams/collingwood_idx.html" TargetMode="External"/><Relationship Id="rId55" Type="http://schemas.openxmlformats.org/officeDocument/2006/relationships/hyperlink" Target="https://afltables.com/afl/teams/hawthorn_idx.html" TargetMode="External"/><Relationship Id="rId97" Type="http://schemas.openxmlformats.org/officeDocument/2006/relationships/hyperlink" Target="https://afltables.com/afl/teams/kangaroos_idx.html" TargetMode="External"/><Relationship Id="rId120" Type="http://schemas.openxmlformats.org/officeDocument/2006/relationships/hyperlink" Target="https://afltables.com/afl/teams/bullldogs_idx.html" TargetMode="External"/><Relationship Id="rId162" Type="http://schemas.openxmlformats.org/officeDocument/2006/relationships/hyperlink" Target="https://afltables.com/afl/teams/kangaroos_idx.html" TargetMode="External"/><Relationship Id="rId218" Type="http://schemas.openxmlformats.org/officeDocument/2006/relationships/hyperlink" Target="https://afltables.com/afl/teams/padelaide_idx.html" TargetMode="External"/><Relationship Id="rId271" Type="http://schemas.openxmlformats.org/officeDocument/2006/relationships/hyperlink" Target="https://afltables.com/afl/seas/2017.html" TargetMode="External"/><Relationship Id="rId24" Type="http://schemas.openxmlformats.org/officeDocument/2006/relationships/hyperlink" Target="https://afltables.com/afl/teams/bullldogs_idx.html" TargetMode="External"/><Relationship Id="rId66" Type="http://schemas.openxmlformats.org/officeDocument/2006/relationships/hyperlink" Target="https://afltables.com/afl/teams/richmond_idx.html" TargetMode="External"/><Relationship Id="rId131" Type="http://schemas.openxmlformats.org/officeDocument/2006/relationships/hyperlink" Target="https://afltables.com/afl/seas/2021.html" TargetMode="External"/><Relationship Id="rId327" Type="http://schemas.openxmlformats.org/officeDocument/2006/relationships/hyperlink" Target="https://afltables.com/afl/seas/2015.html" TargetMode="External"/><Relationship Id="rId173" Type="http://schemas.openxmlformats.org/officeDocument/2006/relationships/hyperlink" Target="https://afltables.com/afl/seas/2020.html" TargetMode="External"/><Relationship Id="rId229" Type="http://schemas.openxmlformats.org/officeDocument/2006/relationships/hyperlink" Target="https://afltables.com/afl/seas/2018.html" TargetMode="External"/><Relationship Id="rId240" Type="http://schemas.openxmlformats.org/officeDocument/2006/relationships/hyperlink" Target="https://afltables.com/afl/seas/2018.html" TargetMode="External"/><Relationship Id="rId35" Type="http://schemas.openxmlformats.org/officeDocument/2006/relationships/hyperlink" Target="https://afltables.com/afl/seas/2024.html" TargetMode="External"/><Relationship Id="rId77" Type="http://schemas.openxmlformats.org/officeDocument/2006/relationships/hyperlink" Target="https://afltables.com/afl/seas/2023.html" TargetMode="External"/><Relationship Id="rId100" Type="http://schemas.openxmlformats.org/officeDocument/2006/relationships/hyperlink" Target="https://afltables.com/afl/seas/2022.html" TargetMode="External"/><Relationship Id="rId282" Type="http://schemas.openxmlformats.org/officeDocument/2006/relationships/hyperlink" Target="https://afltables.com/afl/teams/bullldogs_idx.html" TargetMode="External"/><Relationship Id="rId338" Type="http://schemas.openxmlformats.org/officeDocument/2006/relationships/hyperlink" Target="https://afltables.com/afl/teams/westcoast_idx.html" TargetMode="External"/><Relationship Id="rId8" Type="http://schemas.openxmlformats.org/officeDocument/2006/relationships/hyperlink" Target="https://afltables.com/afl/seas/2025.html" TargetMode="External"/><Relationship Id="rId142" Type="http://schemas.openxmlformats.org/officeDocument/2006/relationships/hyperlink" Target="https://afltables.com/afl/seas/2021.html" TargetMode="External"/><Relationship Id="rId184" Type="http://schemas.openxmlformats.org/officeDocument/2006/relationships/hyperlink" Target="https://afltables.com/afl/teams/collingwood_idx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d214e5f/Marco-Bizot" TargetMode="External"/><Relationship Id="rId21" Type="http://schemas.openxmlformats.org/officeDocument/2006/relationships/hyperlink" Target="https://fbref.com/en/players/0cf321c8/Djordje-Petrovic" TargetMode="External"/><Relationship Id="rId324" Type="http://schemas.openxmlformats.org/officeDocument/2006/relationships/hyperlink" Target="https://fbref.com/en/players/58ad9383/Predrag-Rajkovic" TargetMode="External"/><Relationship Id="rId531" Type="http://schemas.openxmlformats.org/officeDocument/2006/relationships/hyperlink" Target="https://fbref.com/en/players/950ff24d/Yoan-Cardinale" TargetMode="External"/><Relationship Id="rId629" Type="http://schemas.openxmlformats.org/officeDocument/2006/relationships/hyperlink" Target="https://fbref.com/en/players/f83c8d6c/Jimmy-Briand" TargetMode="External"/><Relationship Id="rId170" Type="http://schemas.openxmlformats.org/officeDocument/2006/relationships/hyperlink" Target="https://fbref.com/en/players/2c0f8e9e/Alexis-Sanchez" TargetMode="External"/><Relationship Id="rId268" Type="http://schemas.openxmlformats.org/officeDocument/2006/relationships/hyperlink" Target="https://fbref.com/en/squads/d2c87802/2021-2022/Lorient-Stats" TargetMode="External"/><Relationship Id="rId475" Type="http://schemas.openxmlformats.org/officeDocument/2006/relationships/hyperlink" Target="https://fbref.com/en/squads/b3072e00/2017-2018/Rennes-Stats" TargetMode="External"/><Relationship Id="rId32" Type="http://schemas.openxmlformats.org/officeDocument/2006/relationships/hyperlink" Target="https://fbref.com/en/players/10dd88f9/Gaetan-Perrin" TargetMode="External"/><Relationship Id="rId128" Type="http://schemas.openxmlformats.org/officeDocument/2006/relationships/hyperlink" Target="https://fbref.com/en/players/0d7b6576/Elye-Wahi" TargetMode="External"/><Relationship Id="rId335" Type="http://schemas.openxmlformats.org/officeDocument/2006/relationships/hyperlink" Target="https://fbref.com/en/players/6191093d/Ludovic-Blas" TargetMode="External"/><Relationship Id="rId542" Type="http://schemas.openxmlformats.org/officeDocument/2006/relationships/hyperlink" Target="https://fbref.com/en/players/5d59e0df/Emiliano-Sala" TargetMode="External"/><Relationship Id="rId181" Type="http://schemas.openxmlformats.org/officeDocument/2006/relationships/hyperlink" Target="https://fbref.com/en/squads/d53c0b06/2022-2023/Lyon-Stats" TargetMode="External"/><Relationship Id="rId402" Type="http://schemas.openxmlformats.org/officeDocument/2006/relationships/hyperlink" Target="https://fbref.com/en/players/bcf1b2e9/Baptiste-Reynet" TargetMode="External"/><Relationship Id="rId279" Type="http://schemas.openxmlformats.org/officeDocument/2006/relationships/hyperlink" Target="https://fbref.com/en/players/ae7d0ecd/Alexandre-Oukidja" TargetMode="External"/><Relationship Id="rId486" Type="http://schemas.openxmlformats.org/officeDocument/2006/relationships/hyperlink" Target="https://fbref.com/en/players/8a2248b4/Walter-Benitez" TargetMode="External"/><Relationship Id="rId43" Type="http://schemas.openxmlformats.org/officeDocument/2006/relationships/hyperlink" Target="https://fbref.com/en/squads/5c2737db/2024-2025/Le-Havre-Stats" TargetMode="External"/><Relationship Id="rId139" Type="http://schemas.openxmlformats.org/officeDocument/2006/relationships/hyperlink" Target="https://fbref.com/en/squads/3f8c4b5f/2023-2024/Toulouse-Stats" TargetMode="External"/><Relationship Id="rId346" Type="http://schemas.openxmlformats.org/officeDocument/2006/relationships/hyperlink" Target="https://fbref.com/en/squads/5725cc7b/2019-2020/Marseille-Stats" TargetMode="External"/><Relationship Id="rId553" Type="http://schemas.openxmlformats.org/officeDocument/2006/relationships/hyperlink" Target="https://fbref.com/en/squads/cb188c0c/2016-2017/Lille-Stats" TargetMode="External"/><Relationship Id="rId192" Type="http://schemas.openxmlformats.org/officeDocument/2006/relationships/hyperlink" Target="https://fbref.com/en/players/dc29b608/Yvon-Mvogo" TargetMode="External"/><Relationship Id="rId206" Type="http://schemas.openxmlformats.org/officeDocument/2006/relationships/hyperlink" Target="https://fbref.com/en/players/6605d143/Habib-Diallo" TargetMode="External"/><Relationship Id="rId413" Type="http://schemas.openxmlformats.org/officeDocument/2006/relationships/hyperlink" Target="https://fbref.com/en/players/2677a1de/Wahbi-Khazri" TargetMode="External"/><Relationship Id="rId497" Type="http://schemas.openxmlformats.org/officeDocument/2006/relationships/hyperlink" Target="https://fbref.com/en/players/f83c8d6c/Jimmy-Briand" TargetMode="External"/><Relationship Id="rId620" Type="http://schemas.openxmlformats.org/officeDocument/2006/relationships/hyperlink" Target="https://fbref.com/en/players/2973d8ff/Michy-Batshuayi" TargetMode="External"/><Relationship Id="rId357" Type="http://schemas.openxmlformats.org/officeDocument/2006/relationships/hyperlink" Target="https://fbref.com/en/players/8a2248b4/Walter-Benitez" TargetMode="External"/><Relationship Id="rId54" Type="http://schemas.openxmlformats.org/officeDocument/2006/relationships/hyperlink" Target="https://fbref.com/en/players/2fa2a875/Benjamin-Lecomte" TargetMode="External"/><Relationship Id="rId217" Type="http://schemas.openxmlformats.org/officeDocument/2006/relationships/hyperlink" Target="https://fbref.com/en/squads/54195385/2022-2023/Troyes-Stats" TargetMode="External"/><Relationship Id="rId564" Type="http://schemas.openxmlformats.org/officeDocument/2006/relationships/hyperlink" Target="https://fbref.com/en/players/a3d524cb/Thomas-Didillon" TargetMode="External"/><Relationship Id="rId424" Type="http://schemas.openxmlformats.org/officeDocument/2006/relationships/hyperlink" Target="https://fbref.com/en/squads/7fdd64e0/2018-2019/Reims-Stats" TargetMode="External"/><Relationship Id="rId631" Type="http://schemas.openxmlformats.org/officeDocument/2006/relationships/hyperlink" Target="https://fbref.com/en/squads/3f8c4b5f/2015-2016/Toulouse-Stats" TargetMode="External"/><Relationship Id="rId270" Type="http://schemas.openxmlformats.org/officeDocument/2006/relationships/hyperlink" Target="https://fbref.com/en/players/2d70dbe5/Paul-Nardi" TargetMode="External"/><Relationship Id="rId65" Type="http://schemas.openxmlformats.org/officeDocument/2006/relationships/hyperlink" Target="https://fbref.com/en/players/ce50fd99/Jonathan-David" TargetMode="External"/><Relationship Id="rId130" Type="http://schemas.openxmlformats.org/officeDocument/2006/relationships/hyperlink" Target="https://fbref.com/en/squads/5725cc7b/2023-2024/Marseille-Stats" TargetMode="External"/><Relationship Id="rId368" Type="http://schemas.openxmlformats.org/officeDocument/2006/relationships/hyperlink" Target="https://fbref.com/en/players/942b4f90/Wissam-Ben-Yedder" TargetMode="External"/><Relationship Id="rId575" Type="http://schemas.openxmlformats.org/officeDocument/2006/relationships/hyperlink" Target="https://fbref.com/en/players/e0312377/Benjamin-Moukandjo" TargetMode="External"/><Relationship Id="rId228" Type="http://schemas.openxmlformats.org/officeDocument/2006/relationships/hyperlink" Target="https://fbref.com/en/players/20b9f052/Pau-Lopez" TargetMode="External"/><Relationship Id="rId435" Type="http://schemas.openxmlformats.org/officeDocument/2006/relationships/hyperlink" Target="https://fbref.com/en/players/834b5c4c/Matz-Sels" TargetMode="External"/><Relationship Id="rId642" Type="http://schemas.openxmlformats.org/officeDocument/2006/relationships/hyperlink" Target="https://fbref.com/en/players/fbf83734/Matthieu-Dreyer" TargetMode="External"/><Relationship Id="rId281" Type="http://schemas.openxmlformats.org/officeDocument/2006/relationships/hyperlink" Target="https://fbref.com/en/players/a2d873dd/Hwang-Ui-jo" TargetMode="External"/><Relationship Id="rId502" Type="http://schemas.openxmlformats.org/officeDocument/2006/relationships/hyperlink" Target="https://fbref.com/en/squads/69236f98/2017-2018/Angers-Stats" TargetMode="External"/><Relationship Id="rId76" Type="http://schemas.openxmlformats.org/officeDocument/2006/relationships/hyperlink" Target="https://fbref.com/en/squads/5725cc7b/2023-2024/Marseille-Stats" TargetMode="External"/><Relationship Id="rId141" Type="http://schemas.openxmlformats.org/officeDocument/2006/relationships/hyperlink" Target="https://fbref.com/en/players/6b91b999/Guillaume-Restes" TargetMode="External"/><Relationship Id="rId379" Type="http://schemas.openxmlformats.org/officeDocument/2006/relationships/hyperlink" Target="https://fbref.com/en/squads/d7a486cd/2019-2020/Nantes-Stats" TargetMode="External"/><Relationship Id="rId586" Type="http://schemas.openxmlformats.org/officeDocument/2006/relationships/hyperlink" Target="https://fbref.com/en/squads/d53c0b06/2015-2016/Lyon-Stats" TargetMode="External"/><Relationship Id="rId7" Type="http://schemas.openxmlformats.org/officeDocument/2006/relationships/hyperlink" Target="https://fbref.com/en/squads/fd6114db/2024-2025/Monaco-Stats" TargetMode="External"/><Relationship Id="rId239" Type="http://schemas.openxmlformats.org/officeDocument/2006/relationships/hyperlink" Target="https://fbref.com/en/players/462475ed/Ludovic-Ajorque" TargetMode="External"/><Relationship Id="rId446" Type="http://schemas.openxmlformats.org/officeDocument/2006/relationships/hyperlink" Target="https://fbref.com/en/players/fcbcbd94/Moussa-Konate" TargetMode="External"/><Relationship Id="rId292" Type="http://schemas.openxmlformats.org/officeDocument/2006/relationships/hyperlink" Target="https://fbref.com/en/squads/d53c0b06/2020-2021/Lyon-Stats" TargetMode="External"/><Relationship Id="rId306" Type="http://schemas.openxmlformats.org/officeDocument/2006/relationships/hyperlink" Target="https://fbref.com/en/players/c631f952/Jonas-Omlin" TargetMode="External"/><Relationship Id="rId87" Type="http://schemas.openxmlformats.org/officeDocument/2006/relationships/hyperlink" Target="https://fbref.com/en/players/6b91b999/Guillaume-Restes" TargetMode="External"/><Relationship Id="rId513" Type="http://schemas.openxmlformats.org/officeDocument/2006/relationships/hyperlink" Target="https://fbref.com/en/players/fcb38f57/Mike-Maignan" TargetMode="External"/><Relationship Id="rId597" Type="http://schemas.openxmlformats.org/officeDocument/2006/relationships/hyperlink" Target="https://fbref.com/en/players/62156b6a/Vincent-Enyeama" TargetMode="External"/><Relationship Id="rId152" Type="http://schemas.openxmlformats.org/officeDocument/2006/relationships/hyperlink" Target="https://fbref.com/en/players/5dbefa9d/Andre-Ayew" TargetMode="External"/><Relationship Id="rId457" Type="http://schemas.openxmlformats.org/officeDocument/2006/relationships/hyperlink" Target="https://fbref.com/en/squads/74229020/2018-2019/Caen-Stats" TargetMode="External"/><Relationship Id="rId14" Type="http://schemas.openxmlformats.org/officeDocument/2006/relationships/hyperlink" Target="https://fbref.com/en/players/ce50fd99/Jonathan-David" TargetMode="External"/><Relationship Id="rId317" Type="http://schemas.openxmlformats.org/officeDocument/2006/relationships/hyperlink" Target="https://fbref.com/en/players/a2d873dd/Hwang-Ui-jo" TargetMode="External"/><Relationship Id="rId524" Type="http://schemas.openxmlformats.org/officeDocument/2006/relationships/hyperlink" Target="https://fbref.com/en/players/66116290/Radamel-Falcao" TargetMode="External"/><Relationship Id="rId98" Type="http://schemas.openxmlformats.org/officeDocument/2006/relationships/hyperlink" Target="https://fbref.com/en/players/5dbefa9d/Andre-Ayew" TargetMode="External"/><Relationship Id="rId163" Type="http://schemas.openxmlformats.org/officeDocument/2006/relationships/hyperlink" Target="https://fbref.com/en/squads/e2d8892c/2022-2023/Paris-Saint-Germain-Stats" TargetMode="External"/><Relationship Id="rId370" Type="http://schemas.openxmlformats.org/officeDocument/2006/relationships/hyperlink" Target="https://fbref.com/en/squads/c0d3eab4/2019-2020/Strasbourg-Stats" TargetMode="External"/><Relationship Id="rId230" Type="http://schemas.openxmlformats.org/officeDocument/2006/relationships/hyperlink" Target="https://fbref.com/en/players/942b4f90/Wissam-Ben-Yedder" TargetMode="External"/><Relationship Id="rId468" Type="http://schemas.openxmlformats.org/officeDocument/2006/relationships/hyperlink" Target="https://fbref.com/en/players/f6db3bd5/Danijel-Subasic" TargetMode="External"/><Relationship Id="rId25" Type="http://schemas.openxmlformats.org/officeDocument/2006/relationships/hyperlink" Target="https://fbref.com/en/squads/fb08dbb3/2024-2025/Brest-Stats" TargetMode="External"/><Relationship Id="rId328" Type="http://schemas.openxmlformats.org/officeDocument/2006/relationships/hyperlink" Target="https://fbref.com/en/squads/d2c87802/2020-2021/Lorient-Stats" TargetMode="External"/><Relationship Id="rId535" Type="http://schemas.openxmlformats.org/officeDocument/2006/relationships/hyperlink" Target="https://fbref.com/en/squads/5725cc7b/2016-2017/Marseille-Stats" TargetMode="External"/><Relationship Id="rId174" Type="http://schemas.openxmlformats.org/officeDocument/2006/relationships/hyperlink" Target="https://fbref.com/en/players/1d2d5cc8/Steve-Mandanda" TargetMode="External"/><Relationship Id="rId381" Type="http://schemas.openxmlformats.org/officeDocument/2006/relationships/hyperlink" Target="https://fbref.com/en/players/4e7db402/Alban-Lafont" TargetMode="External"/><Relationship Id="rId602" Type="http://schemas.openxmlformats.org/officeDocument/2006/relationships/hyperlink" Target="https://fbref.com/en/players/d33c706e/Andy-Delort" TargetMode="External"/><Relationship Id="rId241" Type="http://schemas.openxmlformats.org/officeDocument/2006/relationships/hyperlink" Target="https://fbref.com/en/squads/fd4e0f7d/2021-2022/Lens-Stats" TargetMode="External"/><Relationship Id="rId479" Type="http://schemas.openxmlformats.org/officeDocument/2006/relationships/hyperlink" Target="https://fbref.com/en/players/6853490f/Malcom" TargetMode="External"/><Relationship Id="rId36" Type="http://schemas.openxmlformats.org/officeDocument/2006/relationships/hyperlink" Target="https://fbref.com/en/players/60d90c55/Brice-Samba" TargetMode="External"/><Relationship Id="rId339" Type="http://schemas.openxmlformats.org/officeDocument/2006/relationships/hyperlink" Target="https://fbref.com/en/players/bcf1b2e9/Baptiste-Reynet" TargetMode="External"/><Relationship Id="rId546" Type="http://schemas.openxmlformats.org/officeDocument/2006/relationships/hyperlink" Target="https://fbref.com/en/players/cac76a72/Stephane-Ruffier" TargetMode="External"/><Relationship Id="rId101" Type="http://schemas.openxmlformats.org/officeDocument/2006/relationships/hyperlink" Target="https://fbref.com/en/players/4788cb6b/Georges-Mikautadze" TargetMode="External"/><Relationship Id="rId185" Type="http://schemas.openxmlformats.org/officeDocument/2006/relationships/hyperlink" Target="https://fbref.com/en/players/397ba086/Grejohn-Kyei" TargetMode="External"/><Relationship Id="rId406" Type="http://schemas.openxmlformats.org/officeDocument/2006/relationships/hyperlink" Target="https://fbref.com/en/squads/cb188c0c/2018-2019/Lille-Stats" TargetMode="External"/><Relationship Id="rId392" Type="http://schemas.openxmlformats.org/officeDocument/2006/relationships/hyperlink" Target="https://fbref.com/en/players/0b0cbe5b/Denis-Bouanga" TargetMode="External"/><Relationship Id="rId613" Type="http://schemas.openxmlformats.org/officeDocument/2006/relationships/hyperlink" Target="https://fbref.com/en/squads/123f3efe/2015-2016/Bordeaux-Stats" TargetMode="External"/><Relationship Id="rId252" Type="http://schemas.openxmlformats.org/officeDocument/2006/relationships/hyperlink" Target="https://fbref.com/en/players/3f034750/Ivo-Grbic" TargetMode="External"/><Relationship Id="rId47" Type="http://schemas.openxmlformats.org/officeDocument/2006/relationships/hyperlink" Target="https://fbref.com/en/players/d97af612/Keito-Nakamura" TargetMode="External"/><Relationship Id="rId89" Type="http://schemas.openxmlformats.org/officeDocument/2006/relationships/hyperlink" Target="https://fbref.com/en/players/6bde367b/Teji-Savanier" TargetMode="External"/><Relationship Id="rId112" Type="http://schemas.openxmlformats.org/officeDocument/2006/relationships/hyperlink" Target="https://fbref.com/en/squads/fd6114db/2023-2024/Monaco-Stats" TargetMode="External"/><Relationship Id="rId154" Type="http://schemas.openxmlformats.org/officeDocument/2006/relationships/hyperlink" Target="https://fbref.com/en/squads/f83960ae/2023-2024/Metz-Stats" TargetMode="External"/><Relationship Id="rId361" Type="http://schemas.openxmlformats.org/officeDocument/2006/relationships/hyperlink" Target="https://fbref.com/en/squads/d53c0b06/2019-2020/Lyon-Stats" TargetMode="External"/><Relationship Id="rId557" Type="http://schemas.openxmlformats.org/officeDocument/2006/relationships/hyperlink" Target="https://fbref.com/en/players/e447352c/Famara-Diedhiou" TargetMode="External"/><Relationship Id="rId599" Type="http://schemas.openxmlformats.org/officeDocument/2006/relationships/hyperlink" Target="https://fbref.com/en/players/3071a619/Nolan-Roux" TargetMode="External"/><Relationship Id="rId196" Type="http://schemas.openxmlformats.org/officeDocument/2006/relationships/hyperlink" Target="https://fbref.com/en/squads/281b0e73/2022-2023/Montpellier-Stats" TargetMode="External"/><Relationship Id="rId417" Type="http://schemas.openxmlformats.org/officeDocument/2006/relationships/hyperlink" Target="https://fbref.com/en/players/1d2d5cc8/Steve-Mandanda" TargetMode="External"/><Relationship Id="rId459" Type="http://schemas.openxmlformats.org/officeDocument/2006/relationships/hyperlink" Target="https://fbref.com/en/players/60d90c55/Brice-Samba" TargetMode="External"/><Relationship Id="rId624" Type="http://schemas.openxmlformats.org/officeDocument/2006/relationships/hyperlink" Target="https://fbref.com/en/players/7f41ee30/Remy-Riou" TargetMode="External"/><Relationship Id="rId16" Type="http://schemas.openxmlformats.org/officeDocument/2006/relationships/hyperlink" Target="https://fbref.com/en/squads/d53c0b06/2024-2025/Lyon-Stats" TargetMode="External"/><Relationship Id="rId221" Type="http://schemas.openxmlformats.org/officeDocument/2006/relationships/hyperlink" Target="https://fbref.com/en/players/fdbde523/Abdallah-Sima" TargetMode="External"/><Relationship Id="rId263" Type="http://schemas.openxmlformats.org/officeDocument/2006/relationships/hyperlink" Target="https://fbref.com/en/players/b0c71810/Sofiane-Boufal" TargetMode="External"/><Relationship Id="rId319" Type="http://schemas.openxmlformats.org/officeDocument/2006/relationships/hyperlink" Target="https://fbref.com/en/squads/69236f98/2020-2021/Angers-Stats" TargetMode="External"/><Relationship Id="rId470" Type="http://schemas.openxmlformats.org/officeDocument/2006/relationships/hyperlink" Target="https://fbref.com/en/players/8f696594/Memphis" TargetMode="External"/><Relationship Id="rId526" Type="http://schemas.openxmlformats.org/officeDocument/2006/relationships/hyperlink" Target="https://fbref.com/en/squads/e2d8892c/2016-2017/Paris-Saint-Germain-Stats" TargetMode="External"/><Relationship Id="rId58" Type="http://schemas.openxmlformats.org/officeDocument/2006/relationships/hyperlink" Target="https://fbref.com/en/squads/fd6114db/2023-2024/Monaco-Stats" TargetMode="External"/><Relationship Id="rId123" Type="http://schemas.openxmlformats.org/officeDocument/2006/relationships/hyperlink" Target="https://fbref.com/en/players/db87a2c4/Marcin-Bulka" TargetMode="External"/><Relationship Id="rId330" Type="http://schemas.openxmlformats.org/officeDocument/2006/relationships/hyperlink" Target="https://fbref.com/en/players/2d70dbe5/Paul-Nardi" TargetMode="External"/><Relationship Id="rId568" Type="http://schemas.openxmlformats.org/officeDocument/2006/relationships/hyperlink" Target="https://fbref.com/en/squads/8dfb7350/2016-2017/Dijon-Stats" TargetMode="External"/><Relationship Id="rId165" Type="http://schemas.openxmlformats.org/officeDocument/2006/relationships/hyperlink" Target="https://fbref.com/en/players/08f5afaa/Gianluigi-Donnarumma" TargetMode="External"/><Relationship Id="rId372" Type="http://schemas.openxmlformats.org/officeDocument/2006/relationships/hyperlink" Target="https://fbref.com/en/players/834b5c4c/Matz-Sels" TargetMode="External"/><Relationship Id="rId428" Type="http://schemas.openxmlformats.org/officeDocument/2006/relationships/hyperlink" Target="https://fbref.com/en/players/0b0cbe5b/Denis-Bouanga" TargetMode="External"/><Relationship Id="rId635" Type="http://schemas.openxmlformats.org/officeDocument/2006/relationships/hyperlink" Target="https://fbref.com/en/players/b0547a87/Nicolas-de-Preville" TargetMode="External"/><Relationship Id="rId232" Type="http://schemas.openxmlformats.org/officeDocument/2006/relationships/hyperlink" Target="https://fbref.com/en/squads/b3072e00/2021-2022/Rennes-Stats" TargetMode="External"/><Relationship Id="rId274" Type="http://schemas.openxmlformats.org/officeDocument/2006/relationships/hyperlink" Target="https://fbref.com/en/squads/d298ef2c/2021-2022/Saint-Etienne-Stats" TargetMode="External"/><Relationship Id="rId481" Type="http://schemas.openxmlformats.org/officeDocument/2006/relationships/hyperlink" Target="https://fbref.com/en/squads/d298ef2c/2017-2018/Saint-Etienne-Stats" TargetMode="External"/><Relationship Id="rId27" Type="http://schemas.openxmlformats.org/officeDocument/2006/relationships/hyperlink" Target="https://fbref.com/en/players/3d214e5f/Marco-Bizot" TargetMode="External"/><Relationship Id="rId69" Type="http://schemas.openxmlformats.org/officeDocument/2006/relationships/hyperlink" Target="https://fbref.com/en/players/db87a2c4/Marcin-Bulka" TargetMode="External"/><Relationship Id="rId134" Type="http://schemas.openxmlformats.org/officeDocument/2006/relationships/hyperlink" Target="https://fbref.com/en/players/5c26ca51/Teddy-Teuma" TargetMode="External"/><Relationship Id="rId537" Type="http://schemas.openxmlformats.org/officeDocument/2006/relationships/hyperlink" Target="https://fbref.com/en/players/76806215/Yohann-Pele" TargetMode="External"/><Relationship Id="rId579" Type="http://schemas.openxmlformats.org/officeDocument/2006/relationships/hyperlink" Target="https://fbref.com/en/players/b41e280e/Guy-Ndy-Assembe" TargetMode="External"/><Relationship Id="rId80" Type="http://schemas.openxmlformats.org/officeDocument/2006/relationships/hyperlink" Target="https://fbref.com/en/players/5c26ca51/Teddy-Teuma" TargetMode="External"/><Relationship Id="rId176" Type="http://schemas.openxmlformats.org/officeDocument/2006/relationships/hyperlink" Target="https://fbref.com/en/players/ce50fd99/Jonathan-David" TargetMode="External"/><Relationship Id="rId341" Type="http://schemas.openxmlformats.org/officeDocument/2006/relationships/hyperlink" Target="https://fbref.com/en/players/fb14aa28/Mama-Samba-Balde" TargetMode="External"/><Relationship Id="rId383" Type="http://schemas.openxmlformats.org/officeDocument/2006/relationships/hyperlink" Target="https://fbref.com/en/players/5e080f73/Irvin-Cardona" TargetMode="External"/><Relationship Id="rId439" Type="http://schemas.openxmlformats.org/officeDocument/2006/relationships/hyperlink" Target="https://fbref.com/en/squads/69236f98/2018-2019/Angers-Stats" TargetMode="External"/><Relationship Id="rId590" Type="http://schemas.openxmlformats.org/officeDocument/2006/relationships/hyperlink" Target="https://fbref.com/en/players/3eb22ec9/Bernardo-Silva" TargetMode="External"/><Relationship Id="rId604" Type="http://schemas.openxmlformats.org/officeDocument/2006/relationships/hyperlink" Target="https://fbref.com/en/squads/b3072e00/2015-2016/Rennes-Stats" TargetMode="External"/><Relationship Id="rId201" Type="http://schemas.openxmlformats.org/officeDocument/2006/relationships/hyperlink" Target="https://fbref.com/en/players/0e12089d/Maxime-Dupe" TargetMode="External"/><Relationship Id="rId243" Type="http://schemas.openxmlformats.org/officeDocument/2006/relationships/hyperlink" Target="https://fbref.com/en/players/edbe46dc/Jean-Louis-Leca" TargetMode="External"/><Relationship Id="rId285" Type="http://schemas.openxmlformats.org/officeDocument/2006/relationships/hyperlink" Target="https://fbref.com/en/players/fcb38f57/Mike-Maignan" TargetMode="External"/><Relationship Id="rId450" Type="http://schemas.openxmlformats.org/officeDocument/2006/relationships/hyperlink" Target="https://fbref.com/en/players/bcf1b2e9/Baptiste-Reynet" TargetMode="External"/><Relationship Id="rId506" Type="http://schemas.openxmlformats.org/officeDocument/2006/relationships/hyperlink" Target="https://fbref.com/en/players/5046b7d4/Stephane-Bahoken" TargetMode="External"/><Relationship Id="rId38" Type="http://schemas.openxmlformats.org/officeDocument/2006/relationships/hyperlink" Target="https://fbref.com/en/players/0e46fa2f/Matthis-Abline" TargetMode="External"/><Relationship Id="rId103" Type="http://schemas.openxmlformats.org/officeDocument/2006/relationships/hyperlink" Target="https://fbref.com/en/squads/d2c87802/2023-2024/Lorient-Stats" TargetMode="External"/><Relationship Id="rId310" Type="http://schemas.openxmlformats.org/officeDocument/2006/relationships/hyperlink" Target="https://fbref.com/en/squads/f83960ae/2020-2021/Metz-Stats" TargetMode="External"/><Relationship Id="rId492" Type="http://schemas.openxmlformats.org/officeDocument/2006/relationships/hyperlink" Target="https://fbref.com/en/players/2fa2a875/Benjamin-Lecomte" TargetMode="External"/><Relationship Id="rId548" Type="http://schemas.openxmlformats.org/officeDocument/2006/relationships/hyperlink" Target="https://fbref.com/en/players/0fe7f7bc/Giovanni-Sio" TargetMode="External"/><Relationship Id="rId91" Type="http://schemas.openxmlformats.org/officeDocument/2006/relationships/hyperlink" Target="https://fbref.com/en/squads/c0d3eab4/2023-2024/Strasbourg-Stats" TargetMode="External"/><Relationship Id="rId145" Type="http://schemas.openxmlformats.org/officeDocument/2006/relationships/hyperlink" Target="https://fbref.com/en/squads/c0d3eab4/2023-2024/Strasbourg-Stats" TargetMode="External"/><Relationship Id="rId187" Type="http://schemas.openxmlformats.org/officeDocument/2006/relationships/hyperlink" Target="https://fbref.com/en/squads/132ebc33/2022-2023/Nice-Stats" TargetMode="External"/><Relationship Id="rId352" Type="http://schemas.openxmlformats.org/officeDocument/2006/relationships/hyperlink" Target="https://fbref.com/en/squads/cb188c0c/2019-2020/Lille-Stats" TargetMode="External"/><Relationship Id="rId394" Type="http://schemas.openxmlformats.org/officeDocument/2006/relationships/hyperlink" Target="https://fbref.com/en/squads/1cbf5f9e/Nimes-Stats" TargetMode="External"/><Relationship Id="rId408" Type="http://schemas.openxmlformats.org/officeDocument/2006/relationships/hyperlink" Target="https://fbref.com/en/players/fcb38f57/Mike-Maignan" TargetMode="External"/><Relationship Id="rId615" Type="http://schemas.openxmlformats.org/officeDocument/2006/relationships/hyperlink" Target="https://fbref.com/en/players/17f5a888/Cedric-Carrasso" TargetMode="External"/><Relationship Id="rId212" Type="http://schemas.openxmlformats.org/officeDocument/2006/relationships/hyperlink" Target="https://fbref.com/en/players/2054d037/MBaye-Niang" TargetMode="External"/><Relationship Id="rId254" Type="http://schemas.openxmlformats.org/officeDocument/2006/relationships/hyperlink" Target="https://fbref.com/en/players/db7849ca/Franck-Honorat" TargetMode="External"/><Relationship Id="rId49" Type="http://schemas.openxmlformats.org/officeDocument/2006/relationships/hyperlink" Target="https://fbref.com/en/squads/d298ef2c/2024-2025/Saint-Etienne-Stats" TargetMode="External"/><Relationship Id="rId114" Type="http://schemas.openxmlformats.org/officeDocument/2006/relationships/hyperlink" Target="https://fbref.com/en/players/ff74841d/Philipp-Kohn" TargetMode="External"/><Relationship Id="rId296" Type="http://schemas.openxmlformats.org/officeDocument/2006/relationships/hyperlink" Target="https://fbref.com/en/players/85613cf0/Arkadiusz-Milik" TargetMode="External"/><Relationship Id="rId461" Type="http://schemas.openxmlformats.org/officeDocument/2006/relationships/hyperlink" Target="https://fbref.com/en/players/6f8cd6d0/Marcus-Thuram" TargetMode="External"/><Relationship Id="rId517" Type="http://schemas.openxmlformats.org/officeDocument/2006/relationships/hyperlink" Target="https://fbref.com/en/squads/54195385/2017-2018/Troyes-Stats" TargetMode="External"/><Relationship Id="rId559" Type="http://schemas.openxmlformats.org/officeDocument/2006/relationships/hyperlink" Target="https://fbref.com/en/squads/3f8c4b5f/2016-2017/Toulouse-Stats" TargetMode="External"/><Relationship Id="rId60" Type="http://schemas.openxmlformats.org/officeDocument/2006/relationships/hyperlink" Target="https://fbref.com/en/players/ff74841d/Philipp-Kohn" TargetMode="External"/><Relationship Id="rId156" Type="http://schemas.openxmlformats.org/officeDocument/2006/relationships/hyperlink" Target="https://fbref.com/en/players/ae7d0ecd/Alexandre-Oukidja" TargetMode="External"/><Relationship Id="rId198" Type="http://schemas.openxmlformats.org/officeDocument/2006/relationships/hyperlink" Target="https://fbref.com/en/players/2fa2a875/Benjamin-Lecomte" TargetMode="External"/><Relationship Id="rId321" Type="http://schemas.openxmlformats.org/officeDocument/2006/relationships/hyperlink" Target="https://fbref.com/en/players/28dabd43/Paul-Bernardoni" TargetMode="External"/><Relationship Id="rId363" Type="http://schemas.openxmlformats.org/officeDocument/2006/relationships/hyperlink" Target="https://fbref.com/en/players/f00de885/Anthony-Lopes" TargetMode="External"/><Relationship Id="rId419" Type="http://schemas.openxmlformats.org/officeDocument/2006/relationships/hyperlink" Target="https://fbref.com/en/players/d33c706e/Andy-Delort" TargetMode="External"/><Relationship Id="rId570" Type="http://schemas.openxmlformats.org/officeDocument/2006/relationships/hyperlink" Target="https://fbref.com/en/players/bcf1b2e9/Baptiste-Reynet" TargetMode="External"/><Relationship Id="rId626" Type="http://schemas.openxmlformats.org/officeDocument/2006/relationships/hyperlink" Target="https://fbref.com/en/players/e0312377/Benjamin-Moukandjo" TargetMode="External"/><Relationship Id="rId223" Type="http://schemas.openxmlformats.org/officeDocument/2006/relationships/hyperlink" Target="https://fbref.com/en/squads/e2d8892c/2021-2022/Paris-Saint-Germain-Stats" TargetMode="External"/><Relationship Id="rId430" Type="http://schemas.openxmlformats.org/officeDocument/2006/relationships/hyperlink" Target="https://fbref.com/en/squads/b3072e00/2018-2019/Rennes-Stats" TargetMode="External"/><Relationship Id="rId18" Type="http://schemas.openxmlformats.org/officeDocument/2006/relationships/hyperlink" Target="https://fbref.com/en/players/5dbd461a/Lucas-Perri" TargetMode="External"/><Relationship Id="rId265" Type="http://schemas.openxmlformats.org/officeDocument/2006/relationships/hyperlink" Target="https://fbref.com/en/squads/54195385/2021-2022/Troyes-Stats" TargetMode="External"/><Relationship Id="rId472" Type="http://schemas.openxmlformats.org/officeDocument/2006/relationships/hyperlink" Target="https://fbref.com/en/squads/5725cc7b/2017-2018/Marseille-Stats" TargetMode="External"/><Relationship Id="rId528" Type="http://schemas.openxmlformats.org/officeDocument/2006/relationships/hyperlink" Target="https://fbref.com/en/players/ce17b5eb/Kevin-Trapp" TargetMode="External"/><Relationship Id="rId125" Type="http://schemas.openxmlformats.org/officeDocument/2006/relationships/hyperlink" Target="https://fbref.com/en/players/9dbb75ca/Alexandre-Lacazette" TargetMode="External"/><Relationship Id="rId167" Type="http://schemas.openxmlformats.org/officeDocument/2006/relationships/hyperlink" Target="https://fbref.com/en/players/8652a85c/Lois-Openda" TargetMode="External"/><Relationship Id="rId332" Type="http://schemas.openxmlformats.org/officeDocument/2006/relationships/hyperlink" Target="https://fbref.com/en/players/19ba6c6d/Steve-Mounie" TargetMode="External"/><Relationship Id="rId374" Type="http://schemas.openxmlformats.org/officeDocument/2006/relationships/hyperlink" Target="https://fbref.com/en/players/bdedd861/Rachid-Alioui" TargetMode="External"/><Relationship Id="rId581" Type="http://schemas.openxmlformats.org/officeDocument/2006/relationships/hyperlink" Target="https://fbref.com/en/players/06f33dc8/Enzo-Crivelli" TargetMode="External"/><Relationship Id="rId71" Type="http://schemas.openxmlformats.org/officeDocument/2006/relationships/hyperlink" Target="https://fbref.com/en/players/9dbb75ca/Alexandre-Lacazette" TargetMode="External"/><Relationship Id="rId234" Type="http://schemas.openxmlformats.org/officeDocument/2006/relationships/hyperlink" Target="https://fbref.com/en/players/cecbce23/Alfred-Gomis" TargetMode="External"/><Relationship Id="rId637" Type="http://schemas.openxmlformats.org/officeDocument/2006/relationships/hyperlink" Target="https://fbref.com/en/squads/73905dde/2015-2016/Gazelec-Ajaccio-Stats" TargetMode="External"/><Relationship Id="rId2" Type="http://schemas.openxmlformats.org/officeDocument/2006/relationships/hyperlink" Target="https://fbref.com/en/players/b19db005/Ousmane-Dembele" TargetMode="External"/><Relationship Id="rId29" Type="http://schemas.openxmlformats.org/officeDocument/2006/relationships/hyperlink" Target="https://fbref.com/en/players/c2a6033c/Zakaria-Aboukhlal" TargetMode="External"/><Relationship Id="rId276" Type="http://schemas.openxmlformats.org/officeDocument/2006/relationships/hyperlink" Target="https://fbref.com/en/players/28dabd43/Paul-Bernardoni" TargetMode="External"/><Relationship Id="rId441" Type="http://schemas.openxmlformats.org/officeDocument/2006/relationships/hyperlink" Target="https://fbref.com/en/players/26975a92/Ludovic-Butelle" TargetMode="External"/><Relationship Id="rId483" Type="http://schemas.openxmlformats.org/officeDocument/2006/relationships/hyperlink" Target="https://fbref.com/en/players/cac76a72/Stephane-Ruffier" TargetMode="External"/><Relationship Id="rId539" Type="http://schemas.openxmlformats.org/officeDocument/2006/relationships/hyperlink" Target="https://fbref.com/en/players/d1491e00/Diego-Rolan" TargetMode="External"/><Relationship Id="rId40" Type="http://schemas.openxmlformats.org/officeDocument/2006/relationships/hyperlink" Target="https://fbref.com/en/squads/69236f98/2024-2025/Angers-Stats" TargetMode="External"/><Relationship Id="rId136" Type="http://schemas.openxmlformats.org/officeDocument/2006/relationships/hyperlink" Target="https://fbref.com/en/squads/b3072e00/2023-2024/Rennes-Stats" TargetMode="External"/><Relationship Id="rId178" Type="http://schemas.openxmlformats.org/officeDocument/2006/relationships/hyperlink" Target="https://fbref.com/en/squads/fd6114db/2022-2023/Monaco-Stats" TargetMode="External"/><Relationship Id="rId301" Type="http://schemas.openxmlformats.org/officeDocument/2006/relationships/hyperlink" Target="https://fbref.com/en/squads/fd4e0f7d/2020-2021/Lens-Stats" TargetMode="External"/><Relationship Id="rId343" Type="http://schemas.openxmlformats.org/officeDocument/2006/relationships/hyperlink" Target="https://fbref.com/en/squads/e2d8892c/2019-2020/Paris-Saint-Germain-Stats" TargetMode="External"/><Relationship Id="rId550" Type="http://schemas.openxmlformats.org/officeDocument/2006/relationships/hyperlink" Target="https://fbref.com/en/squads/d41b5f53/2016-2017/Guingamp-Stats" TargetMode="External"/><Relationship Id="rId82" Type="http://schemas.openxmlformats.org/officeDocument/2006/relationships/hyperlink" Target="https://fbref.com/en/squads/b3072e00/2023-2024/Rennes-Stats" TargetMode="External"/><Relationship Id="rId203" Type="http://schemas.openxmlformats.org/officeDocument/2006/relationships/hyperlink" Target="https://fbref.com/en/players/88c4d190/Jeremy-Le-Douaron" TargetMode="External"/><Relationship Id="rId385" Type="http://schemas.openxmlformats.org/officeDocument/2006/relationships/hyperlink" Target="https://fbref.com/en/squads/f83960ae/2019-2020/Metz-Stats" TargetMode="External"/><Relationship Id="rId592" Type="http://schemas.openxmlformats.org/officeDocument/2006/relationships/hyperlink" Target="https://fbref.com/en/squads/132ebc33/2015-2016/Nice-Stats" TargetMode="External"/><Relationship Id="rId606" Type="http://schemas.openxmlformats.org/officeDocument/2006/relationships/hyperlink" Target="https://fbref.com/en/players/2434f24a/Benoit-Costil" TargetMode="External"/><Relationship Id="rId245" Type="http://schemas.openxmlformats.org/officeDocument/2006/relationships/hyperlink" Target="https://fbref.com/en/players/e7986081/Moussa-Dembele" TargetMode="External"/><Relationship Id="rId287" Type="http://schemas.openxmlformats.org/officeDocument/2006/relationships/hyperlink" Target="https://fbref.com/en/players/42fd9c7f/Kylian-Mbappe" TargetMode="External"/><Relationship Id="rId410" Type="http://schemas.openxmlformats.org/officeDocument/2006/relationships/hyperlink" Target="https://fbref.com/en/players/e7986081/Moussa-Dembele" TargetMode="External"/><Relationship Id="rId452" Type="http://schemas.openxmlformats.org/officeDocument/2006/relationships/hyperlink" Target="https://fbref.com/en/players/66116290/Radamel-Falcao" TargetMode="External"/><Relationship Id="rId494" Type="http://schemas.openxmlformats.org/officeDocument/2006/relationships/hyperlink" Target="https://fbref.com/en/players/d520120b/Julio-Tavares" TargetMode="External"/><Relationship Id="rId508" Type="http://schemas.openxmlformats.org/officeDocument/2006/relationships/hyperlink" Target="https://fbref.com/en/squads/74229020/2017-2018/Caen-Stats" TargetMode="External"/><Relationship Id="rId105" Type="http://schemas.openxmlformats.org/officeDocument/2006/relationships/hyperlink" Target="https://fbref.com/en/players/dc29b608/Yvon-Mvogo" TargetMode="External"/><Relationship Id="rId147" Type="http://schemas.openxmlformats.org/officeDocument/2006/relationships/hyperlink" Target="https://fbref.com/en/players/834b5c4c/Matz-Sels" TargetMode="External"/><Relationship Id="rId312" Type="http://schemas.openxmlformats.org/officeDocument/2006/relationships/hyperlink" Target="https://fbref.com/en/players/ae7d0ecd/Alexandre-Oukidja" TargetMode="External"/><Relationship Id="rId354" Type="http://schemas.openxmlformats.org/officeDocument/2006/relationships/hyperlink" Target="https://fbref.com/en/players/fcb38f57/Mike-Maignan" TargetMode="External"/><Relationship Id="rId51" Type="http://schemas.openxmlformats.org/officeDocument/2006/relationships/hyperlink" Target="https://fbref.com/en/players/b49729cb/Gautier-Larsonneur" TargetMode="External"/><Relationship Id="rId93" Type="http:/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fbref.com/en/players/53af52f3/Kasper-Schmeichel" TargetMode="External"/><Relationship Id="rId396" Type="http://schemas.openxmlformats.org/officeDocument/2006/relationships/hyperlink" Target="https://fbref.com/en/players/28dabd43/Paul-Bernardoni" TargetMode="External"/><Relationship Id="rId561" Type="http://schemas.openxmlformats.org/officeDocument/2006/relationships/hyperlink" Target="https://fbref.com/en/players/4e7db402/Alban-Lafont" TargetMode="External"/><Relationship Id="rId617" Type="http://schemas.openxmlformats.org/officeDocument/2006/relationships/hyperlink" Target="https://fbref.com/en/players/c58270f8/Souleymane-Camara" TargetMode="External"/><Relationship Id="rId214" Type="http://schemas.openxmlformats.org/officeDocument/2006/relationships/hyperlink" Target="https://fbref.com/en/squads/7a54bb4f/2022-2023/Ajaccio-Stats" TargetMode="External"/><Relationship Id="rId256" Type="http://schemas.openxmlformats.org/officeDocument/2006/relationships/hyperlink" Target="https://fbref.com/en/squads/7fdd64e0/2021-2022/Reims-Stats" TargetMode="External"/><Relationship Id="rId298" Type="http://schemas.openxmlformats.org/officeDocument/2006/relationships/hyperlink" Target="https://fbref.com/en/squads/b3072e00/2020-2021/Rennes-Stats" TargetMode="External"/><Relationship Id="rId421" Type="http://schemas.openxmlformats.org/officeDocument/2006/relationships/hyperlink" Target="https://fbref.com/en/squads/132ebc33/2018-2019/Nice-Stats" TargetMode="External"/><Relationship Id="rId463" Type="http://schemas.openxmlformats.org/officeDocument/2006/relationships/hyperlink" Target="https://fbref.com/en/squads/e2d8892c/2017-2018/Paris-Saint-Germain-Stats" TargetMode="External"/><Relationship Id="rId519" Type="http://schemas.openxmlformats.org/officeDocument/2006/relationships/hyperlink" Target="https://fbref.com/en/players/cfe852d8/Mamadou-Samassa" TargetMode="External"/><Relationship Id="rId116" Type="http://schemas.openxmlformats.org/officeDocument/2006/relationships/hyperlink" Target="https://fbref.com/en/players/0be95d34/Romain-Del-Castillo" TargetMode="External"/><Relationship Id="rId158" Type="http://schemas.openxmlformats.org/officeDocument/2006/relationships/hyperlink" Target="https://fbref.com/en/players/d469252b/Mohamed-Bamba" TargetMode="External"/><Relationship Id="rId323" Type="http://schemas.openxmlformats.org/officeDocument/2006/relationships/hyperlink" Target="https://fbref.com/en/players/244bc2c8/Boulaye-Dia" TargetMode="External"/><Relationship Id="rId530" Type="http://schemas.openxmlformats.org/officeDocument/2006/relationships/hyperlink" Target="https://fbref.com/en/players/8ff07990/Mario-Balotelli" TargetMode="External"/><Relationship Id="rId20" Type="http://schemas.openxmlformats.org/officeDocument/2006/relationships/hyperlink" Target="https://fbref.com/en/players/a0c590b9/Emanuel-Emegha" TargetMode="External"/><Relationship Id="rId62" Type="http://schemas.openxmlformats.org/officeDocument/2006/relationships/hyperlink" Target="https://fbref.com/en/players/0be95d34/Romain-Del-Castillo" TargetMode="External"/><Relationship Id="rId365" Type="http://schemas.openxmlformats.org/officeDocument/2006/relationships/hyperlink" Target="https://fbref.com/en/players/d33c706e/Andy-Delort" TargetMode="External"/><Relationship Id="rId572" Type="http://schemas.openxmlformats.org/officeDocument/2006/relationships/hyperlink" Target="https://fbref.com/en/players/086d7db3/Ivan-Santini" TargetMode="External"/><Relationship Id="rId628" Type="http://schemas.openxmlformats.org/officeDocument/2006/relationships/hyperlink" Target="https://fbref.com/en/squads/d41b5f53/2015-2016/Guingamp-Stats" TargetMode="External"/><Relationship Id="rId225" Type="http://schemas.openxmlformats.org/officeDocument/2006/relationships/hyperlink" Target="https://fbref.com/en/players/ecada4fc/Keylor-Navas" TargetMode="External"/><Relationship Id="rId267" Type="http://schemas.openxmlformats.org/officeDocument/2006/relationships/hyperlink" Target="https://fbref.com/en/players/db3164e1/Gauthier-Gallon" TargetMode="External"/><Relationship Id="rId432" Type="http://schemas.openxmlformats.org/officeDocument/2006/relationships/hyperlink" Target="https://fbref.com/en/players/dc366c36/Tomas-Koubek" TargetMode="External"/><Relationship Id="rId474" Type="http://schemas.openxmlformats.org/officeDocument/2006/relationships/hyperlink" Target="https://fbref.com/en/players/1d2d5cc8/Steve-Mandanda" TargetMode="External"/><Relationship Id="rId127" Type="http://schemas.openxmlformats.org/officeDocument/2006/relationships/hyperlink" Target="https://fbref.com/en/squads/fd4e0f7d/2023-2024/Lens-Stats" TargetMode="External"/><Relationship Id="rId31" Type="http://schemas.openxmlformats.org/officeDocument/2006/relationships/hyperlink" Target="https://fbref.com/en/squads/5ae09109/2024-2025/Auxerre-Stats" TargetMode="External"/><Relationship Id="rId73" Type="http://schemas.openxmlformats.org/officeDocument/2006/relationships/hyperlink" Target="https://fbref.com/en/squads/fd4e0f7d/2023-2024/Lens-Stats" TargetMode="External"/><Relationship Id="rId169" Type="http://schemas.openxmlformats.org/officeDocument/2006/relationships/hyperlink" Target="https://fbref.com/en/squads/5725cc7b/2022-2023/Marseille-Stats" TargetMode="External"/><Relationship Id="rId334" Type="http://schemas.openxmlformats.org/officeDocument/2006/relationships/hyperlink" Target="https://fbref.com/en/squads/d7a486cd/2020-2021/Nantes-Stats" TargetMode="External"/><Relationship Id="rId376" Type="http://schemas.openxmlformats.org/officeDocument/2006/relationships/hyperlink" Target="https://fbref.com/en/squads/123f3efe/2019-2020/Bordeaux-Stats" TargetMode="External"/><Relationship Id="rId541" Type="http://schemas.openxmlformats.org/officeDocument/2006/relationships/hyperlink" Target="https://fbref.com/en/squads/d7a486cd/2016-2017/Nantes-Stats" TargetMode="External"/><Relationship Id="rId583" Type="http://schemas.openxmlformats.org/officeDocument/2006/relationships/hyperlink" Target="https://fbref.com/en/squads/e2d8892c/2015-2016/Paris-Saint-Germain-Stats" TargetMode="External"/><Relationship Id="rId639" Type="http://schemas.openxmlformats.org/officeDocument/2006/relationships/hyperlink" Target="https://fbref.com/en/players/7dd60434/Clement-Maury" TargetMode="External"/><Relationship Id="rId4" Type="http://schemas.openxmlformats.org/officeDocument/2006/relationships/hyperlink" Target="https://fbref.com/en/squads/5725cc7b/2024-2025/Marseille-Stats" TargetMode="External"/><Relationship Id="rId180" Type="http://schemas.openxmlformats.org/officeDocument/2006/relationships/hyperlink" Target="https://fbref.com/en/players/afb0c500/Alexander-Nubel" TargetMode="External"/><Relationship Id="rId236" Type="http://schemas.openxmlformats.org/officeDocument/2006/relationships/hyperlink" Target="https://fbref.com/en/players/d33c706e/Andy-Delort" TargetMode="External"/><Relationship Id="rId278" Type="http://schemas.openxmlformats.org/officeDocument/2006/relationships/hyperlink" Target="https://fbref.com/en/players/b0547a87/Nicolas-de-Preville" TargetMode="External"/><Relationship Id="rId401" Type="http://schemas.openxmlformats.org/officeDocument/2006/relationships/hyperlink" Target="https://fbref.com/en/players/21f8d950/Efthimis-Koulouris" TargetMode="External"/><Relationship Id="rId443" Type="http://schemas.openxmlformats.org/officeDocument/2006/relationships/hyperlink" Target="https://fbref.com/en/players/81d3318f/Francois-Kamano" TargetMode="External"/><Relationship Id="rId303" Type="http://schemas.openxmlformats.org/officeDocument/2006/relationships/hyperlink" Target="https://fbref.com/en/players/edbe46dc/Jean-Louis-Leca" TargetMode="External"/><Relationship Id="rId485" Type="http://schemas.openxmlformats.org/officeDocument/2006/relationships/hyperlink" Target="https://fbref.com/en/players/8ff07990/Mario-Balotelli" TargetMode="External"/><Relationship Id="rId42" Type="http://schemas.openxmlformats.org/officeDocument/2006/relationships/hyperlink" Target="https://fbref.com/en/players/9d420dad/Yahia-Fofana" TargetMode="External"/><Relationship Id="rId84" Type="http://schemas.openxmlformats.org/officeDocument/2006/relationships/hyperlink" Target="https://fbref.com/en/players/1d2d5cc8/Steve-Mandanda" TargetMode="External"/><Relationship Id="rId138" Type="http://schemas.openxmlformats.org/officeDocument/2006/relationships/hyperlink" Target="https://fbref.com/en/players/1d2d5cc8/Steve-Mandanda" TargetMode="External"/><Relationship Id="rId345" Type="http://schemas.openxmlformats.org/officeDocument/2006/relationships/hyperlink" Target="https://fbref.com/en/players/ecada4fc/Keylor-Navas" TargetMode="External"/><Relationship Id="rId387" Type="http://schemas.openxmlformats.org/officeDocument/2006/relationships/hyperlink" Target="https://fbref.com/en/players/ae7d0ecd/Alexandre-Oukidja" TargetMode="External"/><Relationship Id="rId510" Type="http://schemas.openxmlformats.org/officeDocument/2006/relationships/hyperlink" Target="https://fbref.com/en/players/1d0900d4/Remy-Vercoutre" TargetMode="External"/><Relationship Id="rId552" Type="http://schemas.openxmlformats.org/officeDocument/2006/relationships/hyperlink" Target="https://fbref.com/en/players/a56bd2ee/Karl-Johan-Johnsson" TargetMode="External"/><Relationship Id="rId594" Type="http://schemas.openxmlformats.org/officeDocument/2006/relationships/hyperlink" Target="https://fbref.com/en/players/950ff24d/Yoan-Cardinale" TargetMode="External"/><Relationship Id="rId608" Type="http://schemas.openxmlformats.org/officeDocument/2006/relationships/hyperlink" Target="https://fbref.com/en/players/f1b2365a/Cheikh-NDoye" TargetMode="External"/><Relationship Id="rId191" Type="http://schemas.openxmlformats.org/officeDocument/2006/relationships/hyperlink" Target="https://fbref.com/en/players/065dc209/Terem-Moffi" TargetMode="External"/><Relationship Id="rId205" Type="http://schemas.openxmlformats.org/officeDocument/2006/relationships/hyperlink" Target="https://fbref.com/en/squads/c0d3eab4/2022-2023/Strasbourg-Stats" TargetMode="External"/><Relationship Id="rId247" Type="http://schemas.openxmlformats.org/officeDocument/2006/relationships/hyperlink" Target="https://fbref.com/en/squads/d7a486cd/2021-2022/Nantes-Stats" TargetMode="External"/><Relationship Id="rId412" Type="http://schemas.openxmlformats.org/officeDocument/2006/relationships/hyperlink" Target="https://fbref.com/en/squads/d298ef2c/2018-2019/Saint-Etienne-Stats" TargetMode="External"/><Relationship Id="rId107" Type="http://schemas.openxmlformats.org/officeDocument/2006/relationships/hyperlink" Target="https://fbref.com/en/players/f527a32c/Muhammed-Cham" TargetMode="External"/><Relationship Id="rId289" Type="http://schemas.openxmlformats.org/officeDocument/2006/relationships/hyperlink" Target="https://fbref.com/en/squads/fd6114db/2020-2021/Monaco-Stats" TargetMode="External"/><Relationship Id="rId454" Type="http://schemas.openxmlformats.org/officeDocument/2006/relationships/hyperlink" Target="https://fbref.com/en/squads/8dfb7350/2018-2019/Dijon-Stats" TargetMode="External"/><Relationship Id="rId496" Type="http://schemas.openxmlformats.org/officeDocument/2006/relationships/hyperlink" Target="https://fbref.com/en/squads/d41b5f53/2017-2018/Guingamp-Stats" TargetMode="External"/><Relationship Id="rId11" Type="http://schemas.openxmlformats.org/officeDocument/2006/relationships/hyperlink" Target="https://fbref.com/en/players/b73f17f8/Evann-Guessand" TargetMode="External"/><Relationship Id="rId53" Type="http://schemas.openxmlformats.org/officeDocument/2006/relationships/hyperlink" Target="https://fbref.com/en/players/7b9a9e25/Arnaud-Nordin" TargetMode="External"/><Relationship Id="rId149" Type="http://schemas.openxmlformats.org/officeDocument/2006/relationships/hyperlink" Target="https://fbref.com/en/players/595e6f3e/Mostafa-Mohamed" TargetMode="External"/><Relationship Id="rId314" Type="http://schemas.openxmlformats.org/officeDocument/2006/relationships/hyperlink" Target="https://fbref.com/en/players/2677a1de/Wahbi-Khazri" TargetMode="External"/><Relationship Id="rId356" Type="http://schemas.openxmlformats.org/officeDocument/2006/relationships/hyperlink" Target="https://fbref.com/en/players/cc83b74d/Kasper-Dolberg" TargetMode="External"/><Relationship Id="rId398" Type="http://schemas.openxmlformats.org/officeDocument/2006/relationships/hyperlink" Target="https://fbref.com/en/players/923f4dda/Serhou-Guirassy" TargetMode="External"/><Relationship Id="rId521" Type="http://schemas.openxmlformats.org/officeDocument/2006/relationships/hyperlink" Target="https://fbref.com/en/players/3071a619/Nolan-Roux" TargetMode="External"/><Relationship Id="rId563" Type="http://schemas.openxmlformats.org/officeDocument/2006/relationships/hyperlink" Target="https://fbref.com/en/players/95cfe655/Cheick-Diabate" TargetMode="External"/><Relationship Id="rId619" Type="http://schemas.openxmlformats.org/officeDocument/2006/relationships/hyperlink" Target="https://fbref.com/en/squads/5725cc7b/2015-2016/Marseille-Stats" TargetMode="External"/><Relationship Id="rId95" Type="http://schemas.openxmlformats.org/officeDocument/2006/relationships/hyperlink" Target="https://fbref.com/en/players/595e6f3e/Mostafa-Mohamed" TargetMode="External"/><Relationship Id="rId160" Type="http://schemas.openxmlformats.org/officeDocument/2006/relationships/hyperlink" Target="https://fbref.com/en/squads/d9676424/2023-2024/Clermont-Foot-Stats" TargetMode="External"/><Relationship Id="rId216" Type="http://schemas.openxmlformats.org/officeDocument/2006/relationships/hyperlink" Target="https://fbref.com/en/players/1e7aea56/Benjamin-Leroy" TargetMode="External"/><Relationship Id="rId423" Type="http://schemas.openxmlformats.org/officeDocument/2006/relationships/hyperlink" Target="https://fbref.com/en/players/8a2248b4/Walter-Benitez" TargetMode="External"/><Relationship Id="rId258" Type="http://schemas.openxmlformats.org/officeDocument/2006/relationships/hyperlink" Target="https://fbref.com/en/players/58ad9383/Predrag-Rajkovic" TargetMode="External"/><Relationship Id="rId465" Type="http://schemas.openxmlformats.org/officeDocument/2006/relationships/hyperlink" Target="https://fbref.com/en/players/2f965a72/Alphonse-Areola" TargetMode="External"/><Relationship Id="rId630" Type="http://schemas.openxmlformats.org/officeDocument/2006/relationships/hyperlink" Target="https://fbref.com/en/players/939bc634/Jonas-Lossl" TargetMode="External"/><Relationship Id="rId22" Type="http://schemas.openxmlformats.org/officeDocument/2006/relationships/hyperlink" Target="https://fbref.com/en/squads/fd4e0f7d/2024-2025/Lens-Stats" TargetMode="External"/><Relationship Id="rId64" Type="http://schemas.openxmlformats.org/officeDocument/2006/relationships/hyperlink" Target="https://fbref.com/en/squads/cb188c0c/2023-2024/Lille-Stats" TargetMode="External"/><Relationship Id="rId118" Type="http://schemas.openxmlformats.org/officeDocument/2006/relationships/hyperlink" Target="https://fbref.com/en/squads/cb188c0c/2023-2024/Lille-Stats" TargetMode="External"/><Relationship Id="rId325" Type="http://schemas.openxmlformats.org/officeDocument/2006/relationships/hyperlink" Target="https://fbref.com/en/squads/c0d3eab4/2020-2021/Strasbourg-Stats" TargetMode="External"/><Relationship Id="rId367" Type="http://schemas.openxmlformats.org/officeDocument/2006/relationships/hyperlink" Target="https://fbref.com/en/squads/fd6114db/2019-2020/Monaco-Stats" TargetMode="External"/><Relationship Id="rId532" Type="http://schemas.openxmlformats.org/officeDocument/2006/relationships/hyperlink" Target="https://fbref.com/en/squads/d53c0b06/2016-2017/Lyon-Stats" TargetMode="External"/><Relationship Id="rId574" Type="http://schemas.openxmlformats.org/officeDocument/2006/relationships/hyperlink" Target="https://fbref.com/en/squads/d2c87802/2016-2017/Lorient-Stats" TargetMode="External"/><Relationship Id="rId171" Type="http://schemas.openxmlformats.org/officeDocument/2006/relationships/hyperlink" Target="https://fbref.com/en/players/20b9f052/Pau-Lopez" TargetMode="External"/><Relationship Id="rId227" Type="http://schemas.openxmlformats.org/officeDocument/2006/relationships/hyperlink" Target="https://fbref.com/en/players/58ae47b2/Dimitri-Payet" TargetMode="External"/><Relationship Id="rId269" Type="http://schemas.openxmlformats.org/officeDocument/2006/relationships/hyperlink" Target="https://fbref.com/en/players/065dc209/Terem-Moffi" TargetMode="External"/><Relationship Id="rId434" Type="http://schemas.openxmlformats.org/officeDocument/2006/relationships/hyperlink" Target="https://fbref.com/en/players/462475ed/Ludovic-Ajorque" TargetMode="External"/><Relationship Id="rId476" Type="http://schemas.openxmlformats.org/officeDocument/2006/relationships/hyperlink" Target="https://fbref.com/en/players/20e73fac/Benjamin-Bourigeaud" TargetMode="External"/><Relationship Id="rId641" Type="http://schemas.openxmlformats.org/officeDocument/2006/relationships/hyperlink" Target="https://fbref.com/en/players/42443716/Fabien-Camus" TargetMode="External"/><Relationship Id="rId33" Type="http://schemas.openxmlformats.org/officeDocument/2006/relationships/hyperlink" Target="https://fbref.com/en/players/51c83a90/Donovan-Leon" TargetMode="External"/><Relationship Id="rId129" Type="http://schemas.openxmlformats.org/officeDocument/2006/relationships/hyperlink" Target="https://fbref.com/en/players/60d90c55/Brice-Samba" TargetMode="External"/><Relationship Id="rId280" Type="http://schemas.openxmlformats.org/officeDocument/2006/relationships/hyperlink" Target="https://fbref.com/en/squads/123f3efe/2021-2022/Bordeaux-Stats" TargetMode="External"/><Relationship Id="rId336" Type="http://schemas.openxmlformats.org/officeDocument/2006/relationships/hyperlink" Target="https://fbref.com/en/players/4e7db402/Alban-Lafont" TargetMode="External"/><Relationship Id="rId501" Type="http://schemas.openxmlformats.org/officeDocument/2006/relationships/hyperlink" Target="https://fbref.com/en/players/bc270726/Regis-Gurtner" TargetMode="External"/><Relationship Id="rId543" Type="http://schemas.openxmlformats.org/officeDocument/2006/relationships/hyperlink" Target="https://fbref.com/en/players/7f41ee30/Remy-Riou" TargetMode="External"/><Relationship Id="rId75" Type="http://schemas.openxmlformats.org/officeDocument/2006/relationships/hyperlink" Target="https://fbref.com/en/players/60d90c55/Brice-Samba" TargetMode="External"/><Relationship Id="rId140" Type="http://schemas.openxmlformats.org/officeDocument/2006/relationships/hyperlink" Target="https://fbref.com/en/players/b70afb45/Thijs-Dallinga" TargetMode="External"/><Relationship Id="rId182" Type="http://schemas.openxmlformats.org/officeDocument/2006/relationships/hyperlink" Target="https://fbref.com/en/players/9dbb75ca/Alexandre-Lacazette" TargetMode="External"/><Relationship Id="rId378" Type="http://schemas.openxmlformats.org/officeDocument/2006/relationships/hyperlink" Target="https://fbref.com/en/players/2434f24a/Benoit-Costil" TargetMode="External"/><Relationship Id="rId403" Type="http://schemas.openxmlformats.org/officeDocument/2006/relationships/hyperlink" Target="https://fbref.com/en/squads/e2d8892c/2018-2019/Paris-Saint-Germain-Stats" TargetMode="External"/><Relationship Id="rId585" Type="http://schemas.openxmlformats.org/officeDocument/2006/relationships/hyperlink" Target="https://fbref.com/en/players/ce17b5eb/Kevin-Trapp" TargetMode="External"/><Relationship Id="rId6" Type="http://schemas.openxmlformats.org/officeDocument/2006/relationships/hyperlink" Target="https://fbref.com/en/players/625c144a/Geronimo-Rulli" TargetMode="External"/><Relationship Id="rId238" Type="http://schemas.openxmlformats.org/officeDocument/2006/relationships/hyperlink" Target="https://fbref.com/en/squads/c0d3eab4/2021-2022/Strasbourg-Stats" TargetMode="External"/><Relationship Id="rId445" Type="http://schemas.openxmlformats.org/officeDocument/2006/relationships/hyperlink" Target="https://fbref.com/en/squads/25622401/2018-2019/Amiens-Stats" TargetMode="External"/><Relationship Id="rId487" Type="http://schemas.openxmlformats.org/officeDocument/2006/relationships/hyperlink" Target="https://fbref.com/en/squads/d7a486cd/2017-2018/Nantes-Stats" TargetMode="External"/><Relationship Id="rId610" Type="http://schemas.openxmlformats.org/officeDocument/2006/relationships/hyperlink" Target="https://fbref.com/en/squads/6283be2c/2015-2016/Bastia-Stats" TargetMode="External"/><Relationship Id="rId291" Type="http://schemas.openxmlformats.org/officeDocument/2006/relationships/hyperlink" Target="https://fbref.com/en/players/2fa2a875/Benjamin-Lecomte" TargetMode="External"/><Relationship Id="rId305" Type="http://schemas.openxmlformats.org/officeDocument/2006/relationships/hyperlink" Target="https://fbref.com/en/players/7cdda3bf/Gaetan-Laborde" TargetMode="External"/><Relationship Id="rId347" Type="http://schemas.openxmlformats.org/officeDocument/2006/relationships/hyperlink" Target="https://fbref.com/en/players/bef0a7ac/Dario-Benedetto" TargetMode="External"/><Relationship Id="rId512" Type="http://schemas.openxmlformats.org/officeDocument/2006/relationships/hyperlink" Target="https://fbref.com/en/players/57e3f0c7/Nicolas-Pepe" TargetMode="External"/><Relationship Id="rId44" Type="http://schemas.openxmlformats.org/officeDocument/2006/relationships/hyperlink" Target="https://fbref.com/en/players/ef7cd87a/Abdoulaye-Toure" TargetMode="External"/><Relationship Id="rId86" Type="http://schemas.openxmlformats.org/officeDocument/2006/relationships/hyperlink" Target="https://fbref.com/en/players/b70afb45/Thijs-Dallinga" TargetMode="External"/><Relationship Id="rId151" Type="http://schemas.openxmlformats.org/officeDocument/2006/relationships/hyperlink" Target="https://fbref.com/en/squads/5c2737db/2023-2024/Le-Havre-Stats" TargetMode="External"/><Relationship Id="rId389" Type="http://schemas.openxmlformats.org/officeDocument/2006/relationships/hyperlink" Target="https://fbref.com/en/players/fb14aa28/Mama-Samba-Balde" TargetMode="External"/><Relationship Id="rId554" Type="http://schemas.openxmlformats.org/officeDocument/2006/relationships/hyperlink" Target="https://fbref.com/en/players/b0547a87/Nicolas-de-Preville" TargetMode="External"/><Relationship Id="rId596" Type="http://schemas.openxmlformats.org/officeDocument/2006/relationships/hyperlink" Target="https://fbref.com/en/players/b0c71810/Sofiane-Boufal" TargetMode="External"/><Relationship Id="rId193" Type="http://schemas.openxmlformats.org/officeDocument/2006/relationships/hyperlink" Target="https://fbref.com/en/squads/7fdd64e0/2022-2023/Reims-Stats" TargetMode="External"/><Relationship Id="rId207" Type="http://schemas.openxmlformats.org/officeDocument/2006/relationships/hyperlink" Target="https://fbref.com/en/players/834b5c4c/Matz-Sels" TargetMode="External"/><Relationship Id="rId249" Type="http://schemas.openxmlformats.org/officeDocument/2006/relationships/hyperlink" Target="https://fbref.com/en/players/4e7db402/Alban-Lafont" TargetMode="External"/><Relationship Id="rId414" Type="http://schemas.openxmlformats.org/officeDocument/2006/relationships/hyperlink" Target="https://fbref.com/en/players/cac76a72/Stephane-Ruffier" TargetMode="External"/><Relationship Id="rId456" Type="http://schemas.openxmlformats.org/officeDocument/2006/relationships/hyperlink" Target="https://fbref.com/en/players/8fa8f8d2/Runar-Alex-Runarsson" TargetMode="External"/><Relationship Id="rId498" Type="http://schemas.openxmlformats.org/officeDocument/2006/relationships/hyperlink" Target="https://fbref.com/en/players/a56bd2ee/Karl-Johan-Johnsson" TargetMode="External"/><Relationship Id="rId621" Type="http://schemas.openxmlformats.org/officeDocument/2006/relationships/hyperlink" Target="https://fbref.com/en/players/1d2d5cc8/Steve-Mandanda" TargetMode="External"/><Relationship Id="rId13" Type="http://schemas.openxmlformats.org/officeDocument/2006/relationships/hyperlink" Target="https://fbref.com/en/squads/cb188c0c/2024-2025/Lille-Stats" TargetMode="External"/><Relationship Id="rId109" Type="http://schemas.openxmlformats.org/officeDocument/2006/relationships/hyperlink" Target="https://fbref.com/en/squads/e2d8892c/2023-2024/Paris-Saint-Germain-Stats" TargetMode="External"/><Relationship Id="rId260" Type="http://schemas.openxmlformats.org/officeDocument/2006/relationships/hyperlink" Target="https://fbref.com/en/players/0d7b6576/Elye-Wahi" TargetMode="External"/><Relationship Id="rId316" Type="http://schemas.openxmlformats.org/officeDocument/2006/relationships/hyperlink" Target="https://fbref.com/en/squads/123f3efe/2020-2021/Bordeaux-Stats" TargetMode="External"/><Relationship Id="rId523" Type="http://schemas.openxmlformats.org/officeDocument/2006/relationships/hyperlink" Target="https://fbref.com/en/squads/fd6114db/2016-2017/Monaco-Stats" TargetMode="External"/><Relationship Id="rId55" Type="http://schemas.openxmlformats.org/officeDocument/2006/relationships/hyperlink" Target="https://fbref.com/en/squads/e2d8892c/2023-2024/Paris-Saint-Germain-Stats" TargetMode="External"/><Relationship Id="rId97" Type="http://schemas.openxmlformats.org/officeDocument/2006/relationships/hyperlink" Target="https://fbref.com/en/squads/5c2737db/2023-2024/Le-Havre-Stats" TargetMode="External"/><Relationship Id="rId120" Type="http://schemas.openxmlformats.org/officeDocument/2006/relationships/hyperlink" Target="https://fbref.com/en/players/b3d76d84/Lucas-Chevalier" TargetMode="External"/><Relationship Id="rId358" Type="http://schemas.openxmlformats.org/officeDocument/2006/relationships/hyperlink" Target="https://fbref.com/en/squads/7fdd64e0/2019-2020/Reims-Stats" TargetMode="External"/><Relationship Id="rId565" Type="http://schemas.openxmlformats.org/officeDocument/2006/relationships/hyperlink" Target="https://fbref.com/en/squads/281b0e73/2016-2017/Montpellier-Stats" TargetMode="External"/><Relationship Id="rId162" Type="http://schemas.openxmlformats.org/officeDocument/2006/relationships/hyperlink" Target="https://fbref.com/en/players/f41a69e6/Mory-Diaw" TargetMode="External"/><Relationship Id="rId218" Type="http://schemas.openxmlformats.org/officeDocument/2006/relationships/hyperlink" Target="https://fbref.com/en/players/fb14aa28/Mama-Samba-Balde" TargetMode="External"/><Relationship Id="rId425" Type="http://schemas.openxmlformats.org/officeDocument/2006/relationships/hyperlink" Target="https://fbref.com/en/players/ea02beaf/Remi-Oudin" TargetMode="External"/><Relationship Id="rId467" Type="http://schemas.openxmlformats.org/officeDocument/2006/relationships/hyperlink" Target="https://fbref.com/en/players/66116290/Radamel-Falcao" TargetMode="External"/><Relationship Id="rId632" Type="http://schemas.openxmlformats.org/officeDocument/2006/relationships/hyperlink" Target="https://fbref.com/en/players/942b4f90/Wissam-Ben-Yedder" TargetMode="External"/><Relationship Id="rId271" Type="http://schemas.openxmlformats.org/officeDocument/2006/relationships/hyperlink" Target="https://fbref.com/en/squads/d9676424/2021-2022/Clermont-Foot-Stats" TargetMode="External"/><Relationship Id="rId24" Type="http://schemas.openxmlformats.org/officeDocument/2006/relationships/hyperlink" Target="https://fbref.com/en/players/60d90c55/Brice-Samba" TargetMode="External"/><Relationship Id="rId66" Type="http://schemas.openxmlformats.org/officeDocument/2006/relationships/hyperlink" Target="https://fbref.com/en/players/b3d76d84/Lucas-Chevalier" TargetMode="External"/><Relationship Id="rId131" Type="http://schemas.openxmlformats.org/officeDocument/2006/relationships/hyperlink" Target="https://fbref.com/en/players/d5dd5f1f/Pierre-Emerick-Aubameyang" TargetMode="External"/><Relationship Id="rId327" Type="http://schemas.openxmlformats.org/officeDocument/2006/relationships/hyperlink" Target="https://fbref.com/en/players/a4527d33/Eiji-Kawashima" TargetMode="External"/><Relationship Id="rId369" Type="http://schemas.openxmlformats.org/officeDocument/2006/relationships/hyperlink" Target="https://fbref.com/en/players/2fa2a875/Benjamin-Lecomte" TargetMode="External"/><Relationship Id="rId534" Type="http://schemas.openxmlformats.org/officeDocument/2006/relationships/hyperlink" Target="https://fbref.com/en/players/f00de885/Anthony-Lopes" TargetMode="External"/><Relationship Id="rId576" Type="http://schemas.openxmlformats.org/officeDocument/2006/relationships/hyperlink" Target="https://fbref.com/en/players/2fa2a875/Benjamin-Lecomte" TargetMode="External"/><Relationship Id="rId173" Type="http://schemas.openxmlformats.org/officeDocument/2006/relationships/hyperlink" Target="https://fbref.com/en/players/aad56ca3/Amine-Gouiri" TargetMode="External"/><Relationship Id="rId229" Type="http://schemas.openxmlformats.org/officeDocument/2006/relationships/hyperlink" Target="https://fbref.com/en/squads/fd6114db/2021-2022/Monaco-Stats" TargetMode="External"/><Relationship Id="rId380" Type="http://schemas.openxmlformats.org/officeDocument/2006/relationships/hyperlink" Target="https://fbref.com/en/players/5f3eaaf5/Moses-Simon" TargetMode="External"/><Relationship Id="rId436" Type="http://schemas.openxmlformats.org/officeDocument/2006/relationships/hyperlink" Target="https://fbref.com/en/squads/d7a486cd/2018-2019/Nantes-Stats" TargetMode="External"/><Relationship Id="rId601" Type="http://schemas.openxmlformats.org/officeDocument/2006/relationships/hyperlink" Target="https://fbref.com/en/squads/74229020/2015-2016/Caen-Stats" TargetMode="External"/><Relationship Id="rId240" Type="http://schemas.openxmlformats.org/officeDocument/2006/relationships/hyperlink" Target="https://fbref.com/en/players/834b5c4c/Matz-Sels" TargetMode="External"/><Relationship Id="rId478" Type="http://schemas.openxmlformats.org/officeDocument/2006/relationships/hyperlink" Target="https://fbref.com/en/squads/123f3efe/2017-2018/Bordeaux-Stats" TargetMode="External"/><Relationship Id="rId35" Type="http://schemas.openxmlformats.org/officeDocument/2006/relationships/hyperlink" Target="https://fbref.com/en/players/bf4c41f9/Arnaud-Kalimuendo" TargetMode="External"/><Relationship Id="rId77" Type="http://schemas.openxmlformats.org/officeDocument/2006/relationships/hyperlink" Target="https://fbref.com/en/players/d5dd5f1f/Pierre-Emerick-Aubameyang" TargetMode="External"/><Relationship Id="rId100" Type="http://schemas.openxmlformats.org/officeDocument/2006/relationships/hyperlink" Target="https://fbref.com/en/squads/f83960ae/2023-2024/Metz-Stats" TargetMode="External"/><Relationship Id="rId282" Type="http://schemas.openxmlformats.org/officeDocument/2006/relationships/hyperlink" Target="https://fbref.com/en/players/2434f24a/Benoit-Costil" TargetMode="External"/><Relationship Id="rId338" Type="http://schemas.openxmlformats.org/officeDocument/2006/relationships/hyperlink" Target="https://fbref.com/en/players/beae3a73/Renaud-Ripart" TargetMode="External"/><Relationship Id="rId503" Type="http://schemas.openxmlformats.org/officeDocument/2006/relationships/hyperlink" Target="https://fbref.com/en/players/5ceba7fc/Karl-Toko-Ekambi" TargetMode="External"/><Relationship Id="rId545" Type="http://schemas.openxmlformats.org/officeDocument/2006/relationships/hyperlink" Target="https://fbref.com/en/players/0b4d8274/Romain-Hamouma" TargetMode="External"/><Relationship Id="rId587" Type="http://schemas.openxmlformats.org/officeDocument/2006/relationships/hyperlink" Target="https://fbref.com/en/players/9dbb75ca/Alexandre-Lacazette" TargetMode="External"/><Relationship Id="rId8" Type="http://schemas.openxmlformats.org/officeDocument/2006/relationships/hyperlink" Target="https://fbref.com/en/players/a1d95db3/Mika-Biereth" TargetMode="External"/><Relationship Id="rId142" Type="http://schemas.openxmlformats.org/officeDocument/2006/relationships/hyperlink" Target="https://fbref.com/en/squads/281b0e73/2023-2024/Montpellier-Stats" TargetMode="External"/><Relationship Id="rId184" Type="http://schemas.openxmlformats.org/officeDocument/2006/relationships/hyperlink" Target="https://fbref.com/en/squads/d9676424/2022-2023/Clermont-Foot-Stats" TargetMode="External"/><Relationship Id="rId391" Type="http://schemas.openxmlformats.org/officeDocument/2006/relationships/hyperlink" Target="https://fbref.com/en/squads/d298ef2c/2019-2020/Saint-Etienne-Stats" TargetMode="External"/><Relationship Id="rId405" Type="http://schemas.openxmlformats.org/officeDocument/2006/relationships/hyperlink" Target="https://fbref.com/en/players/2f965a72/Alphonse-Areola" TargetMode="External"/><Relationship Id="rId447" Type="http://schemas.openxmlformats.org/officeDocument/2006/relationships/hyperlink" Target="https://fbref.com/en/players/bc270726/Regis-Gurtner" TargetMode="External"/><Relationship Id="rId612" Type="http://schemas.openxmlformats.org/officeDocument/2006/relationships/hyperlink" Target="https://fbref.com/en/players/edbe46dc/Jean-Louis-Leca" TargetMode="External"/><Relationship Id="rId251" Type="http://schemas.openxmlformats.org/officeDocument/2006/relationships/hyperlink" Target="https://fbref.com/en/players/ce50fd99/Jonathan-David" TargetMode="External"/><Relationship Id="rId489" Type="http://schemas.openxmlformats.org/officeDocument/2006/relationships/hyperlink" Target="https://fbref.com/en/players/b056e3da/Ciprian-Tatarusanu" TargetMode="External"/><Relationship Id="rId46" Type="http://schemas.openxmlformats.org/officeDocument/2006/relationships/hyperlink" Target="https://fbref.com/en/squads/7fdd64e0/2024-2025/Reims-Stats" TargetMode="External"/><Relationship Id="rId293" Type="http://schemas.openxmlformats.org/officeDocument/2006/relationships/hyperlink" Target="https://fbref.com/en/players/8f696594/Memphis" TargetMode="External"/><Relationship Id="rId307" Type="http://schemas.openxmlformats.org/officeDocument/2006/relationships/hyperlink" Target="https://fbref.com/en/squads/132ebc33/2020-2021/Nice-Stats" TargetMode="External"/><Relationship Id="rId349" Type="http://schemas.openxmlformats.org/officeDocument/2006/relationships/hyperlink" Target="https://fbref.com/en/squads/b3072e00/2019-2020/Rennes-Stats" TargetMode="External"/><Relationship Id="rId514" Type="http://schemas.openxmlformats.org/officeDocument/2006/relationships/hyperlink" Target="https://fbref.com/en/squads/3f8c4b5f/2017-2018/Toulouse-Stats" TargetMode="External"/><Relationship Id="rId556" Type="http://schemas.openxmlformats.org/officeDocument/2006/relationships/hyperlink" Target="https://fbref.com/en/squads/69236f98/2016-2017/Angers-Stats" TargetMode="External"/><Relationship Id="rId88" Type="http://schemas.openxmlformats.org/officeDocument/2006/relationships/hyperlink" Target="https://fbref.com/en/squads/281b0e73/2023-2024/Montpellier-Stats" TargetMode="External"/><Relationship Id="rId111" Type="http://schemas.openxmlformats.org/officeDocument/2006/relationships/hyperlink" Target="https://fbref.com/en/players/08f5afaa/Gianluigi-Donnarumma" TargetMode="External"/><Relationship Id="rId153" Type="http://schemas.openxmlformats.org/officeDocument/2006/relationships/hyperlink" Target="https://fbref.com/en/players/e8c5dd4d/Arthur-Desmas" TargetMode="External"/><Relationship Id="rId195" Type="http://schemas.openxmlformats.org/officeDocument/2006/relationships/hyperlink" Target="https://fbref.com/en/players/eedea60b/Yehvann-Diouf" TargetMode="External"/><Relationship Id="rId209" Type="http://schemas.openxmlformats.org/officeDocument/2006/relationships/hyperlink" Target="https://fbref.com/en/players/595e6f3e/Mostafa-Mohamed" TargetMode="External"/><Relationship Id="rId360" Type="http://schemas.openxmlformats.org/officeDocument/2006/relationships/hyperlink" Target="https://fbref.com/en/players/58ad9383/Predrag-Rajkovic" TargetMode="External"/><Relationship Id="rId416" Type="http://schemas.openxmlformats.org/officeDocument/2006/relationships/hyperlink" Target="https://fbref.com/en/players/2b9fdeea/Florian-Thauvin" TargetMode="External"/><Relationship Id="rId598" Type="http://schemas.openxmlformats.org/officeDocument/2006/relationships/hyperlink" Target="https://fbref.com/en/squads/d298ef2c/2015-2016/Saint-Etienne-Stats" TargetMode="External"/><Relationship Id="rId220" Type="http://schemas.openxmlformats.org/officeDocument/2006/relationships/hyperlink" Target="https://fbref.com/en/squads/69236f98/2022-2023/Angers-Stats" TargetMode="External"/><Relationship Id="rId458" Type="http://schemas.openxmlformats.org/officeDocument/2006/relationships/hyperlink" Target="https://fbref.com/en/players/06f33dc8/Enzo-Crivelli" TargetMode="External"/><Relationship Id="rId623" Type="http://schemas.openxmlformats.org/officeDocument/2006/relationships/hyperlink" Target="https://fbref.com/en/players/5d59e0df/Emiliano-Sala" TargetMode="External"/><Relationship Id="rId15" Type="http://schemas.openxmlformats.org/officeDocument/2006/relationships/hyperlink" Target="https://fbref.com/en/players/b3d76d84/Lucas-Chevalier" TargetMode="External"/><Relationship Id="rId57" Type="http://schemas.openxmlformats.org/officeDocument/2006/relationships/hyperlink" Target="https://fbref.com/en/players/08f5afaa/Gianluigi-Donnarumma" TargetMode="External"/><Relationship Id="rId262" Type="http://schemas.openxmlformats.org/officeDocument/2006/relationships/hyperlink" Target="https://fbref.com/en/squads/69236f98/2021-2022/Angers-Stats" TargetMode="External"/><Relationship Id="rId318" Type="http://schemas.openxmlformats.org/officeDocument/2006/relationships/hyperlink" Target="https://fbref.com/en/players/2434f24a/Benoit-Costil" TargetMode="External"/><Relationship Id="rId525" Type="http://schemas.openxmlformats.org/officeDocument/2006/relationships/hyperlink" Target="https://fbref.com/en/players/f6db3bd5/Danijel-Subasic" TargetMode="External"/><Relationship Id="rId567" Type="http://schemas.openxmlformats.org/officeDocument/2006/relationships/hyperlink" Target="https://fbref.com/en/players/05856228/Laurent-Pionnier" TargetMode="External"/><Relationship Id="rId99" Type="http://schemas.openxmlformats.org/officeDocument/2006/relationships/hyperlink" Target="https://fbref.com/en/players/e8c5dd4d/Arthur-Desmas" TargetMode="External"/><Relationship Id="rId122" Type="http://schemas.openxmlformats.org/officeDocument/2006/relationships/hyperlink" Target="https://fbref.com/en/players/065dc209/Terem-Moffi" TargetMode="External"/><Relationship Id="rId164" Type="http://schemas.openxmlformats.org/officeDocument/2006/relationships/hyperlink" Target="https://fbref.com/en/players/42fd9c7f/Kylian-Mbappe" TargetMode="External"/><Relationship Id="rId371" Type="http://schemas.openxmlformats.org/officeDocument/2006/relationships/hyperlink" Target="https://fbref.com/en/players/c76b7567/Adrien-Thomasson" TargetMode="External"/><Relationship Id="rId427" Type="http://schemas.openxmlformats.org/officeDocument/2006/relationships/hyperlink" Target="https://fbref.com/en/squads/1cbf5f9e/2018-2019/Nimes-Stats" TargetMode="External"/><Relationship Id="rId469" Type="http://schemas.openxmlformats.org/officeDocument/2006/relationships/hyperlink" Target="https://fbref.com/en/squads/d53c0b06/2017-2018/Lyon-Stats" TargetMode="External"/><Relationship Id="rId634" Type="http://schemas.openxmlformats.org/officeDocument/2006/relationships/hyperlink" Target="https://fbref.com/en/squads/7fdd64e0/2015-2016/Reims-Stats" TargetMode="External"/><Relationship Id="rId26" Type="http://schemas.openxmlformats.org/officeDocument/2006/relationships/hyperlink" Target="https://fbref.com/en/players/462475ed/Ludovic-Ajorque" TargetMode="External"/><Relationship Id="rId231" Type="http://schemas.openxmlformats.org/officeDocument/2006/relationships/hyperlink" Target="https://fbref.com/en/players/afb0c500/Alexander-Nubel" TargetMode="External"/><Relationship Id="rId273" Type="http://schemas.openxmlformats.org/officeDocument/2006/relationships/hyperlink" Target="https://fbref.com/en/players/62124972/Ouparine-Djoco" TargetMode="External"/><Relationship Id="rId329" Type="http://schemas.openxmlformats.org/officeDocument/2006/relationships/hyperlink" Target="https://fbref.com/en/players/065dc209/Terem-Moffi" TargetMode="External"/><Relationship Id="rId480" Type="http://schemas.openxmlformats.org/officeDocument/2006/relationships/hyperlink" Target="https://fbref.com/en/players/2434f24a/Benoit-Costil" TargetMode="External"/><Relationship Id="rId536" Type="http://schemas.openxmlformats.org/officeDocument/2006/relationships/hyperlink" Target="https://fbref.com/en/players/3d6686f9/Bafetimbi-Gomis" TargetMode="External"/><Relationship Id="rId68" Type="http://schemas.openxmlformats.org/officeDocument/2006/relationships/hyperlink" Target="https://fbref.com/en/players/065dc209/Terem-Moffi" TargetMode="External"/><Relationship Id="rId133" Type="http://schemas.openxmlformats.org/officeDocument/2006/relationships/hyperlink" Target="https://fbref.com/en/squads/7fdd64e0/2023-2024/Reims-Stats" TargetMode="External"/><Relationship Id="rId175" Type="http://schemas.openxmlformats.org/officeDocument/2006/relationships/hyperlink" Target="https://fbref.com/en/squads/cb188c0c/2022-2023/Lille-Stats" TargetMode="External"/><Relationship Id="rId340" Type="http://schemas.openxmlformats.org/officeDocument/2006/relationships/hyperlink" Target="https://fbref.com/en/squads/8dfb7350/2020-2021/Dijon-Stats" TargetMode="External"/><Relationship Id="rId578" Type="http://schemas.openxmlformats.org/officeDocument/2006/relationships/hyperlink" Target="https://fbref.com/en/players/32d787c2/Issiar-Dia" TargetMode="External"/><Relationship Id="rId200" Type="http://schemas.openxmlformats.org/officeDocument/2006/relationships/hyperlink" Target="https://fbref.com/en/players/b70afb45/Thijs-Dallinga" TargetMode="External"/><Relationship Id="rId382" Type="http://schemas.openxmlformats.org/officeDocument/2006/relationships/hyperlink" Target="https://fbref.com/en/squads/fb08dbb3/2019-2020/Brest-Stats" TargetMode="External"/><Relationship Id="rId438" Type="http://schemas.openxmlformats.org/officeDocument/2006/relationships/hyperlink" Target="https://fbref.com/en/players/b056e3da/Ciprian-Tatarusanu" TargetMode="External"/><Relationship Id="rId603" Type="http://schemas.openxmlformats.org/officeDocument/2006/relationships/hyperlink" Target="https://fbref.com/en/players/1d0900d4/Remy-Vercoutre" TargetMode="External"/><Relationship Id="rId242" Type="http://schemas.openxmlformats.org/officeDocument/2006/relationships/hyperlink" Target="https://fbref.com/en/players/bf4c41f9/Arnaud-Kalimuendo" TargetMode="External"/><Relationship Id="rId284" Type="http://schemas.openxmlformats.org/officeDocument/2006/relationships/hyperlink" Target="https://fbref.com/en/players/165a2e40/Burak-Yilmaz" TargetMode="External"/><Relationship Id="rId491" Type="http://schemas.openxmlformats.org/officeDocument/2006/relationships/hyperlink" Target="https://fbref.com/en/players/0fe7f7bc/Giovanni-Sio" TargetMode="External"/><Relationship Id="rId505" Type="http://schemas.openxmlformats.org/officeDocument/2006/relationships/hyperlink" Target="https://fbref.com/en/squads/c0d3eab4/2017-2018/Strasbourg-Stats" TargetMode="External"/><Relationship Id="rId37" Type="http://schemas.openxmlformats.org/officeDocument/2006/relationships/hyperlink" Target="https://fbref.com/en/squads/d7a486cd/2024-2025/Nantes-Stats" TargetMode="External"/><Relationship Id="rId79" Type="http://schemas.openxmlformats.org/officeDocument/2006/relationships/hyperlink" Target="https://fbref.com/en/squads/7fdd64e0/2023-2024/Reims-Stats" TargetMode="External"/><Relationship Id="rId102" Type="http://schemas.openxmlformats.org/officeDocument/2006/relationships/hyperlink" Target="https://fbref.com/en/players/ae7d0ecd/Alexandre-Oukidja" TargetMode="External"/><Relationship Id="rId144" Type="http://schemas.openxmlformats.org/officeDocument/2006/relationships/hyperlink" Target="https://fbref.com/en/players/2fa2a875/Benjamin-Lecomte" TargetMode="External"/><Relationship Id="rId547" Type="http://schemas.openxmlformats.org/officeDocument/2006/relationships/hyperlink" Target="https://fbref.com/en/squads/b3072e00/2016-2017/Rennes-Stats" TargetMode="External"/><Relationship Id="rId589" Type="http://schemas.openxmlformats.org/officeDocument/2006/relationships/hyperlink" Target="https://fbref.com/en/squads/fd6114db/2015-2016/Monaco-Stats" TargetMode="External"/><Relationship Id="rId90" Type="http://schemas.openxmlformats.org/officeDocument/2006/relationships/hyperlink" Target="https://fbref.com/en/players/2fa2a875/Benjamin-Lecomte" TargetMode="External"/><Relationship Id="rId186" Type="http://schemas.openxmlformats.org/officeDocument/2006/relationships/hyperlink" Target="https://fbref.com/en/players/f41a69e6/Mory-Diaw" TargetMode="External"/><Relationship Id="rId351" Type="http://schemas.openxmlformats.org/officeDocument/2006/relationships/hyperlink" Target="https://fbref.com/en/players/33887998/Edouard-Mendy" TargetMode="External"/><Relationship Id="rId393" Type="http://schemas.openxmlformats.org/officeDocument/2006/relationships/hyperlink" Target="https://fbref.com/en/players/cac76a72/Stephane-Ruffier" TargetMode="External"/><Relationship Id="rId407" Type="http://schemas.openxmlformats.org/officeDocument/2006/relationships/hyperlink" Target="https://fbref.com/en/players/57e3f0c7/Nicolas-Pepe" TargetMode="External"/><Relationship Id="rId449" Type="http://schemas.openxmlformats.org/officeDocument/2006/relationships/hyperlink" Target="https://fbref.com/en/players/c5a500ca/Max-Gradel" TargetMode="External"/><Relationship Id="rId614" Type="http://schemas.openxmlformats.org/officeDocument/2006/relationships/hyperlink" Target="https://fbref.com/en/players/95cfe655/Cheick-Diabate" TargetMode="External"/><Relationship Id="rId211" Type="http://schemas.openxmlformats.org/officeDocument/2006/relationships/hyperlink" Target="https://fbref.com/en/squads/5ae09109/2022-2023/Auxerre-Stats" TargetMode="External"/><Relationship Id="rId253" Type="http://schemas.openxmlformats.org/officeDocument/2006/relationships/hyperlink" Target="https://fbref.com/en/squads/fb08dbb3/2021-2022/Brest-Stats" TargetMode="External"/><Relationship Id="rId295" Type="http://schemas.openxmlformats.org/officeDocument/2006/relationships/hyperlink" Target="https://fbref.com/en/squads/5725cc7b/2020-2021/Marseille-Stats" TargetMode="External"/><Relationship Id="rId309" Type="http://schemas.openxmlformats.org/officeDocument/2006/relationships/hyperlink" Target="https://fbref.com/en/players/8a2248b4/Walter-Benitez" TargetMode="External"/><Relationship Id="rId460" Type="http://schemas.openxmlformats.org/officeDocument/2006/relationships/hyperlink" Target="https://fbref.com/en/squads/d41b5f53/2018-2019/Guingamp-Stats" TargetMode="External"/><Relationship Id="rId516" Type="http://schemas.openxmlformats.org/officeDocument/2006/relationships/hyperlink" Target="https://fbref.com/en/players/4e7db402/Alban-Lafont" TargetMode="External"/><Relationship Id="rId48" Type="http://schemas.openxmlformats.org/officeDocument/2006/relationships/hyperlink" Target="https://fbref.com/en/players/eedea60b/Yehvann-Diouf" TargetMode="External"/><Relationship Id="rId113" Type="http://schemas.openxmlformats.org/officeDocument/2006/relationships/hyperlink" Target="https://fbref.com/en/players/942b4f90/Wissam-Ben-Yedder" TargetMode="External"/><Relationship Id="rId320" Type="http://schemas.openxmlformats.org/officeDocument/2006/relationships/hyperlink" Target="https://fbref.com/en/players/4b96c347/Angelo-Fulgini" TargetMode="External"/><Relationship Id="rId558" Type="http://schemas.openxmlformats.org/officeDocument/2006/relationships/hyperlink" Target="https://fbref.com/en/players/e39f8724/Mathieu-Michel" TargetMode="External"/><Relationship Id="rId155" Type="http://schemas.openxmlformats.org/officeDocument/2006/relationships/hyperlink" Target="https://fbref.com/en/players/4788cb6b/Georges-Mikautadze" TargetMode="External"/><Relationship Id="rId197" Type="http://schemas.openxmlformats.org/officeDocument/2006/relationships/hyperlink" Target="https://fbref.com/en/players/0d7b6576/Elye-Wahi" TargetMode="External"/><Relationship Id="rId362" Type="http://schemas.openxmlformats.org/officeDocument/2006/relationships/hyperlink" Target="https://fbref.com/en/players/e7986081/Moussa-Dembele" TargetMode="External"/><Relationship Id="rId418" Type="http://schemas.openxmlformats.org/officeDocument/2006/relationships/hyperlink" Target="https://fbref.com/en/squads/281b0e73/2018-2019/Montpellier-Stats" TargetMode="External"/><Relationship Id="rId625" Type="http://schemas.openxmlformats.org/officeDocument/2006/relationships/hyperlink" Target="https://fbref.com/en/squads/d2c87802/2015-2016/Lorient-Stats" TargetMode="External"/><Relationship Id="rId222" Type="http://schemas.openxmlformats.org/officeDocument/2006/relationships/hyperlink" Target="https://fbref.com/en/players/28dabd43/Paul-Bernardoni" TargetMode="External"/><Relationship Id="rId264" Type="http://schemas.openxmlformats.org/officeDocument/2006/relationships/hyperlink" Target="https://fbref.com/en/players/b98cea65/Danijel-Petkovic" TargetMode="External"/><Relationship Id="rId471" Type="http://schemas.openxmlformats.org/officeDocument/2006/relationships/hyperlink" Target="https://fbref.com/en/players/f00de885/Anthony-Lopes" TargetMode="External"/><Relationship Id="rId17" Type="http://schemas.openxmlformats.org/officeDocument/2006/relationships/hyperlink" Target="https://fbref.com/en/players/9dbb75ca/Alexandre-Lacazette" TargetMode="External"/><Relationship Id="rId59" Type="http://schemas.openxmlformats.org/officeDocument/2006/relationships/hyperlink" Target="https://fbref.com/en/players/942b4f90/Wissam-Ben-Yedder" TargetMode="External"/><Relationship Id="rId124" Type="http://schemas.openxmlformats.org/officeDocument/2006/relationships/hyperlink" Target="https://fbref.com/en/squads/d53c0b06/2023-2024/Lyon-Stats" TargetMode="External"/><Relationship Id="rId527" Type="http://schemas.openxmlformats.org/officeDocument/2006/relationships/hyperlink" Target="https://fbref.com/en/players/527f063d/Edinson-Cavani" TargetMode="External"/><Relationship Id="rId569" Type="http://schemas.openxmlformats.org/officeDocument/2006/relationships/hyperlink" Target="https://fbref.com/en/players/4be0b467/Lois-Diony" TargetMode="External"/><Relationship Id="rId70" Type="http://schemas.openxmlformats.org/officeDocument/2006/relationships/hyperlink" Target="https://fbref.com/en/squads/d53c0b06/2023-2024/Lyon-Stats" TargetMode="External"/><Relationship Id="rId166" Type="http://schemas.openxmlformats.org/officeDocument/2006/relationships/hyperlink" Target="https://fbref.com/en/squads/fd4e0f7d/2022-2023/Lens-Stats" TargetMode="External"/><Relationship Id="rId331" Type="http://schemas.openxmlformats.org/officeDocument/2006/relationships/hyperlink" Target="https://fbref.com/en/squads/fb08dbb3/2020-2021/Brest-Stats" TargetMode="External"/><Relationship Id="rId373" Type="http://schemas.openxmlformats.org/officeDocument/2006/relationships/hyperlink" Target="https://fbref.com/en/squads/69236f98/2019-2020/Angers-Stats" TargetMode="External"/><Relationship Id="rId429" Type="http://schemas.openxmlformats.org/officeDocument/2006/relationships/hyperlink" Target="https://fbref.com/en/players/28dabd43/Paul-Bernardoni" TargetMode="External"/><Relationship Id="rId580" Type="http://schemas.openxmlformats.org/officeDocument/2006/relationships/hyperlink" Target="https://fbref.com/en/squads/6283be2c/2016-2017/Bastia-Stats" TargetMode="External"/><Relationship Id="rId636" Type="http://schemas.openxmlformats.org/officeDocument/2006/relationships/hyperlink" Target="https://fbref.com/en/players/f1666a9d/Johny-Placide" TargetMode="External"/><Relationship Id="rId1" Type="http://schemas.openxmlformats.org/officeDocument/2006/relationships/hyperlink" Target="https://fbref.com/en/squads/e2d8892c/2024-2025/Paris-Saint-Germain-Stats" TargetMode="External"/><Relationship Id="rId233" Type="http://schemas.openxmlformats.org/officeDocument/2006/relationships/hyperlink" Target="https://fbref.com/en/players/5148dcc5/Martin-Terrier" TargetMode="External"/><Relationship Id="rId440" Type="http://schemas.openxmlformats.org/officeDocument/2006/relationships/hyperlink" Target="https://fbref.com/en/players/5046b7d4/Stephane-Bahoken" TargetMode="External"/><Relationship Id="rId28" Type="http://schemas.openxmlformats.org/officeDocument/2006/relationships/hyperlink" Target="https://fbref.com/en/squads/3f8c4b5f/2024-2025/Toulouse-Stats" TargetMode="External"/><Relationship Id="rId275" Type="http://schemas.openxmlformats.org/officeDocument/2006/relationships/hyperlink" Target="https://fbref.com/en/players/2677a1de/Wahbi-Khazri" TargetMode="External"/><Relationship Id="rId300" Type="http://schemas.openxmlformats.org/officeDocument/2006/relationships/hyperlink" Target="https://fbref.com/en/players/cecbce23/Alfred-Gomis" TargetMode="External"/><Relationship Id="rId482" Type="http://schemas.openxmlformats.org/officeDocument/2006/relationships/hyperlink" Target="https://fbref.com/en/players/b2bd0f6c/Jonathan-Bamba" TargetMode="External"/><Relationship Id="rId538" Type="http://schemas.openxmlformats.org/officeDocument/2006/relationships/hyperlink" Target="https://fbref.com/en/squads/123f3efe/2016-2017/Bordeaux-Stats" TargetMode="External"/><Relationship Id="rId81" Type="http://schemas.openxmlformats.org/officeDocument/2006/relationships/hyperlink" Target="https://fbref.com/en/players/eedea60b/Yehvann-Diouf" TargetMode="External"/><Relationship Id="rId135" Type="http://schemas.openxmlformats.org/officeDocument/2006/relationships/hyperlink" Target="https://fbref.com/en/players/eedea60b/Yehvann-Diouf" TargetMode="External"/><Relationship Id="rId177" Type="http://schemas.openxmlformats.org/officeDocument/2006/relationships/hyperlink" Target="https://fbref.com/en/players/b3d76d84/Lucas-Chevalier" TargetMode="External"/><Relationship Id="rId342" Type="http://schemas.openxmlformats.org/officeDocument/2006/relationships/hyperlink" Target="https://fbref.com/en/players/abc06eb3/Anthony-Racioppi" TargetMode="External"/><Relationship Id="rId384" Type="http://schemas.openxmlformats.org/officeDocument/2006/relationships/hyperlink" Target="https://fbref.com/en/players/b49729cb/Gautier-Larsonneur" TargetMode="External"/><Relationship Id="rId591" Type="http://schemas.openxmlformats.org/officeDocument/2006/relationships/hyperlink" Target="https://fbref.com/en/players/f6db3bd5/Danijel-Subasic" TargetMode="External"/><Relationship Id="rId605" Type="http://schemas.openxmlformats.org/officeDocument/2006/relationships/hyperlink" Target="https://fbref.com/en/players/b19db005/Ousmane-Dembele" TargetMode="External"/><Relationship Id="rId202" Type="http://schemas.openxmlformats.org/officeDocument/2006/relationships/hyperlink" Target="https://fbref.com/en/squads/fb08dbb3/2022-2023/Brest-Stats" TargetMode="External"/><Relationship Id="rId244" Type="http://schemas.openxmlformats.org/officeDocument/2006/relationships/hyperlink" Target="https://fbref.com/en/squads/d53c0b06/2021-2022/Lyon-Stats" TargetMode="External"/><Relationship Id="rId39" Type="http://schemas.openxmlformats.org/officeDocument/2006/relationships/hyperlink" Target="https://fbref.com/en/players/f00de885/Anthony-Lopes" TargetMode="External"/><Relationship Id="rId286" Type="http://schemas.openxmlformats.org/officeDocument/2006/relationships/hyperlink" Target="https://fbref.com/en/squads/e2d8892c/2020-2021/Paris-Saint-Germain-Stats" TargetMode="External"/><Relationship Id="rId451" Type="http://schemas.openxmlformats.org/officeDocument/2006/relationships/hyperlink" Target="https://fbref.com/en/squads/fd6114db/2018-2019/Monaco-Stats" TargetMode="External"/><Relationship Id="rId493" Type="http://schemas.openxmlformats.org/officeDocument/2006/relationships/hyperlink" Target="https://fbref.com/en/squads/8dfb7350/2017-2018/Dijon-Stats" TargetMode="External"/><Relationship Id="rId507" Type="http://schemas.openxmlformats.org/officeDocument/2006/relationships/hyperlink" Target="https://fbref.com/en/players/3814120d/Bingourou-Kamara" TargetMode="External"/><Relationship Id="rId549" Type="http://schemas.openxmlformats.org/officeDocument/2006/relationships/hyperlink" Target="https://fbref.com/en/players/2434f24a/Benoit-Costil" TargetMode="External"/><Relationship Id="rId50" Type="http://schemas.openxmlformats.org/officeDocument/2006/relationships/hyperlink" Target="https://fbref.com/en/players/a47d6f3a/Lucas-Stassin" TargetMode="External"/><Relationship Id="rId104" Type="http://schemas.openxmlformats.org/officeDocument/2006/relationships/hyperlink" Target="https://fbref.com/en/players/d469252b/Mohamed-Bamba" TargetMode="External"/><Relationship Id="rId146" Type="http://schemas.openxmlformats.org/officeDocument/2006/relationships/hyperlink" Target="https://fbref.com/en/players/a0c590b9/Emanuel-Emegha" TargetMode="External"/><Relationship Id="rId188" Type="http://schemas.openxmlformats.org/officeDocument/2006/relationships/hyperlink" Target="https://fbref.com/en/players/7cdda3bf/Gaetan-Laborde" TargetMode="External"/><Relationship Id="rId311" Type="http://schemas.openxmlformats.org/officeDocument/2006/relationships/hyperlink" Target="https://fbref.com/en/players/a0791826/Farid-Boulaya" TargetMode="External"/><Relationship Id="rId353" Type="http://schemas.openxmlformats.org/officeDocument/2006/relationships/hyperlink" Target="https://fbref.com/en/players/8c90fd7a/Victor-Osimhen" TargetMode="External"/><Relationship Id="rId395" Type="http://schemas.openxmlformats.org/officeDocument/2006/relationships/hyperlink" Target="https://fbref.com/en/players/f98b15f0/Romain-Philippoteaux" TargetMode="External"/><Relationship Id="rId409" Type="http://schemas.openxmlformats.org/officeDocument/2006/relationships/hyperlink" Target="https://fbref.com/en/squads/d53c0b06/2018-2019/Lyon-Stats" TargetMode="External"/><Relationship Id="rId560" Type="http://schemas.openxmlformats.org/officeDocument/2006/relationships/hyperlink" Target="https://fbref.com/en/players/fd771f95/Martin-Braithwaite" TargetMode="External"/><Relationship Id="rId92" Type="http://schemas.openxmlformats.org/officeDocument/2006/relationships/hyperlink" Target="https://fbref.com/en/players/a0c590b9/Emanuel-Emegha" TargetMode="External"/><Relationship Id="rId213" Type="http://schemas.openxmlformats.org/officeDocument/2006/relationships/hyperlink" Target="https://fbref.com/en/players/2434f24a/Benoit-Costil" TargetMode="External"/><Relationship Id="rId420" Type="http://schemas.openxmlformats.org/officeDocument/2006/relationships/hyperlink" Target="https://fbref.com/en/players/2fa2a875/Benjamin-Lecomte" TargetMode="External"/><Relationship Id="rId616" Type="http://schemas.openxmlformats.org/officeDocument/2006/relationships/hyperlink" Target="https://fbref.com/en/squads/281b0e73/2015-2016/Montpellier-Stats" TargetMode="External"/><Relationship Id="rId255" Type="http://schemas.openxmlformats.org/officeDocument/2006/relationships/hyperlink" Target="https://fbref.com/en/players/3d214e5f/Marco-Bizot" TargetMode="External"/><Relationship Id="rId297" Type="http://schemas.openxmlformats.org/officeDocument/2006/relationships/hyperlink" Target="https://fbref.com/en/players/1d2d5cc8/Steve-Mandanda" TargetMode="External"/><Relationship Id="rId462" Type="http://schemas.openxmlformats.org/officeDocument/2006/relationships/hyperlink" Target="https://fbref.com/en/players/5ee6e943/Marc-Aurele-Caillard" TargetMode="External"/><Relationship Id="rId518" Type="http://schemas.openxmlformats.org/officeDocument/2006/relationships/hyperlink" Target="https://fbref.com/en/players/1ac3b888/Adama-Niane" TargetMode="External"/><Relationship Id="rId115" Type="http://schemas.openxmlformats.org/officeDocument/2006/relationships/hyperlink" Target="https://fbref.com/en/squads/fb08dbb3/2023-2024/Brest-Stats" TargetMode="External"/><Relationship Id="rId157" Type="http://schemas.openxmlformats.org/officeDocument/2006/relationships/hyperlink" Target="https://fbref.com/en/squads/d2c87802/2023-2024/Lorient-Stats" TargetMode="External"/><Relationship Id="rId322" Type="http://schemas.openxmlformats.org/officeDocument/2006/relationships/hyperlink" Target="https://fbref.com/en/squads/7fdd64e0/2020-2021/Reims-Stats" TargetMode="External"/><Relationship Id="rId364" Type="http://schemas.openxmlformats.org/officeDocument/2006/relationships/hyperlink" Target="https://fbref.com/en/squads/281b0e73/2019-2020/Montpellier-Stats" TargetMode="External"/><Relationship Id="rId61" Type="http://schemas.openxmlformats.org/officeDocument/2006/relationships/hyperlink" Target="https://fbref.com/en/squads/fb08dbb3/2023-2024/Brest-Stats" TargetMode="External"/><Relationship Id="rId199" Type="http://schemas.openxmlformats.org/officeDocument/2006/relationships/hyperlink" Target="https://fbref.com/en/squads/3f8c4b5f/2022-2023/Toulouse-Stats" TargetMode="External"/><Relationship Id="rId571" Type="http://schemas.openxmlformats.org/officeDocument/2006/relationships/hyperlink" Target="https://fbref.com/en/squads/74229020/2016-2017/Caen-Stats" TargetMode="External"/><Relationship Id="rId627" Type="http://schemas.openxmlformats.org/officeDocument/2006/relationships/hyperlink" Target="https://fbref.com/en/players/2fa2a875/Benjamin-Lecomte" TargetMode="External"/><Relationship Id="rId19" Type="http://schemas.openxmlformats.org/officeDocument/2006/relationships/hyperlink" Target="https://fbref.com/en/squads/c0d3eab4/2024-2025/Strasbourg-Stats" TargetMode="External"/><Relationship Id="rId224" Type="http://schemas.openxmlformats.org/officeDocument/2006/relationships/hyperlink" Target="https://fbref.com/en/players/42fd9c7f/Kylian-Mbappe" TargetMode="External"/><Relationship Id="rId266" Type="http://schemas.openxmlformats.org/officeDocument/2006/relationships/hyperlink" Target="https://fbref.com/en/players/279ddf6a/Xavier-Chavalerin" TargetMode="External"/><Relationship Id="rId431" Type="http://schemas.openxmlformats.org/officeDocument/2006/relationships/hyperlink" Target="https://fbref.com/en/players/2054d037/MBaye-Niang" TargetMode="External"/><Relationship Id="rId473" Type="http://schemas.openxmlformats.org/officeDocument/2006/relationships/hyperlink" Target="https://fbref.com/en/players/2b9fdeea/Florian-Thauvin" TargetMode="External"/><Relationship Id="rId529" Type="http://schemas.openxmlformats.org/officeDocument/2006/relationships/hyperlink" Target="https://fbref.com/en/squads/132ebc33/2016-2017/Nice-Stats" TargetMode="External"/><Relationship Id="rId30" Type="http://schemas.openxmlformats.org/officeDocument/2006/relationships/hyperlink" Target="https://fbref.com/en/players/6b91b999/Guillaume-Restes" TargetMode="External"/><Relationship Id="rId126" Type="http://schemas.openxmlformats.org/officeDocument/2006/relationships/hyperlink" Target="https://fbref.com/en/players/f00de885/Anthony-Lopes" TargetMode="External"/><Relationship Id="rId168" Type="http://schemas.openxmlformats.org/officeDocument/2006/relationships/hyperlink" Target="https://fbref.com/en/players/60d90c55/Brice-Samba" TargetMode="External"/><Relationship Id="rId333" Type="http://schemas.openxmlformats.org/officeDocument/2006/relationships/hyperlink" Target="https://fbref.com/en/players/b49729cb/Gautier-Larsonneur" TargetMode="External"/><Relationship Id="rId540" Type="http://schemas.openxmlformats.org/officeDocument/2006/relationships/hyperlink" Target="https://fbref.com/en/players/17f5a888/Cedric-Carrasso" TargetMode="External"/><Relationship Id="rId72" Type="http://schemas.openxmlformats.org/officeDocument/2006/relationships/hyperlink" Target="https://fbref.com/en/players/f00de885/Anthony-Lopes" TargetMode="External"/><Relationship Id="rId375" Type="http://schemas.openxmlformats.org/officeDocument/2006/relationships/hyperlink" Target="https://fbref.com/en/players/26975a92/Ludovic-Butelle" TargetMode="External"/><Relationship Id="rId582" Type="http://schemas.openxmlformats.org/officeDocument/2006/relationships/hyperlink" Target="https://fbref.com/en/players/edbe46dc/Jean-Louis-Leca" TargetMode="External"/><Relationship Id="rId638" Type="http://schemas.openxmlformats.org/officeDocument/2006/relationships/hyperlink" Target="https://fbref.com/en/players/76be043f/Mohamed-Larbi" TargetMode="External"/><Relationship Id="rId3" Type="http://schemas.openxmlformats.org/officeDocument/2006/relationships/hyperlink" Target="https://fbref.com/en/players/08f5afaa/Gianluigi-Donnarumma" TargetMode="External"/><Relationship Id="rId235" Type="http://schemas.openxmlformats.org/officeDocument/2006/relationships/hyperlink" Target="https://fbref.com/en/squads/132ebc33/2021-2022/Nice-Stats" TargetMode="External"/><Relationship Id="rId277" Type="http://schemas.openxmlformats.org/officeDocument/2006/relationships/hyperlink" Target="https://fbref.com/en/squads/f83960ae/2021-2022/Metz-Stats" TargetMode="External"/><Relationship Id="rId400" Type="http://schemas.openxmlformats.org/officeDocument/2006/relationships/hyperlink" Target="https://fbref.com/en/squads/3f8c4b5f/2019-2020/Toulouse-Stats" TargetMode="External"/><Relationship Id="rId442" Type="http://schemas.openxmlformats.org/officeDocument/2006/relationships/hyperlink" Target="https://fbref.com/en/squads/123f3efe/2018-2019/Bordeaux-Stats" TargetMode="External"/><Relationship Id="rId484" Type="http://schemas.openxmlformats.org/officeDocument/2006/relationships/hyperlink" Target="https://fbref.com/en/squads/132ebc33/2017-2018/Nice-Stats" TargetMode="External"/><Relationship Id="rId137" Type="http://schemas.openxmlformats.org/officeDocument/2006/relationships/hyperlink" Target="https://fbref.com/en/players/bf4c41f9/Arnaud-Kalimuendo" TargetMode="External"/><Relationship Id="rId302" Type="http://schemas.openxmlformats.org/officeDocument/2006/relationships/hyperlink" Target="https://fbref.com/en/players/5b1bf5e3/Gael-Kakuta" TargetMode="External"/><Relationship Id="rId344" Type="http://schemas.openxmlformats.org/officeDocument/2006/relationships/hyperlink" Target="https://fbref.com/en/players/42fd9c7f/Kylian-Mbappe" TargetMode="External"/><Relationship Id="rId41" Type="http://schemas.openxmlformats.org/officeDocument/2006/relationships/hyperlink" Target="https://fbref.com/en/players/85ce1949/Esteban-Lepaul" TargetMode="External"/><Relationship Id="rId83" Type="http://schemas.openxmlformats.org/officeDocument/2006/relationships/hyperlink" Target="https://fbref.com/en/players/bf4c41f9/Arnaud-Kalimuendo" TargetMode="External"/><Relationship Id="rId179" Type="http://schemas.openxmlformats.org/officeDocument/2006/relationships/hyperlink" Target="https://fbref.com/en/players/942b4f90/Wissam-Ben-Yedder" TargetMode="External"/><Relationship Id="rId386" Type="http://schemas.openxmlformats.org/officeDocument/2006/relationships/hyperlink" Target="https://fbref.com/en/players/6605d143/Habib-Diallo" TargetMode="External"/><Relationship Id="rId551" Type="http://schemas.openxmlformats.org/officeDocument/2006/relationships/hyperlink" Target="https://fbref.com/en/players/f83c8d6c/Jimmy-Briand" TargetMode="External"/><Relationship Id="rId593" Type="http://schemas.openxmlformats.org/officeDocument/2006/relationships/hyperlink" Target="https://fbref.com/en/players/74dc806c/Hatem-Ben-Arfa" TargetMode="External"/><Relationship Id="rId607" Type="http://schemas.openxmlformats.org/officeDocument/2006/relationships/hyperlink" Target="https://fbref.com/en/squads/69236f98/2015-2016/Angers-Stats" TargetMode="External"/><Relationship Id="rId190" Type="http://schemas.openxmlformats.org/officeDocument/2006/relationships/hyperlink" Target="https://fbref.com/en/squads/d2c87802/2022-2023/Lorient-Stats" TargetMode="External"/><Relationship Id="rId204" Type="http://schemas.openxmlformats.org/officeDocument/2006/relationships/hyperlink" Target="https://fbref.com/en/players/3d214e5f/Marco-Bizot" TargetMode="External"/><Relationship Id="rId246" Type="http://schemas.openxmlformats.org/officeDocument/2006/relationships/hyperlink" Target="https://fbref.com/en/players/f00de885/Anthony-Lopes" TargetMode="External"/><Relationship Id="rId288" Type="http://schemas.openxmlformats.org/officeDocument/2006/relationships/hyperlink" Target="https://fbref.com/en/players/ecada4fc/Keylor-Navas" TargetMode="External"/><Relationship Id="rId411" Type="http://schemas.openxmlformats.org/officeDocument/2006/relationships/hyperlink" Target="https://fbref.com/en/players/f00de885/Anthony-Lopes" TargetMode="External"/><Relationship Id="rId453" Type="http://schemas.openxmlformats.org/officeDocument/2006/relationships/hyperlink" Target="https://fbref.com/en/players/b7e7937d/Diego-Benaglio" TargetMode="External"/><Relationship Id="rId509" Type="http://schemas.openxmlformats.org/officeDocument/2006/relationships/hyperlink" Target="https://fbref.com/en/players/086d7db3/Ivan-Santini" TargetMode="External"/><Relationship Id="rId106" Type="http://schemas.openxmlformats.org/officeDocument/2006/relationships/hyperlink" Target="https://fbref.com/en/squads/d9676424/2023-2024/Clermont-Foot-Stats" TargetMode="External"/><Relationship Id="rId313" Type="http://schemas.openxmlformats.org/officeDocument/2006/relationships/hyperlink" Target="https://fbref.com/en/squads/d298ef2c/2020-2021/Saint-Etienne-Stats" TargetMode="External"/><Relationship Id="rId495" Type="http://schemas.openxmlformats.org/officeDocument/2006/relationships/hyperlink" Target="https://fbref.com/en/players/bcf1b2e9/Baptiste-Reynet" TargetMode="External"/><Relationship Id="rId10" Type="http://schemas.openxmlformats.org/officeDocument/2006/relationships/hyperlink" Target="https://fbref.com/en/squads/132ebc33/2024-2025/Nice-Stats" TargetMode="External"/><Relationship Id="rId52" Type="http://schemas.openxmlformats.org/officeDocument/2006/relationships/hyperlink" Target="https://fbref.com/en/squads/281b0e73/2024-2025/Montpellier-Stats" TargetMode="External"/><Relationship Id="rId94" Type="http://schemas.openxmlformats.org/officeDocument/2006/relationships/hyperlink" Target="https://fbref.com/en/squads/d7a486cd/2023-2024/Nantes-Stats" TargetMode="External"/><Relationship Id="rId148" Type="http://schemas.openxmlformats.org/officeDocument/2006/relationships/hyperlink" Target="https://fbref.com/en/squads/d7a486cd/2023-2024/Nantes-Stats" TargetMode="External"/><Relationship Id="rId355" Type="http://schemas.openxmlformats.org/officeDocument/2006/relationships/hyperlink" Target="https://fbref.com/en/squads/132ebc33/2019-2020/Nice-Stats" TargetMode="External"/><Relationship Id="rId397" Type="http://schemas.openxmlformats.org/officeDocument/2006/relationships/hyperlink" Target="https://fbref.com/en/squads/25622401/2019-2020/Amiens-Stats" TargetMode="External"/><Relationship Id="rId520" Type="http://schemas.openxmlformats.org/officeDocument/2006/relationships/hyperlink" Target="https://fbref.com/en/squads/f83960ae/2017-2018/Metz-Stats" TargetMode="External"/><Relationship Id="rId562" Type="http://schemas.openxmlformats.org/officeDocument/2006/relationships/hyperlink" Target="https://fbref.com/en/squads/f83960ae/2016-2017/Metz-Stats" TargetMode="External"/><Relationship Id="rId618" Type="http://schemas.openxmlformats.org/officeDocument/2006/relationships/hyperlink" Target="https://fbref.com/en/players/05856228/Laurent-Pionnier" TargetMode="External"/><Relationship Id="rId215" Type="http://schemas.openxmlformats.org/officeDocument/2006/relationships/hyperlink" Target="https://fbref.com/en/players/1a248246/Youcef-Belaili" TargetMode="External"/><Relationship Id="rId257" Type="http://schemas.openxmlformats.org/officeDocument/2006/relationships/hyperlink" Target="https://fbref.com/en/players/5b92d896/Hugo-Ekitike" TargetMode="External"/><Relationship Id="rId422" Type="http://schemas.openxmlformats.org/officeDocument/2006/relationships/hyperlink" Target="https://fbref.com/en/players/2b16cb1a/Allan-Saint-Maximin" TargetMode="External"/><Relationship Id="rId464" Type="http://schemas.openxmlformats.org/officeDocument/2006/relationships/hyperlink" Target="https://fbref.com/en/players/527f063d/Edinson-Cavani" TargetMode="External"/><Relationship Id="rId299" Type="http://schemas.openxmlformats.org/officeDocument/2006/relationships/hyperlink" Target="https://fbref.com/en/players/923f4dda/Serhou-Guirassy" TargetMode="External"/><Relationship Id="rId63" Type="http://schemas.openxmlformats.org/officeDocument/2006/relationships/hyperlink" Target="https://fbref.com/en/players/3d214e5f/Marco-Bizot" TargetMode="External"/><Relationship Id="rId159" Type="http://schemas.openxmlformats.org/officeDocument/2006/relationships/hyperlink" Target="https://fbref.com/en/players/dc29b608/Yvon-Mvogo" TargetMode="External"/><Relationship Id="rId366" Type="http://schemas.openxmlformats.org/officeDocument/2006/relationships/hyperlink" Target="https://fbref.com/en/players/625c144a/Geronimo-Rulli" TargetMode="External"/><Relationship Id="rId573" Type="http://schemas.openxmlformats.org/officeDocument/2006/relationships/hyperlink" Target="https://fbref.com/en/players/1d0900d4/Remy-Vercoutre" TargetMode="External"/><Relationship Id="rId226" Type="http://schemas.openxmlformats.org/officeDocument/2006/relationships/hyperlink" Target="https://fbref.com/en/squads/5725cc7b/2021-2022/Marseille-Stats" TargetMode="External"/><Relationship Id="rId433" Type="http://schemas.openxmlformats.org/officeDocument/2006/relationships/hyperlink" Target="https://fbref.com/en/squads/c0d3eab4/2018-2019/Strasbourg-Stats" TargetMode="External"/><Relationship Id="rId640" Type="http://schemas.openxmlformats.org/officeDocument/2006/relationships/hyperlink" Target="https://fbref.com/en/squads/54195385/2015-2016/Troyes-Stats" TargetMode="External"/><Relationship Id="rId74" Type="http://schemas.openxmlformats.org/officeDocument/2006/relationships/hyperlink" Target="https://fbref.com/en/players/0d7b6576/Elye-Wahi" TargetMode="External"/><Relationship Id="rId377" Type="http://schemas.openxmlformats.org/officeDocument/2006/relationships/hyperlink" Target="https://fbref.com/en/players/f83c8d6c/Jimmy-Briand" TargetMode="External"/><Relationship Id="rId500" Type="http://schemas.openxmlformats.org/officeDocument/2006/relationships/hyperlink" Target="https://fbref.com/en/players/fcbcbd94/Moussa-Konate" TargetMode="External"/><Relationship Id="rId584" Type="http://schemas.openxmlformats.org/officeDocument/2006/relationships/hyperlink" Target="https://fbref.com/en/players/4cde5509/Zlatan-Ibrahimovic" TargetMode="External"/><Relationship Id="rId5" Type="http://schemas.openxmlformats.org/officeDocument/2006/relationships/hyperlink" Target="https://fbref.com/en/players/58eee997/Mason-Greenwood" TargetMode="External"/><Relationship Id="rId237" Type="http://schemas.openxmlformats.org/officeDocument/2006/relationships/hyperlink" Target="https://fbref.com/en/players/8a2248b4/Walter-Benitez" TargetMode="External"/><Relationship Id="rId444" Type="http://schemas.openxmlformats.org/officeDocument/2006/relationships/hyperlink" Target="https://fbref.com/en/players/2434f24a/Benoit-Costil" TargetMode="External"/><Relationship Id="rId290" Type="http://schemas.openxmlformats.org/officeDocument/2006/relationships/hyperlink" Target="https://fbref.com/en/players/942b4f90/Wissam-Ben-Yedder" TargetMode="External"/><Relationship Id="rId304" Type="http://schemas.openxmlformats.org/officeDocument/2006/relationships/hyperlink" Target="https://fbref.com/en/squads/281b0e73/2020-2021/Montpellier-Stats" TargetMode="External"/><Relationship Id="rId388" Type="http://schemas.openxmlformats.org/officeDocument/2006/relationships/hyperlink" Target="https://fbref.com/en/squads/8dfb7350/Dijon-Stats" TargetMode="External"/><Relationship Id="rId511" Type="http://schemas.openxmlformats.org/officeDocument/2006/relationships/hyperlink" Target="https://fbref.com/en/squads/cb188c0c/2017-2018/Lille-Stats" TargetMode="External"/><Relationship Id="rId609" Type="http://schemas.openxmlformats.org/officeDocument/2006/relationships/hyperlink" Target="https://fbref.com/en/players/26975a92/Ludovic-Butelle" TargetMode="External"/><Relationship Id="rId85" Type="http://schemas.openxmlformats.org/officeDocument/2006/relationships/hyperlink" Target="https://fbref.com/en/squads/3f8c4b5f/2023-2024/Toulouse-Stats" TargetMode="External"/><Relationship Id="rId150" Type="http://schemas.openxmlformats.org/officeDocument/2006/relationships/hyperlink" Target="https://fbref.com/en/players/4e7db402/Alban-Lafont" TargetMode="External"/><Relationship Id="rId595" Type="http://schemas.openxmlformats.org/officeDocument/2006/relationships/hyperlink" Target="https://fbref.com/en/squads/cb188c0c/2015-2016/Lille-Stats" TargetMode="External"/><Relationship Id="rId248" Type="http://schemas.openxmlformats.org/officeDocument/2006/relationships/hyperlink" Target="https://fbref.com/en/players/c0b3669f/Randal-Kolo-Muani" TargetMode="External"/><Relationship Id="rId455" Type="http://schemas.openxmlformats.org/officeDocument/2006/relationships/hyperlink" Target="https://fbref.com/en/players/d520120b/Julio-Tavares" TargetMode="External"/><Relationship Id="rId12" Type="http://schemas.openxmlformats.org/officeDocument/2006/relationships/hyperlink" Target="https://fbref.com/en/players/db87a2c4/Marcin-Bulka" TargetMode="External"/><Relationship Id="rId108" Type="http://schemas.openxmlformats.org/officeDocument/2006/relationships/hyperlink" Target="https://fbref.com/en/players/f41a69e6/Mory-Diaw" TargetMode="External"/><Relationship Id="rId315" Type="http://schemas.openxmlformats.org/officeDocument/2006/relationships/hyperlink" Target="https://fbref.com/en/players/28a65a2c/Jessy-Moulin" TargetMode="External"/><Relationship Id="rId522" Type="http://schemas.openxmlformats.org/officeDocument/2006/relationships/hyperlink" Target="https://fbref.com/en/players/a4527d33/Eiji-Kawashima" TargetMode="External"/><Relationship Id="rId96" Type="http://schemas.openxmlformats.org/officeDocument/2006/relationships/hyperlink" Target="https://fbref.com/en/players/4e7db402/Alban-Lafont" TargetMode="External"/><Relationship Id="rId161" Type="http://schemas.openxmlformats.org/officeDocument/2006/relationships/hyperlink" Target="https://fbref.com/en/players/f527a32c/Muhammed-Cham" TargetMode="External"/><Relationship Id="rId399" Type="http://schemas.openxmlformats.org/officeDocument/2006/relationships/hyperlink" Target="https://fbref.com/en/players/bc270726/Regis-Gurtner" TargetMode="External"/><Relationship Id="rId259" Type="http://schemas.openxmlformats.org/officeDocument/2006/relationships/hyperlink" Target="https://fbref.com/en/squads/281b0e73/2021-2022/Montpellier-Stats" TargetMode="External"/><Relationship Id="rId466" Type="http://schemas.openxmlformats.org/officeDocument/2006/relationships/hyperlink" Target="https://fbref.com/en/squads/fd6114db/2017-2018/Monaco-Stats" TargetMode="External"/><Relationship Id="rId23" Type="http://schemas.openxmlformats.org/officeDocument/2006/relationships/hyperlink" Target="https://fbref.com/en/players/17e1261b/Neil-El-Aynaoui" TargetMode="External"/><Relationship Id="rId119" Type="http://schemas.openxmlformats.org/officeDocument/2006/relationships/hyperlink" Target="https://fbref.com/en/players/ce50fd99/Jonathan-David" TargetMode="External"/><Relationship Id="rId326" Type="http://schemas.openxmlformats.org/officeDocument/2006/relationships/hyperlink" Target="https://fbref.com/en/players/462475ed/Ludovic-Ajorque" TargetMode="External"/><Relationship Id="rId533" Type="http://schemas.openxmlformats.org/officeDocument/2006/relationships/hyperlink" Target="https://fbref.com/en/players/9dbb75ca/Alexandre-Lacazette" TargetMode="External"/><Relationship Id="rId172" Type="http://schemas.openxmlformats.org/officeDocument/2006/relationships/hyperlink" Target="https://fbref.com/en/squads/b3072e00/2022-2023/Rennes-Stats" TargetMode="External"/><Relationship Id="rId477" Type="http://schemas.openxmlformats.org/officeDocument/2006/relationships/hyperlink" Target="https://fbref.com/en/players/dc366c36/Tomas-Koubek" TargetMode="External"/><Relationship Id="rId600" Type="http://schemas.openxmlformats.org/officeDocument/2006/relationships/hyperlink" Target="https://fbref.com/en/players/cac76a72/Stephane-Ruffier" TargetMode="External"/><Relationship Id="rId337" Type="http://schemas.openxmlformats.org/officeDocument/2006/relationships/hyperlink" Target="https://fbref.com/en/squads/1cbf5f9e/2020-2021/Nimes-Stats" TargetMode="External"/><Relationship Id="rId34" Type="http://schemas.openxmlformats.org/officeDocument/2006/relationships/hyperlink" Target="https://fbref.com/en/squads/b3072e00/2024-2025/Rennes-Stats" TargetMode="External"/><Relationship Id="rId544" Type="http://schemas.openxmlformats.org/officeDocument/2006/relationships/hyperlink" Target="https://fbref.com/en/squads/d298ef2c/2016-2017/Saint-Etienne-Stats" TargetMode="External"/><Relationship Id="rId183" Type="http://schemas.openxmlformats.org/officeDocument/2006/relationships/hyperlink" Target="https://fbref.com/en/players/f00de885/Anthony-Lopes" TargetMode="External"/><Relationship Id="rId390" Type="http://schemas.openxmlformats.org/officeDocument/2006/relationships/hyperlink" Target="https://fbref.com/en/players/cecbce23/Alfred-Gomis" TargetMode="External"/><Relationship Id="rId404" Type="http://schemas.openxmlformats.org/officeDocument/2006/relationships/hyperlink" Target="https://fbref.com/en/players/42fd9c7f/Kylian-Mbappe" TargetMode="External"/><Relationship Id="rId611" Type="http://schemas.openxmlformats.org/officeDocument/2006/relationships/hyperlink" Target="https://fbref.com/en/players/fd5888a0/Floyd-Ayite" TargetMode="External"/><Relationship Id="rId250" Type="http://schemas.openxmlformats.org/officeDocument/2006/relationships/hyperlink" Target="https://fbref.com/en/squads/cb188c0c/2021-2022/Lille-Stats" TargetMode="External"/><Relationship Id="rId488" Type="http://schemas.openxmlformats.org/officeDocument/2006/relationships/hyperlink" Target="https://fbref.com/en/players/5d59e0df/Emiliano-Sala" TargetMode="External"/><Relationship Id="rId45" Type="http://schemas.openxmlformats.org/officeDocument/2006/relationships/hyperlink" Target="https://fbref.com/en/players/e8c5dd4d/Arthur-Desmas" TargetMode="External"/><Relationship Id="rId110" Type="http://schemas.openxmlformats.org/officeDocument/2006/relationships/hyperlink" Target="https://fbref.com/en/players/42fd9c7f/Kylian-Mbappe" TargetMode="External"/><Relationship Id="rId348" Type="http://schemas.openxmlformats.org/officeDocument/2006/relationships/hyperlink" Target="https://fbref.com/en/players/1d2d5cc8/Steve-Mandanda" TargetMode="External"/><Relationship Id="rId555" Type="http://schemas.openxmlformats.org/officeDocument/2006/relationships/hyperlink" Target="https://fbref.com/en/players/62156b6a/Vincent-Enyeama" TargetMode="External"/><Relationship Id="rId194" Type="http://schemas.openxmlformats.org/officeDocument/2006/relationships/hyperlink" Target="https://fbref.com/en/players/31822f8c/Folarin-Balogun" TargetMode="External"/><Relationship Id="rId208" Type="http://schemas.openxmlformats.org/officeDocument/2006/relationships/hyperlink" Target="https://fbref.com/en/squads/d7a486cd/2022-2023/Nantes-Stats" TargetMode="External"/><Relationship Id="rId415" Type="http://schemas.openxmlformats.org/officeDocument/2006/relationships/hyperlink" Target="https://fbref.com/en/squads/5725cc7b/2018-2019/Marseille-Stats" TargetMode="External"/><Relationship Id="rId622" Type="http://schemas.openxmlformats.org/officeDocument/2006/relationships/hyperlink" Target="https://fbref.com/en/squads/d7a486cd/2015-2016/Nantes-Stats" TargetMode="External"/><Relationship Id="rId261" Type="http://schemas.openxmlformats.org/officeDocument/2006/relationships/hyperlink" Target="https://fbref.com/en/players/c631f952/Jonas-Omlin" TargetMode="External"/><Relationship Id="rId499" Type="http://schemas.openxmlformats.org/officeDocument/2006/relationships/hyperlink" Target="https://fbref.com/en/squads/25622401/2017-2018/Amiens-Stats" TargetMode="External"/><Relationship Id="rId56" Type="http://schemas.openxmlformats.org/officeDocument/2006/relationships/hyperlink" Target="https://fbref.com/en/players/42fd9c7f/Kylian-Mbappe" TargetMode="External"/><Relationship Id="rId359" Type="http://schemas.openxmlformats.org/officeDocument/2006/relationships/hyperlink" Target="https://fbref.com/en/players/244bc2c8/Boulaye-Dia" TargetMode="External"/><Relationship Id="rId566" Type="http://schemas.openxmlformats.org/officeDocument/2006/relationships/hyperlink" Target="https://fbref.com/en/players/19ba6c6d/Steve-Mounie" TargetMode="External"/><Relationship Id="rId121" Type="http://schemas.openxmlformats.org/officeDocument/2006/relationships/hyperlink" Target="https://fbref.com/en/squads/132ebc33/2023-2024/Nice-Stats" TargetMode="External"/><Relationship Id="rId219" Type="http://schemas.openxmlformats.org/officeDocument/2006/relationships/hyperlink" Target="https://fbref.com/en/players/db3164e1/Gauthier-Gallon" TargetMode="External"/><Relationship Id="rId426" Type="http://schemas.openxmlformats.org/officeDocument/2006/relationships/hyperlink" Target="https://fbref.com/en/players/33887998/Edouard-Mendy" TargetMode="External"/><Relationship Id="rId633" Type="http://schemas.openxmlformats.org/officeDocument/2006/relationships/hyperlink" Target="https://fbref.com/en/players/4e7db402/Alban-Lafont" TargetMode="External"/><Relationship Id="rId67" Type="http://schemas.openxmlformats.org/officeDocument/2006/relationships/hyperlink" Target="https://fbref.com/en/squads/132ebc33/2023-2024/Nice-Stats" TargetMode="External"/><Relationship Id="rId272" Type="http://schemas.openxmlformats.org/officeDocument/2006/relationships/hyperlink" Target="https://fbref.com/en/players/01870104/Mohamed-Lamine-Bayo" TargetMode="External"/><Relationship Id="rId577" Type="http://schemas.openxmlformats.org/officeDocument/2006/relationships/hyperlink" Target="https://fbref.com/en/squads/e88fc6e5/2016-2017/Nancy-Stats" TargetMode="External"/><Relationship Id="rId132" Type="http://schemas.openxmlformats.org/officeDocument/2006/relationships/hyperlink" Target="https://fbref.com/en/players/20b9f052/Pau-Lopez" TargetMode="External"/><Relationship Id="rId437" Type="http://schemas.openxmlformats.org/officeDocument/2006/relationships/hyperlink" Target="https://fbref.com/en/players/5d59e0df/Emiliano-Sala" TargetMode="External"/><Relationship Id="rId283" Type="http://schemas.openxmlformats.org/officeDocument/2006/relationships/hyperlink" Target="https://fbref.com/en/squads/cb188c0c/2020-2021/Lille-Stats" TargetMode="External"/><Relationship Id="rId490" Type="http://schemas.openxmlformats.org/officeDocument/2006/relationships/hyperlink" Target="https://fbref.com/en/squads/281b0e73/2017-2018/Montpellier-Stats" TargetMode="External"/><Relationship Id="rId504" Type="http://schemas.openxmlformats.org/officeDocument/2006/relationships/hyperlink" Target="https://fbref.com/en/players/26975a92/Ludovic-Butelle" TargetMode="External"/><Relationship Id="rId78" Type="http://schemas.openxmlformats.org/officeDocument/2006/relationships/hyperlink" Target="https://fbref.com/en/players/20b9f052/Pau-Lopez" TargetMode="External"/><Relationship Id="rId143" Type="http://schemas.openxmlformats.org/officeDocument/2006/relationships/hyperlink" Target="https://fbref.com/en/players/6bde367b/Teji-Savanier" TargetMode="External"/><Relationship Id="rId350" Type="http://schemas.openxmlformats.org/officeDocument/2006/relationships/hyperlink" Target="https://fbref.com/en/players/2054d037/MBaye-Niang" TargetMode="External"/><Relationship Id="rId588" Type="http://schemas.openxmlformats.org/officeDocument/2006/relationships/hyperlink" Target="https://fbref.com/en/players/f00de885/Anthony-Lopes" TargetMode="External"/><Relationship Id="rId9" Type="http://schemas.openxmlformats.org/officeDocument/2006/relationships/hyperlink" Target="https://fbref.com/en/players/ff74841d/Philipp-Kohn" TargetMode="External"/><Relationship Id="rId210" Type="http://schemas.openxmlformats.org/officeDocument/2006/relationships/hyperlink" Target="https://fbref.com/en/players/4e7db402/Alban-Lafont" TargetMode="External"/><Relationship Id="rId448" Type="http://schemas.openxmlformats.org/officeDocument/2006/relationships/hyperlink" Target="https://fbref.com/en/squads/3f8c4b5f/2018-2019/Toulouse-Stats" TargetMode="External"/><Relationship Id="rId294" Type="http://schemas.openxmlformats.org/officeDocument/2006/relationships/hyperlink" Target="https://fbref.com/en/players/f00de885/Anthony-Lopes" TargetMode="External"/><Relationship Id="rId308" Type="http://schemas.openxmlformats.org/officeDocument/2006/relationships/hyperlink" Target="https://fbref.com/en/players/aad56ca3/Amine-Gouiri" TargetMode="External"/><Relationship Id="rId515" Type="http://schemas.openxmlformats.org/officeDocument/2006/relationships/hyperlink" Target="https://fbref.com/en/players/c5a500ca/Max-Grade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59fea27/James-Trafford" TargetMode="External"/><Relationship Id="rId21" Type="http://schemas.openxmlformats.org/officeDocument/2006/relationships/hyperlink" Target="https://fbref.com/en/players/834b5c4c/Matz-Sels" TargetMode="External"/><Relationship Id="rId324" Type="http://schemas.openxmlformats.org/officeDocument/2006/relationships/hyperlink" Target="https://fbref.com/en/players/2628fd2b/Bernd-Leno" TargetMode="External"/><Relationship Id="rId531" Type="http://schemas.openxmlformats.org/officeDocument/2006/relationships/hyperlink" Target="https://fbref.com/en/players/d596e193/Heurelho-Gomes" TargetMode="External"/><Relationship Id="rId170" Type="http://schemas.openxmlformats.org/officeDocument/2006/relationships/hyperlink" Target="https://fbref.com/en/players/fc15fb84/Dwight-McNeil" TargetMode="External"/><Relationship Id="rId268" Type="http://schemas.openxmlformats.org/officeDocument/2006/relationships/hyperlink" Target="https://fbref.com/en/squads/d3fd31cc/2020-2021/Everton-Stats" TargetMode="External"/><Relationship Id="rId475" Type="http://schemas.openxmlformats.org/officeDocument/2006/relationships/hyperlink" Target="https://fbref.com/en/squads/17892952/2017-2018/Stoke-City-Stats" TargetMode="External"/><Relationship Id="rId32" Type="http://schemas.openxmlformats.org/officeDocument/2006/relationships/hyperlink" Target="https://fbref.com/en/players/b561db50/Raul-Jimenez" TargetMode="External"/><Relationship Id="rId128" Type="http://schemas.openxmlformats.org/officeDocument/2006/relationships/hyperlink" Target="https://fbref.com/en/players/a1d5bd30/Marcus-Rashford" TargetMode="External"/><Relationship Id="rId335" Type="http://schemas.openxmlformats.org/officeDocument/2006/relationships/hyperlink" Target="https://fbref.com/en/players/59e6e5bf/Dominic-Calvert-Lewin" TargetMode="External"/><Relationship Id="rId542" Type="http://schemas.openxmlformats.org/officeDocument/2006/relationships/hyperlink" Target="https://fbref.com/en/players/45963054/Jamie-Vardy" TargetMode="External"/><Relationship Id="rId181" Type="http://schemas.openxmlformats.org/officeDocument/2006/relationships/hyperlink" Target="https://fbref.com/en/squads/b8fd03ef/2021-2022/Manchester-City-Stats" TargetMode="External"/><Relationship Id="rId402" Type="http://schemas.openxmlformats.org/officeDocument/2006/relationships/hyperlink" Target="https://fbref.com/en/players/7b4de647/Asmir-Begovic" TargetMode="External"/><Relationship Id="rId279" Type="http://schemas.openxmlformats.org/officeDocument/2006/relationships/hyperlink" Target="https://fbref.com/en/players/79b0d6a0/Rui-Patricio" TargetMode="External"/><Relationship Id="rId486" Type="http://schemas.openxmlformats.org/officeDocument/2006/relationships/hyperlink" Target="https://fbref.com/en/players/8f62b6ee/Hugo-Lloris" TargetMode="External"/><Relationship Id="rId43" Type="http://schemas.openxmlformats.org/officeDocument/2006/relationships/hyperlink" Target="https://fbref.com/en/squads/19538871/2024-2025/Manchester-United-Stats" TargetMode="External"/><Relationship Id="rId139" Type="http://schemas.openxmlformats.org/officeDocument/2006/relationships/hyperlink" Target="https://fbref.com/en/squads/8602292d/2022-2023/Aston-Villa-Stats" TargetMode="External"/><Relationship Id="rId346" Type="http://schemas.openxmlformats.org/officeDocument/2006/relationships/hyperlink" Target="https://fbref.com/en/squads/7c21e445/2019-2020/West-Ham-United-Stats" TargetMode="External"/><Relationship Id="rId553" Type="http://schemas.openxmlformats.org/officeDocument/2006/relationships/hyperlink" Target="https://fbref.com/en/squads/19538871/2015-2016/Manchester-United-Stats" TargetMode="External"/><Relationship Id="rId192" Type="http://schemas.openxmlformats.org/officeDocument/2006/relationships/hyperlink" Target="https://fbref.com/en/players/8f62b6ee/Hugo-Lloris" TargetMode="External"/><Relationship Id="rId206" Type="http://schemas.openxmlformats.org/officeDocument/2006/relationships/hyperlink" Target="https://fbref.com/en/players/38ceb24a/Leandro-Trossard" TargetMode="External"/><Relationship Id="rId413" Type="http://schemas.openxmlformats.org/officeDocument/2006/relationships/hyperlink" Target="https://fbref.com/en/players/0f7533cd/Bobby-De-Cordova-Reid" TargetMode="External"/><Relationship Id="rId497" Type="http://schemas.openxmlformats.org/officeDocument/2006/relationships/hyperlink" Target="https://fbref.com/en/players/4cde5509/Zlatan-Ibrahimovic" TargetMode="External"/><Relationship Id="rId357" Type="http://schemas.openxmlformats.org/officeDocument/2006/relationships/hyperlink" Target="https://fbref.com/en/players/d0b3ceb9/Ben-Foster" TargetMode="External"/><Relationship Id="rId54" Type="http://schemas.openxmlformats.org/officeDocument/2006/relationships/hyperlink" Target="https://fbref.com/en/players/c924b17d/Mads-Hermansen" TargetMode="External"/><Relationship Id="rId217" Type="http://schemas.openxmlformats.org/officeDocument/2006/relationships/hyperlink" Target="https://fbref.com/en/squads/cd051869/2021-2022/Brentford-Stats" TargetMode="External"/><Relationship Id="rId564" Type="http://schemas.openxmlformats.org/officeDocument/2006/relationships/hyperlink" Target="https://fbref.com/en/players/d436eb94/Simon-Mignolet" TargetMode="External"/><Relationship Id="rId424" Type="http://schemas.openxmlformats.org/officeDocument/2006/relationships/hyperlink" Target="https://fbref.com/en/squads/19538871/2017-2018/Manchester-United-Stats" TargetMode="External"/><Relationship Id="rId270" Type="http://schemas.openxmlformats.org/officeDocument/2006/relationships/hyperlink" Target="https://fbref.com/en/players/4806ec67/Jordan-Pickford" TargetMode="External"/><Relationship Id="rId65" Type="http://schemas.openxmlformats.org/officeDocument/2006/relationships/hyperlink" Target="https://fbref.com/en/players/bc7dc64d/Bukayo-Saka" TargetMode="External"/><Relationship Id="rId130" Type="http://schemas.openxmlformats.org/officeDocument/2006/relationships/hyperlink" Target="https://fbref.com/en/squads/b2b47a98/2022-2023/Newcastle-United-Stats" TargetMode="External"/><Relationship Id="rId368" Type="http://schemas.openxmlformats.org/officeDocument/2006/relationships/hyperlink" Target="https://fbref.com/en/players/a39bb753/Eden-Hazard" TargetMode="External"/><Relationship Id="rId575" Type="http://schemas.openxmlformats.org/officeDocument/2006/relationships/hyperlink" Target="https://fbref.com/en/players/5dbefa9d/Andre-Ayew" TargetMode="External"/><Relationship Id="rId228" Type="http://schemas.openxmlformats.org/officeDocument/2006/relationships/hyperlink" Target="https://fbref.com/en/players/4806ec67/Jordan-Pickford" TargetMode="External"/><Relationship Id="rId435" Type="http://schemas.openxmlformats.org/officeDocument/2006/relationships/hyperlink" Target="https://fbref.com/en/players/1840e36d/Thibaut-Courtois" TargetMode="External"/><Relationship Id="rId281" Type="http://schemas.openxmlformats.org/officeDocument/2006/relationships/hyperlink" Target="https://fbref.com/en/players/b2bc3b1f/Wilfried-Zaha" TargetMode="External"/><Relationship Id="rId502" Type="http://schemas.openxmlformats.org/officeDocument/2006/relationships/hyperlink" Target="https://fbref.com/en/squads/33c895d4/2016-2017/Southampton-Stats" TargetMode="External"/><Relationship Id="rId76" Type="http://schemas.openxmlformats.org/officeDocument/2006/relationships/hyperlink" Target="https://fbref.com/en/squads/cff3d9bb/2023-2024/Chelsea-Stats" TargetMode="External"/><Relationship Id="rId141" Type="http://schemas.openxmlformats.org/officeDocument/2006/relationships/hyperlink" Target="https://fbref.com/en/players/7956236f/Emiliano-Martinez" TargetMode="External"/><Relationship Id="rId379" Type="http://schemas.openxmlformats.org/officeDocument/2006/relationships/hyperlink" Target="https://fbref.com/en/squads/8cec06e1/2018-2019/Wolverhampton-Wanderers-Stats" TargetMode="External"/><Relationship Id="rId586" Type="http://schemas.openxmlformats.org/officeDocument/2006/relationships/hyperlink" Target="https://fbref.com/en/squads/4ba7cbea/2015-2016/Bournemouth-Stats" TargetMode="External"/><Relationship Id="rId7" Type="http://schemas.openxmlformats.org/officeDocument/2006/relationships/hyperlink" Target="https://fbref.com/en/squads/b8fd03ef/2024-2025/Manchester-City-Stats" TargetMode="External"/><Relationship Id="rId239" Type="http://schemas.openxmlformats.org/officeDocument/2006/relationships/hyperlink" Target="https://fbref.com/en/players/0745b37d/Teemu-Pukki" TargetMode="External"/><Relationship Id="rId446" Type="http://schemas.openxmlformats.org/officeDocument/2006/relationships/hyperlink" Target="https://fbref.com/en/players/45963054/Jamie-Vardy" TargetMode="External"/><Relationship Id="rId292" Type="http://schemas.openxmlformats.org/officeDocument/2006/relationships/hyperlink" Target="https://fbref.com/en/squads/fd962109/2020-2021/Fulham-Stats" TargetMode="External"/><Relationship Id="rId306" Type="http://schemas.openxmlformats.org/officeDocument/2006/relationships/hyperlink" Target="https://fbref.com/en/players/3bb7b8b4/Ederson" TargetMode="External"/><Relationship Id="rId87" Type="http://schemas.openxmlformats.org/officeDocument/2006/relationships/hyperlink" Target="https://fbref.com/en/players/2f965a72/Alphonse-Areola" TargetMode="External"/><Relationship Id="rId513" Type="http://schemas.openxmlformats.org/officeDocument/2006/relationships/hyperlink" Target="https://fbref.com/en/players/6385ebfb/Darren-Randolph" TargetMode="External"/><Relationship Id="rId597" Type="http://schemas.openxmlformats.org/officeDocument/2006/relationships/hyperlink" Target="https://fbref.com/en/players/da8b19e2/John-Ruddy" TargetMode="External"/><Relationship Id="rId152" Type="http://schemas.openxmlformats.org/officeDocument/2006/relationships/hyperlink" Target="https://fbref.com/en/players/ae4fc6a4/Eberechi-Eze" TargetMode="External"/><Relationship Id="rId457" Type="http://schemas.openxmlformats.org/officeDocument/2006/relationships/hyperlink" Target="https://fbref.com/en/squads/7c21e445/2017-2018/West-Ham-United-Stats" TargetMode="External"/><Relationship Id="rId261" Type="http://schemas.openxmlformats.org/officeDocument/2006/relationships/hyperlink" Target="https://fbref.com/en/players/8f62b6ee/Hugo-Lloris" TargetMode="External"/><Relationship Id="rId499" Type="http://schemas.openxmlformats.org/officeDocument/2006/relationships/hyperlink" Target="https://fbref.com/en/squads/d3fd31cc/2016-2017/Everton-Stats" TargetMode="External"/><Relationship Id="rId14" Type="http://schemas.openxmlformats.org/officeDocument/2006/relationships/hyperlink" Target="https://fbref.com/en/players/8e92be30/Alexander-Isak" TargetMode="External"/><Relationship Id="rId56" Type="http://schemas.openxmlformats.org/officeDocument/2006/relationships/hyperlink" Target="https://fbref.com/en/players/dd897ee7/Liam-Delap" TargetMode="External"/><Relationship Id="rId317" Type="http://schemas.openxmlformats.org/officeDocument/2006/relationships/hyperlink" Target="https://fbref.com/en/players/21a66f6a/Harry-Kane" TargetMode="External"/><Relationship Id="rId359" Type="http://schemas.openxmlformats.org/officeDocument/2006/relationships/hyperlink" Target="https://fbref.com/en/players/0745b37d/Teemu-Pukki" TargetMode="External"/><Relationship Id="rId524" Type="http://schemas.openxmlformats.org/officeDocument/2006/relationships/hyperlink" Target="https://fbref.com/en/players/82dbf623/Fernando-Llorente" TargetMode="External"/><Relationship Id="rId566" Type="http://schemas.openxmlformats.org/officeDocument/2006/relationships/hyperlink" Target="https://fbref.com/en/players/00459419/Marko-Arnautovic" TargetMode="External"/><Relationship Id="rId98" Type="http://schemas.openxmlformats.org/officeDocument/2006/relationships/hyperlink" Target="https://fbref.com/en/players/a755db8c/Rodrigo-Muniz" TargetMode="External"/><Relationship Id="rId121" Type="http://schemas.openxmlformats.org/officeDocument/2006/relationships/hyperlink" Target="https://fbref.com/en/squads/b8fd03ef/2022-2023/Manchester-City-Stats" TargetMode="External"/><Relationship Id="rId163" Type="http://schemas.openxmlformats.org/officeDocument/2006/relationships/hyperlink" Target="https://fbref.com/en/squads/4ba7cbea/2022-2023/Bournemouth-Stats" TargetMode="External"/><Relationship Id="rId219" Type="http://schemas.openxmlformats.org/officeDocument/2006/relationships/hyperlink" Target="https://fbref.com/en/players/98ea5115/David-Raya" TargetMode="External"/><Relationship Id="rId370" Type="http://schemas.openxmlformats.org/officeDocument/2006/relationships/hyperlink" Target="https://fbref.com/en/squads/361ca564/2018-2019/Tottenham-Hotspur-Stats" TargetMode="External"/><Relationship Id="rId426" Type="http://schemas.openxmlformats.org/officeDocument/2006/relationships/hyperlink" Target="https://fbref.com/en/players/7ba6d84e/David-de-Gea" TargetMode="External"/><Relationship Id="rId230" Type="http://schemas.openxmlformats.org/officeDocument/2006/relationships/hyperlink" Target="https://fbref.com/en/players/3423f250/Raphinha" TargetMode="External"/><Relationship Id="rId468" Type="http://schemas.openxmlformats.org/officeDocument/2006/relationships/hyperlink" Target="https://fbref.com/en/players/939bc634/Jonas-Lossl" TargetMode="External"/><Relationship Id="rId25" Type="http://schemas.openxmlformats.org/officeDocument/2006/relationships/hyperlink" Target="https://fbref.com/en/squads/4ba7cbea/2024-2025/Bournemouth-Stats" TargetMode="External"/><Relationship Id="rId67" Type="http://schemas.openxmlformats.org/officeDocument/2006/relationships/hyperlink" Target="https://fbref.com/en/squads/822bd0ba/2023-2024/Liverpool-Stats" TargetMode="External"/><Relationship Id="rId272" Type="http://schemas.openxmlformats.org/officeDocument/2006/relationships/hyperlink" Target="https://fbref.com/en/players/aed3a70f/Ollie-Watkins" TargetMode="External"/><Relationship Id="rId328" Type="http://schemas.openxmlformats.org/officeDocument/2006/relationships/hyperlink" Target="https://fbref.com/en/squads/943e8050/2019-2020/Burnley-Stats" TargetMode="External"/><Relationship Id="rId535" Type="http://schemas.openxmlformats.org/officeDocument/2006/relationships/hyperlink" Target="https://fbref.com/en/squads/7f59c601/2016-2017/Middlesbrough-Stats" TargetMode="External"/><Relationship Id="rId577" Type="http://schemas.openxmlformats.org/officeDocument/2006/relationships/hyperlink" Target="https://fbref.com/en/squads/2abfe087/2015-2016/Watford-Stats" TargetMode="External"/><Relationship Id="rId132" Type="http://schemas.openxmlformats.org/officeDocument/2006/relationships/hyperlink" Target="https://fbref.com/en/players/4b40d9ca/Nick-Pope" TargetMode="External"/><Relationship Id="rId174" Type="http://schemas.openxmlformats.org/officeDocument/2006/relationships/hyperlink" Target="https://fbref.com/en/players/d3ce0e89/Danny-Ward" TargetMode="External"/><Relationship Id="rId381" Type="http://schemas.openxmlformats.org/officeDocument/2006/relationships/hyperlink" Target="https://fbref.com/en/players/79b0d6a0/Rui-Patricio" TargetMode="External"/><Relationship Id="rId241" Type="http://schemas.openxmlformats.org/officeDocument/2006/relationships/hyperlink" Target="https://fbref.com/en/squads/b8fd03ef/2020-2021/Manchester-City-Stats" TargetMode="External"/><Relationship Id="rId437" Type="http://schemas.openxmlformats.org/officeDocument/2006/relationships/hyperlink" Target="https://fbref.com/en/players/9dbb75ca/Alexandre-Lacazette" TargetMode="External"/><Relationship Id="rId479" Type="http://schemas.openxmlformats.org/officeDocument/2006/relationships/hyperlink" Target="https://fbref.com/en/players/4ab53cdb/Jay-Rodriguez" TargetMode="External"/><Relationship Id="rId36" Type="http://schemas.openxmlformats.org/officeDocument/2006/relationships/hyperlink" Target="https://fbref.com/en/players/e5a76dfe/Dean-Henderson" TargetMode="External"/><Relationship Id="rId283" Type="http://schemas.openxmlformats.org/officeDocument/2006/relationships/hyperlink" Target="https://fbref.com/en/squads/33c895d4/2020-2021/Southampton-Stats" TargetMode="External"/><Relationship Id="rId339" Type="http://schemas.openxmlformats.org/officeDocument/2006/relationships/hyperlink" Target="https://fbref.com/en/players/3a949a25/Martin-Dubravka" TargetMode="External"/><Relationship Id="rId490" Type="http://schemas.openxmlformats.org/officeDocument/2006/relationships/hyperlink" Target="https://fbref.com/en/squads/822bd0ba/2016-2017/Liverpool-Stats" TargetMode="External"/><Relationship Id="rId504" Type="http://schemas.openxmlformats.org/officeDocument/2006/relationships/hyperlink" Target="https://fbref.com/en/players/c3e39f12/Fraser-Forster" TargetMode="External"/><Relationship Id="rId546" Type="http://schemas.openxmlformats.org/officeDocument/2006/relationships/hyperlink" Target="https://fbref.com/en/players/71672fa0/Petr-Cech" TargetMode="External"/><Relationship Id="rId78" Type="http://schemas.openxmlformats.org/officeDocument/2006/relationships/hyperlink" Target="https://fbref.com/en/players/0cf321c8/Djordje-Petrovic" TargetMode="External"/><Relationship Id="rId101" Type="http://schemas.openxmlformats.org/officeDocument/2006/relationships/hyperlink" Target="https://fbref.com/en/players/169fd162/Hwang-Hee-chan" TargetMode="External"/><Relationship Id="rId143" Type="http://schemas.openxmlformats.org/officeDocument/2006/relationships/hyperlink" Target="https://fbref.com/en/players/21a66f6a/Harry-Kane" TargetMode="External"/><Relationship Id="rId185" Type="http://schemas.openxmlformats.org/officeDocument/2006/relationships/hyperlink" Target="https://fbref.com/en/players/e342ad68/Mohamed-Salah" TargetMode="External"/><Relationship Id="rId350" Type="http://schemas.openxmlformats.org/officeDocument/2006/relationships/hyperlink" Target="https://fbref.com/en/players/b0b4fd3e/Jack-Grealish" TargetMode="External"/><Relationship Id="rId406" Type="http://schemas.openxmlformats.org/officeDocument/2006/relationships/hyperlink" Target="https://fbref.com/en/squads/33c895d4/2018-2019/Southampton-Stats" TargetMode="External"/><Relationship Id="rId588" Type="http://schemas.openxmlformats.org/officeDocument/2006/relationships/hyperlink" Target="https://fbref.com/en/players/34ccf6fa/Artur-Boruc" TargetMode="External"/><Relationship Id="rId9" Type="http://schemas.openxmlformats.org/officeDocument/2006/relationships/hyperlink" Target="https://fbref.com/en/players/3bb7b8b4/Ederson" TargetMode="External"/><Relationship Id="rId210" Type="http://schemas.openxmlformats.org/officeDocument/2006/relationships/hyperlink" Target="https://fbref.com/en/players/903b6e8b/Jose-Sa" TargetMode="External"/><Relationship Id="rId392" Type="http://schemas.openxmlformats.org/officeDocument/2006/relationships/hyperlink" Target="https://fbref.com/en/players/39583cfd/Gerard-Deulofeu" TargetMode="External"/><Relationship Id="rId448" Type="http://schemas.openxmlformats.org/officeDocument/2006/relationships/hyperlink" Target="https://fbref.com/en/squads/b2b47a98/2017-2018/Newcastle-United-Stats" TargetMode="External"/><Relationship Id="rId252" Type="http://schemas.openxmlformats.org/officeDocument/2006/relationships/hyperlink" Target="https://fbref.com/en/players/33887998/Edouard-Mendy" TargetMode="External"/><Relationship Id="rId294" Type="http://schemas.openxmlformats.org/officeDocument/2006/relationships/hyperlink" Target="https://fbref.com/en/players/2f965a72/Alphonse-Areola" TargetMode="External"/><Relationship Id="rId308" Type="http://schemas.openxmlformats.org/officeDocument/2006/relationships/hyperlink" Target="https://fbref.com/en/players/8b788c01/Anthony-Martial" TargetMode="External"/><Relationship Id="rId515" Type="http://schemas.openxmlformats.org/officeDocument/2006/relationships/hyperlink" Target="https://fbref.com/en/players/45963054/Jamie-Vardy" TargetMode="External"/><Relationship Id="rId47" Type="http://schemas.openxmlformats.org/officeDocument/2006/relationships/hyperlink" Target="https://fbref.com/en/players/dc62b55d/Matheus-Cunha" TargetMode="External"/><Relationship Id="rId89" Type="http://schemas.openxmlformats.org/officeDocument/2006/relationships/hyperlink" Target="https://fbref.com/en/players/50e6dc35/Jean-Philippe-Mateta" TargetMode="External"/><Relationship Id="rId112" Type="http://schemas.openxmlformats.org/officeDocument/2006/relationships/hyperlink" Target="https://fbref.com/en/squads/e297cd13/2023-2024/Luton-Town-Stats" TargetMode="External"/><Relationship Id="rId154" Type="http://schemas.openxmlformats.org/officeDocument/2006/relationships/hyperlink" Target="https://fbref.com/en/squads/cff3d9bb/2022-2023/Chelsea-Stats" TargetMode="External"/><Relationship Id="rId361" Type="http://schemas.openxmlformats.org/officeDocument/2006/relationships/hyperlink" Target="https://fbref.com/en/squads/b8fd03ef/2018-2019/Manchester-City-Stats" TargetMode="External"/><Relationship Id="rId557" Type="http://schemas.openxmlformats.org/officeDocument/2006/relationships/hyperlink" Target="https://fbref.com/en/players/c691bfe2/Sadio-Mane" TargetMode="External"/><Relationship Id="rId599" Type="http://schemas.openxmlformats.org/officeDocument/2006/relationships/hyperlink" Target="https://fbref.com/en/players/da052c14/Jordan-Ayew" TargetMode="External"/><Relationship Id="rId196" Type="http://schemas.openxmlformats.org/officeDocument/2006/relationships/hyperlink" Target="https://fbref.com/en/squads/19538871/2021-2022/Manchester-United-Stats" TargetMode="External"/><Relationship Id="rId417" Type="http://schemas.openxmlformats.org/officeDocument/2006/relationships/hyperlink" Target="https://fbref.com/en/players/5f0241b2/Sergio-Rico" TargetMode="External"/><Relationship Id="rId459" Type="http://schemas.openxmlformats.org/officeDocument/2006/relationships/hyperlink" Target="https://fbref.com/en/players/cb4f24c6/Joe-Hart" TargetMode="External"/><Relationship Id="rId16" Type="http://schemas.openxmlformats.org/officeDocument/2006/relationships/hyperlink" Target="https://fbref.com/en/squads/8602292d/2024-2025/Aston-Villa-Stats" TargetMode="External"/><Relationship Id="rId221" Type="http://schemas.openxmlformats.org/officeDocument/2006/relationships/hyperlink" Target="https://fbref.com/en/players/aed3a70f/Ollie-Watkins" TargetMode="External"/><Relationship Id="rId263" Type="http://schemas.openxmlformats.org/officeDocument/2006/relationships/hyperlink" Target="https://fbref.com/en/players/9dbb75ca/Alexandre-Lacazette" TargetMode="External"/><Relationship Id="rId319" Type="http://schemas.openxmlformats.org/officeDocument/2006/relationships/hyperlink" Target="https://fbref.com/en/squads/8cec06e1/2019-2020/Wolverhampton-Wanderers-Stats" TargetMode="External"/><Relationship Id="rId470" Type="http://schemas.openxmlformats.org/officeDocument/2006/relationships/hyperlink" Target="https://fbref.com/en/players/8d228291/Charlie-Austin" TargetMode="External"/><Relationship Id="rId526" Type="http://schemas.openxmlformats.org/officeDocument/2006/relationships/hyperlink" Target="https://fbref.com/en/squads/943e8050/2016-2017/Burnley-Stats" TargetMode="External"/><Relationship Id="rId58" Type="http://schemas.openxmlformats.org/officeDocument/2006/relationships/hyperlink" Target="https://fbref.com/en/squads/33c895d4/2024-2025/Southampton-Stats" TargetMode="External"/><Relationship Id="rId123" Type="http://schemas.openxmlformats.org/officeDocument/2006/relationships/hyperlink" Target="https://fbref.com/en/players/3bb7b8b4/Ederson" TargetMode="External"/><Relationship Id="rId330" Type="http://schemas.openxmlformats.org/officeDocument/2006/relationships/hyperlink" Target="https://fbref.com/en/players/4b40d9ca/Nick-Pope" TargetMode="External"/><Relationship Id="rId568" Type="http://schemas.openxmlformats.org/officeDocument/2006/relationships/hyperlink" Target="https://fbref.com/en/squads/cff3d9bb/2015-2016/Chelsea-Stats" TargetMode="External"/><Relationship Id="rId165" Type="http://schemas.openxmlformats.org/officeDocument/2006/relationships/hyperlink" Target="https://fbref.com/en/players/a9dc785c/Neto" TargetMode="External"/><Relationship Id="rId372" Type="http://schemas.openxmlformats.org/officeDocument/2006/relationships/hyperlink" Target="https://fbref.com/en/players/8f62b6ee/Hugo-Lloris" TargetMode="External"/><Relationship Id="rId428" Type="http://schemas.openxmlformats.org/officeDocument/2006/relationships/hyperlink" Target="https://fbref.com/en/players/21a66f6a/Harry-Kane" TargetMode="External"/><Relationship Id="rId232" Type="http://schemas.openxmlformats.org/officeDocument/2006/relationships/hyperlink" Target="https://fbref.com/en/squads/943e8050/2021-2022/Burnley-Stats" TargetMode="External"/><Relationship Id="rId274" Type="http://schemas.openxmlformats.org/officeDocument/2006/relationships/hyperlink" Target="https://fbref.com/en/squads/b2b47a98/2020-2021/Newcastle-United-Stats" TargetMode="External"/><Relationship Id="rId481" Type="http://schemas.openxmlformats.org/officeDocument/2006/relationships/hyperlink" Target="https://fbref.com/en/squads/cff3d9bb/2016-2017/Chelsea-Stats" TargetMode="External"/><Relationship Id="rId27" Type="http://schemas.openxmlformats.org/officeDocument/2006/relationships/hyperlink" Target="https://fbref.com/en/players/28d596a0/Kepa-Arrizabalaga" TargetMode="External"/><Relationship Id="rId69" Type="http://schemas.openxmlformats.org/officeDocument/2006/relationships/hyperlink" Target="https://fbref.com/en/players/7a2e46a8/Alisson" TargetMode="External"/><Relationship Id="rId134" Type="http://schemas.openxmlformats.org/officeDocument/2006/relationships/hyperlink" Target="https://fbref.com/en/players/e342ad68/Mohamed-Salah" TargetMode="External"/><Relationship Id="rId537" Type="http://schemas.openxmlformats.org/officeDocument/2006/relationships/hyperlink" Target="https://fbref.com/en/players/e029e404/Victor-Valdes" TargetMode="External"/><Relationship Id="rId579" Type="http://schemas.openxmlformats.org/officeDocument/2006/relationships/hyperlink" Target="https://fbref.com/en/players/d596e193/Heurelho-Gomes" TargetMode="External"/><Relationship Id="rId80" Type="http://schemas.openxmlformats.org/officeDocument/2006/relationships/hyperlink" Target="https://fbref.com/en/players/8e92be30/Alexander-Isak" TargetMode="External"/><Relationship Id="rId176" Type="http://schemas.openxmlformats.org/officeDocument/2006/relationships/hyperlink" Target="https://fbref.com/en/players/1fb1c435/Rodrigo" TargetMode="External"/><Relationship Id="rId341" Type="http://schemas.openxmlformats.org/officeDocument/2006/relationships/hyperlink" Target="https://fbref.com/en/players/da052c14/Jordan-Ayew" TargetMode="External"/><Relationship Id="rId383" Type="http://schemas.openxmlformats.org/officeDocument/2006/relationships/hyperlink" Target="https://fbref.com/en/players/76dd1480/Gylfi-Sigurdsson" TargetMode="External"/><Relationship Id="rId439" Type="http://schemas.openxmlformats.org/officeDocument/2006/relationships/hyperlink" Target="https://fbref.com/en/squads/943e8050/2017-2018/Burnley-Stats" TargetMode="External"/><Relationship Id="rId590" Type="http://schemas.openxmlformats.org/officeDocument/2006/relationships/hyperlink" Target="https://fbref.com/en/players/f1e8372d/Jermain-Defoe" TargetMode="External"/><Relationship Id="rId201" Type="http://schemas.openxmlformats.org/officeDocument/2006/relationships/hyperlink" Target="https://fbref.com/en/players/9328b835/Lukasz-Fabianski" TargetMode="External"/><Relationship Id="rId243" Type="http://schemas.openxmlformats.org/officeDocument/2006/relationships/hyperlink" Target="https://fbref.com/en/players/3bb7b8b4/Ederson" TargetMode="External"/><Relationship Id="rId285" Type="http://schemas.openxmlformats.org/officeDocument/2006/relationships/hyperlink" Target="https://fbref.com/en/players/36c2ca73/Alex-McCarthy" TargetMode="External"/><Relationship Id="rId450" Type="http://schemas.openxmlformats.org/officeDocument/2006/relationships/hyperlink" Target="https://fbref.com/en/players/b1b25949/Rob-Elliot" TargetMode="External"/><Relationship Id="rId506" Type="http://schemas.openxmlformats.org/officeDocument/2006/relationships/hyperlink" Target="https://fbref.com/en/players/43458538/Joshua-King" TargetMode="External"/><Relationship Id="rId38" Type="http://schemas.openxmlformats.org/officeDocument/2006/relationships/hyperlink" Target="https://fbref.com/en/players/5ed97752/Iliman-Ndiaye" TargetMode="External"/><Relationship Id="rId103" Type="http://schemas.openxmlformats.org/officeDocument/2006/relationships/hyperlink" Target="https://fbref.com/en/squads/d3fd31cc/2023-2024/Everton-Stats" TargetMode="External"/><Relationship Id="rId310" Type="http://schemas.openxmlformats.org/officeDocument/2006/relationships/hyperlink" Target="https://fbref.com/en/squads/cff3d9bb/2019-2020/Chelsea-Stats" TargetMode="External"/><Relationship Id="rId492" Type="http://schemas.openxmlformats.org/officeDocument/2006/relationships/hyperlink" Target="https://fbref.com/en/players/d436eb94/Simon-Mignolet" TargetMode="External"/><Relationship Id="rId548" Type="http://schemas.openxmlformats.org/officeDocument/2006/relationships/hyperlink" Target="https://fbref.com/en/players/21a66f6a/Harry-Kane" TargetMode="External"/><Relationship Id="rId91" Type="http://schemas.openxmlformats.org/officeDocument/2006/relationships/hyperlink" Target="https://fbref.com/en/squads/d07537b9/2023-2024/Brighton-and-Hove-Albion-Stats" TargetMode="External"/><Relationship Id="rId145" Type="http://schemas.openxmlformats.org/officeDocument/2006/relationships/hyperlink" Target="https://fbref.com/en/squads/cd051869/2022-2023/Brentford-Stats" TargetMode="External"/><Relationship Id="rId187" Type="http://schemas.openxmlformats.org/officeDocument/2006/relationships/hyperlink" Target="https://fbref.com/en/squads/cff3d9bb/2021-2022/Chelsea-Stats" TargetMode="External"/><Relationship Id="rId352" Type="http://schemas.openxmlformats.org/officeDocument/2006/relationships/hyperlink" Target="https://fbref.com/en/squads/4ba7cbea/2019-2020/Bournemouth-Stats" TargetMode="External"/><Relationship Id="rId394" Type="http://schemas.openxmlformats.org/officeDocument/2006/relationships/hyperlink" Target="https://fbref.com/en/squads/47c64c55/2018-2019/Crystal-Palace-Stats" TargetMode="External"/><Relationship Id="rId408" Type="http://schemas.openxmlformats.org/officeDocument/2006/relationships/hyperlink" Target="https://fbref.com/en/players/36c2ca73/Alex-McCarthy" TargetMode="External"/><Relationship Id="rId212" Type="http://schemas.openxmlformats.org/officeDocument/2006/relationships/hyperlink" Target="https://fbref.com/en/players/c596fcb0/Callum-Wilson" TargetMode="External"/><Relationship Id="rId254" Type="http://schemas.openxmlformats.org/officeDocument/2006/relationships/hyperlink" Target="https://fbref.com/en/players/45963054/Jamie-Vardy" TargetMode="External"/><Relationship Id="rId49" Type="http://schemas.openxmlformats.org/officeDocument/2006/relationships/hyperlink" Target="https://fbref.com/en/squads/361ca564/2024-2025/Tottenham-Hotspur-Stats" TargetMode="External"/><Relationship Id="rId114" Type="http://schemas.openxmlformats.org/officeDocument/2006/relationships/hyperlink" Target="https://fbref.com/en/players/1caa93a5/Thomas-Kaminski" TargetMode="External"/><Relationship Id="rId296" Type="http://schemas.openxmlformats.org/officeDocument/2006/relationships/hyperlink" Target="https://fbref.com/en/players/b04ee927/Matheus-Pereira" TargetMode="External"/><Relationship Id="rId461" Type="http://schemas.openxmlformats.org/officeDocument/2006/relationships/hyperlink" Target="https://fbref.com/en/players/02b29014/Abdoulaye-Doucoure" TargetMode="External"/><Relationship Id="rId517" Type="http://schemas.openxmlformats.org/officeDocument/2006/relationships/hyperlink" Target="https://fbref.com/en/squads/17892952/2016-2017/Stoke-City-Stats" TargetMode="External"/><Relationship Id="rId559" Type="http://schemas.openxmlformats.org/officeDocument/2006/relationships/hyperlink" Target="https://fbref.com/en/squads/7c21e445/2015-2016/West-Ham-United-Stats" TargetMode="External"/><Relationship Id="rId60" Type="http://schemas.openxmlformats.org/officeDocument/2006/relationships/hyperlink" Target="https://fbref.com/en/players/466fb2c5/Aaron-Ramsdale" TargetMode="External"/><Relationship Id="rId156" Type="http://schemas.openxmlformats.org/officeDocument/2006/relationships/hyperlink" Target="https://fbref.com/en/players/28d596a0/Kepa-Arrizabalaga" TargetMode="External"/><Relationship Id="rId198" Type="http://schemas.openxmlformats.org/officeDocument/2006/relationships/hyperlink" Target="https://fbref.com/en/players/7ba6d84e/David-de-Gea" TargetMode="External"/><Relationship Id="rId321" Type="http://schemas.openxmlformats.org/officeDocument/2006/relationships/hyperlink" Target="https://fbref.com/en/players/79b0d6a0/Rui-Patricio" TargetMode="External"/><Relationship Id="rId363" Type="http://schemas.openxmlformats.org/officeDocument/2006/relationships/hyperlink" Target="https://fbref.com/en/players/3bb7b8b4/Ederson" TargetMode="External"/><Relationship Id="rId419" Type="http://schemas.openxmlformats.org/officeDocument/2006/relationships/hyperlink" Target="https://fbref.com/en/players/87f7500e/Karlan-Grant" TargetMode="External"/><Relationship Id="rId570" Type="http://schemas.openxmlformats.org/officeDocument/2006/relationships/hyperlink" Target="https://fbref.com/en/players/1840e36d/Thibaut-Courtois" TargetMode="External"/><Relationship Id="rId223" Type="http://schemas.openxmlformats.org/officeDocument/2006/relationships/hyperlink" Target="https://fbref.com/en/squads/33c895d4/2021-2022/Southampton-Stats" TargetMode="External"/><Relationship Id="rId430" Type="http://schemas.openxmlformats.org/officeDocument/2006/relationships/hyperlink" Target="https://fbref.com/en/squads/822bd0ba/2017-2018/Liverpool-Stats" TargetMode="External"/><Relationship Id="rId18" Type="http://schemas.openxmlformats.org/officeDocument/2006/relationships/hyperlink" Target="https://fbref.com/en/players/7956236f/Emiliano-Martinez" TargetMode="External"/><Relationship Id="rId265" Type="http://schemas.openxmlformats.org/officeDocument/2006/relationships/hyperlink" Target="https://fbref.com/en/squads/5bfb9659/2020-2021/Leeds-United-Stats" TargetMode="External"/><Relationship Id="rId472" Type="http://schemas.openxmlformats.org/officeDocument/2006/relationships/hyperlink" Target="https://fbref.com/en/squads/fb10988f/2017-2018/Swansea-City-Stats" TargetMode="External"/><Relationship Id="rId528" Type="http://schemas.openxmlformats.org/officeDocument/2006/relationships/hyperlink" Target="https://fbref.com/en/players/a6de6361/Tom-Heaton" TargetMode="External"/><Relationship Id="rId125" Type="http://schemas.openxmlformats.org/officeDocument/2006/relationships/hyperlink" Target="https://fbref.com/en/players/79300479/Martin-Odegaard" TargetMode="External"/><Relationship Id="rId167" Type="http://schemas.openxmlformats.org/officeDocument/2006/relationships/hyperlink" Target="https://fbref.com/en/players/e5478b87/Taiwo-Awoniyi" TargetMode="External"/><Relationship Id="rId332" Type="http://schemas.openxmlformats.org/officeDocument/2006/relationships/hyperlink" Target="https://fbref.com/en/players/07802f7f/Danny-Ings" TargetMode="External"/><Relationship Id="rId374" Type="http://schemas.openxmlformats.org/officeDocument/2006/relationships/hyperlink" Target="https://fbref.com/en/players/d5dd5f1f/Pierre-Emerick-Aubameyang" TargetMode="External"/><Relationship Id="rId581" Type="http://schemas.openxmlformats.org/officeDocument/2006/relationships/hyperlink" Target="https://fbref.com/en/players/b318a643/Salomon-Rondon" TargetMode="External"/><Relationship Id="rId71" Type="http://schemas.openxmlformats.org/officeDocument/2006/relationships/hyperlink" Target="https://fbref.com/en/players/aed3a70f/Ollie-Watkins" TargetMode="External"/><Relationship Id="rId234" Type="http://schemas.openxmlformats.org/officeDocument/2006/relationships/hyperlink" Target="https://fbref.com/en/players/4b40d9ca/Nick-Pope" TargetMode="External"/><Relationship Id="rId2" Type="http://schemas.openxmlformats.org/officeDocument/2006/relationships/hyperlink" Target="https://fbref.com/en/players/e342ad68/Mohamed-Salah" TargetMode="External"/><Relationship Id="rId29" Type="http://schemas.openxmlformats.org/officeDocument/2006/relationships/hyperlink" Target="https://fbref.com/en/players/6afaebf2/Bryan-Mbeumo" TargetMode="External"/><Relationship Id="rId276" Type="http://schemas.openxmlformats.org/officeDocument/2006/relationships/hyperlink" Target="https://fbref.com/en/players/cde3309f/Karl-Darlow" TargetMode="External"/><Relationship Id="rId441" Type="http://schemas.openxmlformats.org/officeDocument/2006/relationships/hyperlink" Target="https://fbref.com/en/players/4b40d9ca/Nick-Pope" TargetMode="External"/><Relationship Id="rId483" Type="http://schemas.openxmlformats.org/officeDocument/2006/relationships/hyperlink" Target="https://fbref.com/en/players/1840e36d/Thibaut-Courtois" TargetMode="External"/><Relationship Id="rId539" Type="http://schemas.openxmlformats.org/officeDocument/2006/relationships/hyperlink" Target="https://fbref.com/en/players/f1e8372d/Jermain-Defoe" TargetMode="External"/><Relationship Id="rId40" Type="http://schemas.openxmlformats.org/officeDocument/2006/relationships/hyperlink" Target="https://fbref.com/en/squads/7c21e445/2024-2025/West-Ham-United-Stats" TargetMode="External"/><Relationship Id="rId136" Type="http://schemas.openxmlformats.org/officeDocument/2006/relationships/hyperlink" Target="https://fbref.com/en/squads/d07537b9/2022-2023/Brighton-and-Hove-Albion-Stats" TargetMode="External"/><Relationship Id="rId178" Type="http://schemas.openxmlformats.org/officeDocument/2006/relationships/hyperlink" Target="https://fbref.com/en/squads/33c895d4/2022-2023/Southampton-Stats" TargetMode="External"/><Relationship Id="rId301" Type="http://schemas.openxmlformats.org/officeDocument/2006/relationships/hyperlink" Target="https://fbref.com/en/squads/822bd0ba/2019-2020/Liverpool-Stats" TargetMode="External"/><Relationship Id="rId343" Type="http://schemas.openxmlformats.org/officeDocument/2006/relationships/hyperlink" Target="https://fbref.com/en/squads/d07537b9/2019-2020/Brighton-and-Hove-Albion-Stats" TargetMode="External"/><Relationship Id="rId550" Type="http://schemas.openxmlformats.org/officeDocument/2006/relationships/hyperlink" Target="https://fbref.com/en/squads/b8fd03ef/2015-2016/Manchester-City-Stats" TargetMode="External"/><Relationship Id="rId82" Type="http://schemas.openxmlformats.org/officeDocument/2006/relationships/hyperlink" Target="https://fbref.com/en/squads/19538871/2023-2024/Manchester-United-Stats" TargetMode="External"/><Relationship Id="rId203" Type="http://schemas.openxmlformats.org/officeDocument/2006/relationships/hyperlink" Target="https://fbref.com/en/players/45963054/Jamie-Vardy" TargetMode="External"/><Relationship Id="rId385" Type="http://schemas.openxmlformats.org/officeDocument/2006/relationships/hyperlink" Target="https://fbref.com/en/squads/a2d435b3/2018-2019/Leicester-City-Stats" TargetMode="External"/><Relationship Id="rId592" Type="http://schemas.openxmlformats.org/officeDocument/2006/relationships/hyperlink" Target="https://fbref.com/en/squads/b2b47a98/2015-2016/Newcastle-United-Stats" TargetMode="External"/><Relationship Id="rId245" Type="http://schemas.openxmlformats.org/officeDocument/2006/relationships/hyperlink" Target="https://fbref.com/en/players/507c7bdf/Bruno-Fernandes" TargetMode="External"/><Relationship Id="rId287" Type="http://schemas.openxmlformats.org/officeDocument/2006/relationships/hyperlink" Target="https://fbref.com/en/players/4bcf39f6/Neal-Maupay" TargetMode="External"/><Relationship Id="rId410" Type="http://schemas.openxmlformats.org/officeDocument/2006/relationships/hyperlink" Target="https://fbref.com/en/players/f2f29dda/Glenn-Murray" TargetMode="External"/><Relationship Id="rId452" Type="http://schemas.openxmlformats.org/officeDocument/2006/relationships/hyperlink" Target="https://fbref.com/en/players/2ce2508a/Luka-Milivojevic" TargetMode="External"/><Relationship Id="rId494" Type="http://schemas.openxmlformats.org/officeDocument/2006/relationships/hyperlink" Target="https://fbref.com/en/players/2c0f8e9e/Alexis-Sanchez" TargetMode="External"/><Relationship Id="rId508" Type="http://schemas.openxmlformats.org/officeDocument/2006/relationships/hyperlink" Target="https://fbref.com/en/squads/60c6b05f/2016-2017/West-Bromwich-Albion-Stats" TargetMode="External"/><Relationship Id="rId105" Type="http://schemas.openxmlformats.org/officeDocument/2006/relationships/hyperlink" Target="https://fbref.com/en/players/4806ec67/Jordan-Pickford" TargetMode="External"/><Relationship Id="rId147" Type="http://schemas.openxmlformats.org/officeDocument/2006/relationships/hyperlink" Target="https://fbref.com/en/players/98ea5115/David-Raya" TargetMode="External"/><Relationship Id="rId312" Type="http://schemas.openxmlformats.org/officeDocument/2006/relationships/hyperlink" Target="https://fbref.com/en/players/28d596a0/Kepa-Arrizabalaga" TargetMode="External"/><Relationship Id="rId354" Type="http://schemas.openxmlformats.org/officeDocument/2006/relationships/hyperlink" Target="https://fbref.com/en/players/466fb2c5/Aaron-Ramsdale" TargetMode="External"/><Relationship Id="rId51" Type="http://schemas.openxmlformats.org/officeDocument/2006/relationships/hyperlink" Target="https://fbref.com/en/players/77d6fd4d/Guglielmo-Vicario" TargetMode="External"/><Relationship Id="rId93" Type="http://schemas.openxmlformats.org/officeDocument/2006/relationships/hyperlink" Target="https://fbref.com/en/players/cf134113/Bart-Verbruggen" TargetMode="External"/><Relationship Id="rId189" Type="http://schemas.openxmlformats.org/officeDocument/2006/relationships/hyperlink" Target="https://fbref.com/en/players/33887998/Edouard-Mendy" TargetMode="External"/><Relationship Id="rId396" Type="http://schemas.openxmlformats.org/officeDocument/2006/relationships/hyperlink" Target="https://fbref.com/en/players/ab13a5aa/Vicente-Guaita" TargetMode="External"/><Relationship Id="rId561" Type="http://schemas.openxmlformats.org/officeDocument/2006/relationships/hyperlink" Target="https://fbref.com/en/players/f76e6b4e/Adrian" TargetMode="External"/><Relationship Id="rId214" Type="http://schemas.openxmlformats.org/officeDocument/2006/relationships/hyperlink" Target="https://fbref.com/en/squads/47c64c55/2021-2022/Crystal-Palace-Stats" TargetMode="External"/><Relationship Id="rId256" Type="http://schemas.openxmlformats.org/officeDocument/2006/relationships/hyperlink" Target="https://fbref.com/en/squads/7c21e445/2020-2021/West-Ham-United-Stats" TargetMode="External"/><Relationship Id="rId298" Type="http://schemas.openxmlformats.org/officeDocument/2006/relationships/hyperlink" Target="https://fbref.com/en/squads/1df6b87e/2020-2021/Sheffield-United-Stats" TargetMode="External"/><Relationship Id="rId421" Type="http://schemas.openxmlformats.org/officeDocument/2006/relationships/hyperlink" Target="https://fbref.com/en/squads/b8fd03ef/2017-2018/Manchester-City-Stats" TargetMode="External"/><Relationship Id="rId463" Type="http://schemas.openxmlformats.org/officeDocument/2006/relationships/hyperlink" Target="https://fbref.com/en/squads/d07537b9/2017-2018/Brighton-and-Hove-Albion-Stats" TargetMode="External"/><Relationship Id="rId519" Type="http://schemas.openxmlformats.org/officeDocument/2006/relationships/hyperlink" Target="https://fbref.com/en/players/9dab6e3b/Lee-Grant" TargetMode="External"/><Relationship Id="rId116" Type="http://schemas.openxmlformats.org/officeDocument/2006/relationships/hyperlink" Target="https://fbref.com/en/players/4e204552/Jacob-Bruun-Larsen" TargetMode="External"/><Relationship Id="rId158" Type="http://schemas.openxmlformats.org/officeDocument/2006/relationships/hyperlink" Target="https://fbref.com/en/players/44bfb6c5/Ruben-Neves" TargetMode="External"/><Relationship Id="rId323" Type="http://schemas.openxmlformats.org/officeDocument/2006/relationships/hyperlink" Target="https://fbref.com/en/players/d5dd5f1f/Pierre-Emerick-Aubameyang" TargetMode="External"/><Relationship Id="rId530" Type="http://schemas.openxmlformats.org/officeDocument/2006/relationships/hyperlink" Target="https://fbref.com/en/players/82e34b69/Troy-Deeney" TargetMode="External"/><Relationship Id="rId20" Type="http://schemas.openxmlformats.org/officeDocument/2006/relationships/hyperlink" Target="https://fbref.com/en/players/4e9a0555/Chris-Wood" TargetMode="External"/><Relationship Id="rId62" Type="http://schemas.openxmlformats.org/officeDocument/2006/relationships/hyperlink" Target="https://fbref.com/en/players/1f44ac21/Erling-Haaland" TargetMode="External"/><Relationship Id="rId365" Type="http://schemas.openxmlformats.org/officeDocument/2006/relationships/hyperlink" Target="https://fbref.com/en/players/c691bfe2/Sadio-Mane" TargetMode="External"/><Relationship Id="rId572" Type="http://schemas.openxmlformats.org/officeDocument/2006/relationships/hyperlink" Target="https://fbref.com/en/players/5eae500a/Romelu-Lukaku" TargetMode="External"/><Relationship Id="rId225" Type="http://schemas.openxmlformats.org/officeDocument/2006/relationships/hyperlink" Target="https://fbref.com/en/players/c3e39f12/Fraser-Forster" TargetMode="External"/><Relationship Id="rId267" Type="http://schemas.openxmlformats.org/officeDocument/2006/relationships/hyperlink" Target="https://fbref.com/en/players/6b625ac2/Illan-Meslier" TargetMode="External"/><Relationship Id="rId432" Type="http://schemas.openxmlformats.org/officeDocument/2006/relationships/hyperlink" Target="https://fbref.com/en/players/32e7ce92/Loris-Karius" TargetMode="External"/><Relationship Id="rId474" Type="http://schemas.openxmlformats.org/officeDocument/2006/relationships/hyperlink" Target="https://fbref.com/en/players/9328b835/Lukasz-Fabianski" TargetMode="External"/><Relationship Id="rId127" Type="http://schemas.openxmlformats.org/officeDocument/2006/relationships/hyperlink" Target="https://fbref.com/en/squads/19538871/2022-2023/Manchester-United-Stats" TargetMode="External"/><Relationship Id="rId31" Type="http://schemas.openxmlformats.org/officeDocument/2006/relationships/hyperlink" Target="https://fbref.com/en/squads/fd962109/2024-2025/Fulham-Stats" TargetMode="External"/><Relationship Id="rId73" Type="http://schemas.openxmlformats.org/officeDocument/2006/relationships/hyperlink" Target="https://fbref.com/en/squads/361ca564/2023-2024/Tottenham-Hotspur-Stats" TargetMode="External"/><Relationship Id="rId169" Type="http://schemas.openxmlformats.org/officeDocument/2006/relationships/hyperlink" Target="https://fbref.com/en/squads/d3fd31cc/2022-2023/Everton-Stats" TargetMode="External"/><Relationship Id="rId334" Type="http://schemas.openxmlformats.org/officeDocument/2006/relationships/hyperlink" Target="https://fbref.com/en/squads/d3fd31cc/2019-2020/Everton-Stats" TargetMode="External"/><Relationship Id="rId376" Type="http://schemas.openxmlformats.org/officeDocument/2006/relationships/hyperlink" Target="https://fbref.com/en/squads/19538871/2018-2019/Manchester-United-Stats" TargetMode="External"/><Relationship Id="rId541" Type="http://schemas.openxmlformats.org/officeDocument/2006/relationships/hyperlink" Target="https://fbref.com/en/squads/a2d435b3/2015-2016/Leicester-City-Stats" TargetMode="External"/><Relationship Id="rId583" Type="http://schemas.openxmlformats.org/officeDocument/2006/relationships/hyperlink" Target="https://fbref.com/en/squads/47c64c55/2015-2016/Crystal-Palace-Stats" TargetMode="External"/><Relationship Id="rId4" Type="http://schemas.openxmlformats.org/officeDocument/2006/relationships/hyperlink" Target="https://fbref.com/en/squads/18bb7c10/2024-2025/Arsenal-Stats" TargetMode="External"/><Relationship Id="rId180" Type="http://schemas.openxmlformats.org/officeDocument/2006/relationships/hyperlink" Target="https://fbref.com/en/players/c91441dc/Gavin-Bazunu" TargetMode="External"/><Relationship Id="rId236" Type="http://schemas.openxmlformats.org/officeDocument/2006/relationships/hyperlink" Target="https://fbref.com/en/players/2c44a35d/Emmanuel-Dennis" TargetMode="External"/><Relationship Id="rId278" Type="http://schemas.openxmlformats.org/officeDocument/2006/relationships/hyperlink" Target="https://fbref.com/en/players/44bfb6c5/Ruben-Neves" TargetMode="External"/><Relationship Id="rId401" Type="http://schemas.openxmlformats.org/officeDocument/2006/relationships/hyperlink" Target="https://fbref.com/en/players/c596fcb0/Callum-Wilson" TargetMode="External"/><Relationship Id="rId443" Type="http://schemas.openxmlformats.org/officeDocument/2006/relationships/hyperlink" Target="https://fbref.com/en/players/f07be45a/Wayne-Rooney" TargetMode="External"/><Relationship Id="rId303" Type="http://schemas.openxmlformats.org/officeDocument/2006/relationships/hyperlink" Target="https://fbref.com/en/players/7a2e46a8/Alisson" TargetMode="External"/><Relationship Id="rId485" Type="http://schemas.openxmlformats.org/officeDocument/2006/relationships/hyperlink" Target="https://fbref.com/en/players/21a66f6a/Harry-Kane" TargetMode="External"/><Relationship Id="rId42" Type="http://schemas.openxmlformats.org/officeDocument/2006/relationships/hyperlink" Target="https://fbref.com/en/players/2f965a72/Alphonse-Areola" TargetMode="External"/><Relationship Id="rId84" Type="http://schemas.openxmlformats.org/officeDocument/2006/relationships/hyperlink" Target="https://fbref.com/en/players/e9c0c1b2/Andre-Onana" TargetMode="External"/><Relationship Id="rId138" Type="http://schemas.openxmlformats.org/officeDocument/2006/relationships/hyperlink" Target="https://fbref.com/en/players/6a713852/Robert-Sanchez" TargetMode="External"/><Relationship Id="rId345" Type="http://schemas.openxmlformats.org/officeDocument/2006/relationships/hyperlink" Target="https://fbref.com/en/players/4535e4bb/Mathew-Ryan" TargetMode="External"/><Relationship Id="rId387" Type="http://schemas.openxmlformats.org/officeDocument/2006/relationships/hyperlink" Target="https://fbref.com/en/players/53af52f3/Kasper-Schmeichel" TargetMode="External"/><Relationship Id="rId510" Type="http://schemas.openxmlformats.org/officeDocument/2006/relationships/hyperlink" Target="https://fbref.com/en/players/d0b3ceb9/Ben-Foster" TargetMode="External"/><Relationship Id="rId552" Type="http://schemas.openxmlformats.org/officeDocument/2006/relationships/hyperlink" Target="https://fbref.com/en/players/cb4f24c6/Joe-Hart" TargetMode="External"/><Relationship Id="rId594" Type="http://schemas.openxmlformats.org/officeDocument/2006/relationships/hyperlink" Target="https://fbref.com/en/players/b1b25949/Rob-Elliot" TargetMode="External"/><Relationship Id="rId191" Type="http://schemas.openxmlformats.org/officeDocument/2006/relationships/hyperlink" Target="https://fbref.com/en/players/92e7e919/Son-Heung-min" TargetMode="External"/><Relationship Id="rId205" Type="http://schemas.openxmlformats.org/officeDocument/2006/relationships/hyperlink" Target="https://fbref.com/en/squads/d07537b9/2021-2022/Brighton-and-Hove-Albion-Stats" TargetMode="External"/><Relationship Id="rId247" Type="http://schemas.openxmlformats.org/officeDocument/2006/relationships/hyperlink" Target="https://fbref.com/en/squads/822bd0ba/2020-2021/Liverpool-Stats" TargetMode="External"/><Relationship Id="rId412" Type="http://schemas.openxmlformats.org/officeDocument/2006/relationships/hyperlink" Target="https://fbref.com/en/squads/75fae011/2018-2019/Cardiff-City-Stats" TargetMode="External"/><Relationship Id="rId107" Type="http://schemas.openxmlformats.org/officeDocument/2006/relationships/hyperlink" Target="https://fbref.com/en/players/2500cef9/Yoane-Wissa" TargetMode="External"/><Relationship Id="rId289" Type="http://schemas.openxmlformats.org/officeDocument/2006/relationships/hyperlink" Target="https://fbref.com/en/squads/943e8050/2020-2021/Burnley-Stats" TargetMode="External"/><Relationship Id="rId454" Type="http://schemas.openxmlformats.org/officeDocument/2006/relationships/hyperlink" Target="https://fbref.com/en/squads/4ba7cbea/2017-2018/Bournemouth-Stats" TargetMode="External"/><Relationship Id="rId496" Type="http://schemas.openxmlformats.org/officeDocument/2006/relationships/hyperlink" Target="https://fbref.com/en/squads/19538871/2016-2017/Manchester-United-Stats" TargetMode="External"/><Relationship Id="rId11" Type="http://schemas.openxmlformats.org/officeDocument/2006/relationships/hyperlink" Target="https://fbref.com/en/players/dc7f8a28/Cole-Palmer" TargetMode="External"/><Relationship Id="rId53" Type="http://schemas.openxmlformats.org/officeDocument/2006/relationships/hyperlink" Target="https://fbref.com/en/players/45963054/Jamie-Vardy" TargetMode="External"/><Relationship Id="rId149" Type="http://schemas.openxmlformats.org/officeDocument/2006/relationships/hyperlink" Target="https://fbref.com/en/players/3925dbd6/Aleksandar-Mitrovic" TargetMode="External"/><Relationship Id="rId314" Type="http://schemas.openxmlformats.org/officeDocument/2006/relationships/hyperlink" Target="https://fbref.com/en/players/45963054/Jamie-Vardy" TargetMode="External"/><Relationship Id="rId356" Type="http://schemas.openxmlformats.org/officeDocument/2006/relationships/hyperlink" Target="https://fbref.com/en/players/82e34b69/Troy-Deeney" TargetMode="External"/><Relationship Id="rId398" Type="http://schemas.openxmlformats.org/officeDocument/2006/relationships/hyperlink" Target="https://fbref.com/en/players/819aa8e7/Ayoze-Perez" TargetMode="External"/><Relationship Id="rId521" Type="http://schemas.openxmlformats.org/officeDocument/2006/relationships/hyperlink" Target="https://fbref.com/en/players/ab070c55/Christian-Benteke" TargetMode="External"/><Relationship Id="rId563" Type="http://schemas.openxmlformats.org/officeDocument/2006/relationships/hyperlink" Target="https://fbref.com/en/players/4c370d81/Roberto-Firmino" TargetMode="External"/><Relationship Id="rId95" Type="http://schemas.openxmlformats.org/officeDocument/2006/relationships/hyperlink" Target="https://fbref.com/en/players/e77dc3b2/Dominic-Solanke" TargetMode="External"/><Relationship Id="rId160" Type="http://schemas.openxmlformats.org/officeDocument/2006/relationships/hyperlink" Target="https://fbref.com/en/squads/7c21e445/2022-2023/West-Ham-United-Stats" TargetMode="External"/><Relationship Id="rId216" Type="http://schemas.openxmlformats.org/officeDocument/2006/relationships/hyperlink" Target="https://fbref.com/en/players/ab13a5aa/Vicente-Guaita" TargetMode="External"/><Relationship Id="rId423" Type="http://schemas.openxmlformats.org/officeDocument/2006/relationships/hyperlink" Target="https://fbref.com/en/players/3bb7b8b4/Ederson" TargetMode="External"/><Relationship Id="rId258" Type="http://schemas.openxmlformats.org/officeDocument/2006/relationships/hyperlink" Target="https://fbref.com/en/players/9328b835/Lukasz-Fabianski" TargetMode="External"/><Relationship Id="rId465" Type="http://schemas.openxmlformats.org/officeDocument/2006/relationships/hyperlink" Target="https://fbref.com/en/players/4535e4bb/Mathew-Ryan" TargetMode="External"/><Relationship Id="rId22" Type="http://schemas.openxmlformats.org/officeDocument/2006/relationships/hyperlink" Target="https://fbref.com/en/squads/d07537b9/2024-2025/Brighton-and-Hove-Albion-Stats" TargetMode="External"/><Relationship Id="rId64" Type="http://schemas.openxmlformats.org/officeDocument/2006/relationships/hyperlink" Target="https://fbref.com/en/squads/18bb7c10/2023-2024/Arsenal-Stats" TargetMode="External"/><Relationship Id="rId118" Type="http://schemas.openxmlformats.org/officeDocument/2006/relationships/hyperlink" Target="https://fbref.com/en/squads/1df6b87e/2023-2024/Sheffield-United-Stats" TargetMode="External"/><Relationship Id="rId325" Type="http://schemas.openxmlformats.org/officeDocument/2006/relationships/hyperlink" Target="https://fbref.com/en/squads/1df6b87e/2019-2020/Sheffield-United-Stats" TargetMode="External"/><Relationship Id="rId367" Type="http://schemas.openxmlformats.org/officeDocument/2006/relationships/hyperlink" Target="https://fbref.com/en/squads/cff3d9bb/2018-2019/Chelsea-Stats" TargetMode="External"/><Relationship Id="rId532" Type="http://schemas.openxmlformats.org/officeDocument/2006/relationships/hyperlink" Target="https://fbref.com/en/squads/bd8769d1/2016-2017/Hull-City-Stats" TargetMode="External"/><Relationship Id="rId574" Type="http://schemas.openxmlformats.org/officeDocument/2006/relationships/hyperlink" Target="https://fbref.com/en/squads/fb10988f/2015-2016/Swansea-City-Stats" TargetMode="External"/><Relationship Id="rId171" Type="http://schemas.openxmlformats.org/officeDocument/2006/relationships/hyperlink" Target="https://fbref.com/en/players/4806ec67/Jordan-Pickford" TargetMode="External"/><Relationship Id="rId227" Type="http://schemas.openxmlformats.org/officeDocument/2006/relationships/hyperlink" Target="https://fbref.com/en/players/fa031b34/Richarlison" TargetMode="External"/><Relationship Id="rId269" Type="http://schemas.openxmlformats.org/officeDocument/2006/relationships/hyperlink" Target="https://fbref.com/en/players/59e6e5bf/Dominic-Calvert-Lewin" TargetMode="External"/><Relationship Id="rId434" Type="http://schemas.openxmlformats.org/officeDocument/2006/relationships/hyperlink" Target="https://fbref.com/en/players/a39bb753/Eden-Hazard" TargetMode="External"/><Relationship Id="rId476" Type="http://schemas.openxmlformats.org/officeDocument/2006/relationships/hyperlink" Target="https://fbref.com/en/players/6421ec64/Xherdan-Shaqiri" TargetMode="External"/><Relationship Id="rId33" Type="http://schemas.openxmlformats.org/officeDocument/2006/relationships/hyperlink" Target="https://fbref.com/en/players/2628fd2b/Bernd-Leno" TargetMode="External"/><Relationship Id="rId129" Type="http://schemas.openxmlformats.org/officeDocument/2006/relationships/hyperlink" Target="https://fbref.com/en/players/7ba6d84e/David-de-Gea" TargetMode="External"/><Relationship Id="rId280" Type="http://schemas.openxmlformats.org/officeDocument/2006/relationships/hyperlink" Target="https://fbref.com/en/squads/47c64c55/2020-2021/Crystal-Palace-Stats" TargetMode="External"/><Relationship Id="rId336" Type="http://schemas.openxmlformats.org/officeDocument/2006/relationships/hyperlink" Target="https://fbref.com/en/players/4806ec67/Jordan-Pickford" TargetMode="External"/><Relationship Id="rId501" Type="http://schemas.openxmlformats.org/officeDocument/2006/relationships/hyperlink" Target="https://fbref.com/en/players/cda0b317/Joel-Robles" TargetMode="External"/><Relationship Id="rId543" Type="http://schemas.openxmlformats.org/officeDocument/2006/relationships/hyperlink" Target="https://fbref.com/en/players/53af52f3/Kasper-Schmeichel" TargetMode="External"/><Relationship Id="rId75" Type="http://schemas.openxmlformats.org/officeDocument/2006/relationships/hyperlink" Target="https://fbref.com/en/players/77d6fd4d/Guglielmo-Vicario" TargetMode="External"/><Relationship Id="rId140" Type="http://schemas.openxmlformats.org/officeDocument/2006/relationships/hyperlink" Target="https://fbref.com/en/players/aed3a70f/Ollie-Watkins" TargetMode="External"/><Relationship Id="rId182" Type="http://schemas.openxmlformats.org/officeDocument/2006/relationships/hyperlink" Target="https://fbref.com/en/players/e46012d4/Kevin-De-Bruyne" TargetMode="External"/><Relationship Id="rId378" Type="http://schemas.openxmlformats.org/officeDocument/2006/relationships/hyperlink" Target="https://fbref.com/en/players/7ba6d84e/David-de-Gea" TargetMode="External"/><Relationship Id="rId403" Type="http://schemas.openxmlformats.org/officeDocument/2006/relationships/hyperlink" Target="https://fbref.com/en/squads/943e8050/2018-2019/Burnley-Stats" TargetMode="External"/><Relationship Id="rId585" Type="http://schemas.openxmlformats.org/officeDocument/2006/relationships/hyperlink" Target="https://fbref.com/en/players/76eca7e2/Wayne-Hennessey" TargetMode="External"/><Relationship Id="rId6" Type="http://schemas.openxmlformats.org/officeDocument/2006/relationships/hyperlink" Target="https://fbref.com/en/players/98ea5115/David-Raya" TargetMode="External"/><Relationship Id="rId238" Type="http://schemas.openxmlformats.org/officeDocument/2006/relationships/hyperlink" Target="https://fbref.com/en/squads/1c781004/2021-2022/Norwich-City-Stats" TargetMode="External"/><Relationship Id="rId445" Type="http://schemas.openxmlformats.org/officeDocument/2006/relationships/hyperlink" Target="https://fbref.com/en/squads/a2d435b3/2017-2018/Leicester-City-Stats" TargetMode="External"/><Relationship Id="rId487" Type="http://schemas.openxmlformats.org/officeDocument/2006/relationships/hyperlink" Target="https://fbref.com/en/squads/b8fd03ef/2016-2017/Manchester-City-Stats" TargetMode="External"/><Relationship Id="rId291" Type="http://schemas.openxmlformats.org/officeDocument/2006/relationships/hyperlink" Target="https://fbref.com/en/players/4b40d9ca/Nick-Pope" TargetMode="External"/><Relationship Id="rId305" Type="http://schemas.openxmlformats.org/officeDocument/2006/relationships/hyperlink" Target="https://fbref.com/en/players/b400bde0/Raheem-Sterling" TargetMode="External"/><Relationship Id="rId347" Type="http://schemas.openxmlformats.org/officeDocument/2006/relationships/hyperlink" Target="https://fbref.com/en/players/ac05f970/Michail-Antonio" TargetMode="External"/><Relationship Id="rId512" Type="http://schemas.openxmlformats.org/officeDocument/2006/relationships/hyperlink" Target="https://fbref.com/en/players/ac05f970/Michail-Antonio" TargetMode="External"/><Relationship Id="rId44" Type="http://schemas.openxmlformats.org/officeDocument/2006/relationships/hyperlink" Target="https://fbref.com/en/players/507c7bdf/Bruno-Fernandes" TargetMode="External"/><Relationship Id="rId86" Type="http://schemas.openxmlformats.org/officeDocument/2006/relationships/hyperlink" Target="https://fbref.com/en/players/79c84d1c/Jarrod-Bowen" TargetMode="External"/><Relationship Id="rId151" Type="http://schemas.openxmlformats.org/officeDocument/2006/relationships/hyperlink" Target="https://fbref.com/en/squads/47c64c55/2022-2023/Crystal-Palace-Stats" TargetMode="External"/><Relationship Id="rId389" Type="http://schemas.openxmlformats.org/officeDocument/2006/relationships/hyperlink" Target="https://fbref.com/en/players/00459419/Marko-Arnautovic" TargetMode="External"/><Relationship Id="rId554" Type="http://schemas.openxmlformats.org/officeDocument/2006/relationships/hyperlink" Target="https://fbref.com/en/players/8b788c01/Anthony-Martial" TargetMode="External"/><Relationship Id="rId596" Type="http://schemas.openxmlformats.org/officeDocument/2006/relationships/hyperlink" Target="https://fbref.com/en/players/d9847696/Dieumerci-Mbokani" TargetMode="External"/><Relationship Id="rId193" Type="http://schemas.openxmlformats.org/officeDocument/2006/relationships/hyperlink" Target="https://fbref.com/en/squads/18bb7c10/2021-2022/Arsenal-Stats" TargetMode="External"/><Relationship Id="rId207" Type="http://schemas.openxmlformats.org/officeDocument/2006/relationships/hyperlink" Target="https://fbref.com/en/players/6a713852/Robert-Sanchez" TargetMode="External"/><Relationship Id="rId249" Type="http://schemas.openxmlformats.org/officeDocument/2006/relationships/hyperlink" Target="https://fbref.com/en/players/7a2e46a8/Alisson" TargetMode="External"/><Relationship Id="rId414" Type="http://schemas.openxmlformats.org/officeDocument/2006/relationships/hyperlink" Target="https://fbref.com/en/players/2642bf6c/Neil-Etheridge" TargetMode="External"/><Relationship Id="rId456" Type="http://schemas.openxmlformats.org/officeDocument/2006/relationships/hyperlink" Target="https://fbref.com/en/players/7b4de647/Asmir-Begovic" TargetMode="External"/><Relationship Id="rId498" Type="http://schemas.openxmlformats.org/officeDocument/2006/relationships/hyperlink" Target="https://fbref.com/en/players/7ba6d84e/David-de-Gea" TargetMode="External"/><Relationship Id="rId13" Type="http://schemas.openxmlformats.org/officeDocument/2006/relationships/hyperlink" Target="https://fbref.com/en/squads/b2b47a98/2024-2025/Newcastle-United-Stats" TargetMode="External"/><Relationship Id="rId109" Type="http://schemas.openxmlformats.org/officeDocument/2006/relationships/hyperlink" Target="https://fbref.com/en/squads/e4a775cb/2023-2024/Nottingham-Forest-Stats" TargetMode="External"/><Relationship Id="rId260" Type="http://schemas.openxmlformats.org/officeDocument/2006/relationships/hyperlink" Target="https://fbref.com/en/players/21a66f6a/Harry-Kane" TargetMode="External"/><Relationship Id="rId316" Type="http://schemas.openxmlformats.org/officeDocument/2006/relationships/hyperlink" Target="https://fbref.com/en/squads/361ca564/2019-2020/Tottenham-Hotspur-Stats" TargetMode="External"/><Relationship Id="rId523" Type="http://schemas.openxmlformats.org/officeDocument/2006/relationships/hyperlink" Target="https://fbref.com/en/squads/fb10988f/2016-2017/Swansea-City-Stats" TargetMode="External"/><Relationship Id="rId55" Type="http://schemas.openxmlformats.org/officeDocument/2006/relationships/hyperlink" Target="https://fbref.com/en/squads/b74092de/2024-2025/Ipswich-Town-Stats" TargetMode="External"/><Relationship Id="rId97" Type="http://schemas.openxmlformats.org/officeDocument/2006/relationships/hyperlink" Target="https://fbref.com/en/squads/fd962109/2023-2024/Fulham-Stats" TargetMode="External"/><Relationship Id="rId120" Type="http://schemas.openxmlformats.org/officeDocument/2006/relationships/hyperlink" Target="https://fbref.com/en/players/96cf7b61/Wes-Foderingham" TargetMode="External"/><Relationship Id="rId358" Type="http://schemas.openxmlformats.org/officeDocument/2006/relationships/hyperlink" Target="https://fbref.com/en/squads/1c781004/2019-2020/Norwich-City-Stats" TargetMode="External"/><Relationship Id="rId565" Type="http://schemas.openxmlformats.org/officeDocument/2006/relationships/hyperlink" Target="https://fbref.com/en/squads/17892952/2015-2016/Stoke-City-Stats" TargetMode="External"/><Relationship Id="rId162" Type="http://schemas.openxmlformats.org/officeDocument/2006/relationships/hyperlink" Target="https://fbref.com/en/players/9328b835/Lukasz-Fabianski" TargetMode="External"/><Relationship Id="rId218" Type="http://schemas.openxmlformats.org/officeDocument/2006/relationships/hyperlink" Target="https://fbref.com/en/players/e09f279b/Ivan-Toney" TargetMode="External"/><Relationship Id="rId425" Type="http://schemas.openxmlformats.org/officeDocument/2006/relationships/hyperlink" Target="https://fbref.com/en/players/5eae500a/Romelu-Lukaku" TargetMode="External"/><Relationship Id="rId467" Type="http://schemas.openxmlformats.org/officeDocument/2006/relationships/hyperlink" Target="https://fbref.com/en/players/19ba6c6d/Steve-Mounie" TargetMode="External"/><Relationship Id="rId271" Type="http://schemas.openxmlformats.org/officeDocument/2006/relationships/hyperlink" Target="https://fbref.com/en/squads/8602292d/2020-2021/Aston-Villa-Stats" TargetMode="External"/><Relationship Id="rId24" Type="http://schemas.openxmlformats.org/officeDocument/2006/relationships/hyperlink" Target="https://fbref.com/en/players/cf134113/Bart-Verbruggen" TargetMode="External"/><Relationship Id="rId66" Type="http://schemas.openxmlformats.org/officeDocument/2006/relationships/hyperlink" Target="https://fbref.com/en/players/98ea5115/David-Raya" TargetMode="External"/><Relationship Id="rId131" Type="http://schemas.openxmlformats.org/officeDocument/2006/relationships/hyperlink" Target="https://fbref.com/en/players/c596fcb0/Callum-Wilson" TargetMode="External"/><Relationship Id="rId327" Type="http://schemas.openxmlformats.org/officeDocument/2006/relationships/hyperlink" Target="https://fbref.com/en/players/e5a76dfe/Dean-Henderson" TargetMode="External"/><Relationship Id="rId369" Type="http://schemas.openxmlformats.org/officeDocument/2006/relationships/hyperlink" Target="https://fbref.com/en/players/28d596a0/Kepa-Arrizabalaga" TargetMode="External"/><Relationship Id="rId534" Type="http://schemas.openxmlformats.org/officeDocument/2006/relationships/hyperlink" Target="https://fbref.com/en/players/1148323a/Eldin-Jakupovic" TargetMode="External"/><Relationship Id="rId576" Type="http://schemas.openxmlformats.org/officeDocument/2006/relationships/hyperlink" Target="https://fbref.com/en/players/9328b835/Lukasz-Fabianski" TargetMode="External"/><Relationship Id="rId173" Type="http://schemas.openxmlformats.org/officeDocument/2006/relationships/hyperlink" Target="https://fbref.com/en/players/3ea50f67/Harvey-Barnes" TargetMode="External"/><Relationship Id="rId229" Type="http://schemas.openxmlformats.org/officeDocument/2006/relationships/hyperlink" Target="https://fbref.com/en/squads/5bfb9659/2021-2022/Leeds-United-Stats" TargetMode="External"/><Relationship Id="rId380" Type="http://schemas.openxmlformats.org/officeDocument/2006/relationships/hyperlink" Target="https://fbref.com/en/players/b561db50/Raul-Jimenez" TargetMode="External"/><Relationship Id="rId436" Type="http://schemas.openxmlformats.org/officeDocument/2006/relationships/hyperlink" Target="https://fbref.com/en/squads/18bb7c10/2017-2018/Arsenal-Stats" TargetMode="External"/><Relationship Id="rId240" Type="http://schemas.openxmlformats.org/officeDocument/2006/relationships/hyperlink" Target="https://fbref.com/en/players/f23f9d20/Tim-Krul" TargetMode="External"/><Relationship Id="rId478" Type="http://schemas.openxmlformats.org/officeDocument/2006/relationships/hyperlink" Target="https://fbref.com/en/squads/60c6b05f/2017-2018/West-Bromwich-Albion-Stats" TargetMode="External"/><Relationship Id="rId35" Type="http://schemas.openxmlformats.org/officeDocument/2006/relationships/hyperlink" Target="https://fbref.com/en/players/50e6dc35/Jean-Philippe-Mateta" TargetMode="External"/><Relationship Id="rId77" Type="http://schemas.openxmlformats.org/officeDocument/2006/relationships/hyperlink" Target="https://fbref.com/en/players/dc7f8a28/Cole-Palmer" TargetMode="External"/><Relationship Id="rId100" Type="http://schemas.openxmlformats.org/officeDocument/2006/relationships/hyperlink" Target="https://fbref.com/en/squads/8cec06e1/2023-2024/Wolverhampton-Wanderers-Stats" TargetMode="External"/><Relationship Id="rId282" Type="http://schemas.openxmlformats.org/officeDocument/2006/relationships/hyperlink" Target="https://fbref.com/en/players/ab13a5aa/Vicente-Guaita" TargetMode="External"/><Relationship Id="rId338" Type="http://schemas.openxmlformats.org/officeDocument/2006/relationships/hyperlink" Target="https://fbref.com/en/players/3727dd3c/Jonjo-Shelvey" TargetMode="External"/><Relationship Id="rId503" Type="http://schemas.openxmlformats.org/officeDocument/2006/relationships/hyperlink" Target="https://fbref.com/en/players/ab651565/Nathan-Redmond" TargetMode="External"/><Relationship Id="rId545" Type="http://schemas.openxmlformats.org/officeDocument/2006/relationships/hyperlink" Target="https://fbref.com/en/players/16ceb862/Olivier-Giroud" TargetMode="External"/><Relationship Id="rId587" Type="http://schemas.openxmlformats.org/officeDocument/2006/relationships/hyperlink" Target="https://fbref.com/en/players/43458538/Joshua-King" TargetMode="External"/><Relationship Id="rId8" Type="http://schemas.openxmlformats.org/officeDocument/2006/relationships/hyperlink" Target="https://fbref.com/en/players/1f44ac21/Erling-Haaland" TargetMode="External"/><Relationship Id="rId142" Type="http://schemas.openxmlformats.org/officeDocument/2006/relationships/hyperlink" Target="https://fbref.com/en/squads/361ca564/2022-2023/Tottenham-Hotspur-Stats" TargetMode="External"/><Relationship Id="rId184" Type="http://schemas.openxmlformats.org/officeDocument/2006/relationships/hyperlink" Target="https://fbref.com/en/squads/822bd0ba/2021-2022/Liverpool-Stats" TargetMode="External"/><Relationship Id="rId391" Type="http://schemas.openxmlformats.org/officeDocument/2006/relationships/hyperlink" Target="https://fbref.com/en/squads/2abfe087/2018-2019/Watford-Stats" TargetMode="External"/><Relationship Id="rId405" Type="http://schemas.openxmlformats.org/officeDocument/2006/relationships/hyperlink" Target="https://fbref.com/en/players/a6de6361/Tom-Heaton" TargetMode="External"/><Relationship Id="rId447" Type="http://schemas.openxmlformats.org/officeDocument/2006/relationships/hyperlink" Target="https://fbref.com/en/players/53af52f3/Kasper-Schmeichel" TargetMode="External"/><Relationship Id="rId251" Type="http://schemas.openxmlformats.org/officeDocument/2006/relationships/hyperlink" Target="https://fbref.com/en/players/45db685d/Jorginho" TargetMode="External"/><Relationship Id="rId489" Type="http://schemas.openxmlformats.org/officeDocument/2006/relationships/hyperlink" Target="https://fbref.com/en/players/10072610/Claudio-Bravo" TargetMode="External"/><Relationship Id="rId46" Type="http://schemas.openxmlformats.org/officeDocument/2006/relationships/hyperlink" Target="https://fbref.com/en/squads/8cec06e1/2024-2025/Wolverhampton-Wanderers-Stats" TargetMode="External"/><Relationship Id="rId293" Type="http://schemas.openxmlformats.org/officeDocument/2006/relationships/hyperlink" Target="https://fbref.com/en/players/0f7533cd/Bobby-De-Cordova-Reid" TargetMode="External"/><Relationship Id="rId307" Type="http://schemas.openxmlformats.org/officeDocument/2006/relationships/hyperlink" Target="https://fbref.com/en/squads/19538871/2019-2020/Manchester-United-Stats" TargetMode="External"/><Relationship Id="rId349" Type="http://schemas.openxmlformats.org/officeDocument/2006/relationships/hyperlink" Target="https://fbref.com/en/squads/8602292d/2019-2020/Aston-Villa-Stats" TargetMode="External"/><Relationship Id="rId514" Type="http://schemas.openxmlformats.org/officeDocument/2006/relationships/hyperlink" Target="https://fbref.com/en/squads/a2d435b3/2016-2017/Leicester-City-Stats" TargetMode="External"/><Relationship Id="rId556" Type="http://schemas.openxmlformats.org/officeDocument/2006/relationships/hyperlink" Target="https://fbref.com/en/squads/33c895d4/2015-2016/Southampton-Stats" TargetMode="External"/><Relationship Id="rId88" Type="http://schemas.openxmlformats.org/officeDocument/2006/relationships/hyperlink" Target="https://fbref.com/en/squads/47c64c55/2023-2024/Crystal-Palace-Stats" TargetMode="External"/><Relationship Id="rId111" Type="http://schemas.openxmlformats.org/officeDocument/2006/relationships/hyperlink" Target="https://fbref.com/en/players/4a51ba65/Matt-Turner" TargetMode="External"/><Relationship Id="rId153" Type="http://schemas.openxmlformats.org/officeDocument/2006/relationships/hyperlink" Target="https://fbref.com/en/players/ab13a5aa/Vicente-Guaita" TargetMode="External"/><Relationship Id="rId195" Type="http://schemas.openxmlformats.org/officeDocument/2006/relationships/hyperlink" Target="https://fbref.com/en/players/466fb2c5/Aaron-Ramsdale" TargetMode="External"/><Relationship Id="rId209" Type="http://schemas.openxmlformats.org/officeDocument/2006/relationships/hyperlink" Target="https://fbref.com/en/players/b561db50/Raul-Jimenez" TargetMode="External"/><Relationship Id="rId360" Type="http://schemas.openxmlformats.org/officeDocument/2006/relationships/hyperlink" Target="https://fbref.com/en/players/f23f9d20/Tim-Krul" TargetMode="External"/><Relationship Id="rId416" Type="http://schemas.openxmlformats.org/officeDocument/2006/relationships/hyperlink" Target="https://fbref.com/en/players/3925dbd6/Aleksandar-Mitrovic" TargetMode="External"/><Relationship Id="rId598" Type="http://schemas.openxmlformats.org/officeDocument/2006/relationships/hyperlink" Target="https://fbref.com/en/squads/8602292d/2015-2016/Aston-Villa-Stats" TargetMode="External"/><Relationship Id="rId220" Type="http://schemas.openxmlformats.org/officeDocument/2006/relationships/hyperlink" Target="https://fbref.com/en/squads/8602292d/2021-2022/Aston-Villa-Stats" TargetMode="External"/><Relationship Id="rId458" Type="http://schemas.openxmlformats.org/officeDocument/2006/relationships/hyperlink" Target="https://fbref.com/en/players/00459419/Marko-Arnautovic" TargetMode="External"/><Relationship Id="rId15" Type="http://schemas.openxmlformats.org/officeDocument/2006/relationships/hyperlink" Target="https://fbref.com/en/players/4b40d9ca/Nick-Pope" TargetMode="External"/><Relationship Id="rId57" Type="http://schemas.openxmlformats.org/officeDocument/2006/relationships/hyperlink" Target="https://fbref.com/en/players/99aa1a84/Arijanet-Muric" TargetMode="External"/><Relationship Id="rId262" Type="http://schemas.openxmlformats.org/officeDocument/2006/relationships/hyperlink" Target="https://fbref.com/en/squads/18bb7c10/2020-2021/Arsenal-Stats" TargetMode="External"/><Relationship Id="rId318" Type="http://schemas.openxmlformats.org/officeDocument/2006/relationships/hyperlink" Target="https://fbref.com/en/players/8f62b6ee/Hugo-Lloris" TargetMode="External"/><Relationship Id="rId525" Type="http://schemas.openxmlformats.org/officeDocument/2006/relationships/hyperlink" Target="https://fbref.com/en/players/9328b835/Lukasz-Fabianski" TargetMode="External"/><Relationship Id="rId567" Type="http://schemas.openxmlformats.org/officeDocument/2006/relationships/hyperlink" Target="https://fbref.com/en/players/cc70a1d5/Jack-Butland" TargetMode="External"/><Relationship Id="rId99" Type="http://schemas.openxmlformats.org/officeDocument/2006/relationships/hyperlink" Target="https://fbref.com/en/players/2628fd2b/Bernd-Leno" TargetMode="External"/><Relationship Id="rId122" Type="http://schemas.openxmlformats.org/officeDocument/2006/relationships/hyperlink" Target="https://fbref.com/en/players/1f44ac21/Erling-Haaland" TargetMode="External"/><Relationship Id="rId164" Type="http://schemas.openxmlformats.org/officeDocument/2006/relationships/hyperlink" Target="https://fbref.com/en/players/d328a254/Philip-Billing" TargetMode="External"/><Relationship Id="rId371" Type="http://schemas.openxmlformats.org/officeDocument/2006/relationships/hyperlink" Target="https://fbref.com/en/players/21a66f6a/Harry-Kane" TargetMode="External"/><Relationship Id="rId427" Type="http://schemas.openxmlformats.org/officeDocument/2006/relationships/hyperlink" Target="https://fbref.com/en/squads/361ca564/2017-2018/Tottenham-Hotspur-Stats" TargetMode="External"/><Relationship Id="rId469" Type="http://schemas.openxmlformats.org/officeDocument/2006/relationships/hyperlink" Target="https://fbref.com/en/squads/33c895d4/2017-2018/Southampton-Stats" TargetMode="External"/><Relationship Id="rId26" Type="http://schemas.openxmlformats.org/officeDocument/2006/relationships/hyperlink" Target="https://fbref.com/en/players/4c3a6744/Justin-Kluivert" TargetMode="External"/><Relationship Id="rId231" Type="http://schemas.openxmlformats.org/officeDocument/2006/relationships/hyperlink" Target="https://fbref.com/en/players/6b625ac2/Illan-Meslier" TargetMode="External"/><Relationship Id="rId273" Type="http://schemas.openxmlformats.org/officeDocument/2006/relationships/hyperlink" Target="https://fbref.com/en/players/7956236f/Emiliano-Martinez" TargetMode="External"/><Relationship Id="rId329" Type="http://schemas.openxmlformats.org/officeDocument/2006/relationships/hyperlink" Target="https://fbref.com/en/players/4e9a0555/Chris-Wood" TargetMode="External"/><Relationship Id="rId480" Type="http://schemas.openxmlformats.org/officeDocument/2006/relationships/hyperlink" Target="https://fbref.com/en/players/d0b3ceb9/Ben-Foster" TargetMode="External"/><Relationship Id="rId536" Type="http://schemas.openxmlformats.org/officeDocument/2006/relationships/hyperlink" Target="https://fbref.com/en/players/63b0ca6b/Alvaro-Negredo" TargetMode="External"/><Relationship Id="rId68" Type="http://schemas.openxmlformats.org/officeDocument/2006/relationships/hyperlink" Target="https://fbref.com/en/players/e342ad68/Mohamed-Salah" TargetMode="External"/><Relationship Id="rId133" Type="http://schemas.openxmlformats.org/officeDocument/2006/relationships/hyperlink" Target="https://fbref.com/en/squads/822bd0ba/2022-2023/Liverpool-Stats" TargetMode="External"/><Relationship Id="rId175" Type="http://schemas.openxmlformats.org/officeDocument/2006/relationships/hyperlink" Target="https://fbref.com/en/squads/5bfb9659/2022-2023/Leeds-United-Stats" TargetMode="External"/><Relationship Id="rId340" Type="http://schemas.openxmlformats.org/officeDocument/2006/relationships/hyperlink" Target="https://fbref.com/en/squads/47c64c55/2019-2020/Crystal-Palace-Stats" TargetMode="External"/><Relationship Id="rId578" Type="http://schemas.openxmlformats.org/officeDocument/2006/relationships/hyperlink" Target="https://fbref.com/en/players/03622183/Odion-Ighalo" TargetMode="External"/><Relationship Id="rId200" Type="http://schemas.openxmlformats.org/officeDocument/2006/relationships/hyperlink" Target="https://fbref.com/en/players/79c84d1c/Jarrod-Bowen" TargetMode="External"/><Relationship Id="rId382" Type="http://schemas.openxmlformats.org/officeDocument/2006/relationships/hyperlink" Target="https://fbref.com/en/squads/d3fd31cc/2018-2019/Everton-Stats" TargetMode="External"/><Relationship Id="rId438" Type="http://schemas.openxmlformats.org/officeDocument/2006/relationships/hyperlink" Target="https://fbref.com/en/players/71672fa0/Petr-Cech" TargetMode="External"/><Relationship Id="rId242" Type="http://schemas.openxmlformats.org/officeDocument/2006/relationships/hyperlink" Target="https://fbref.com/en/players/819b3158/Ilkay-Gundogan" TargetMode="External"/><Relationship Id="rId284" Type="http://schemas.openxmlformats.org/officeDocument/2006/relationships/hyperlink" Target="https://fbref.com/en/players/07802f7f/Danny-Ings" TargetMode="External"/><Relationship Id="rId491" Type="http://schemas.openxmlformats.org/officeDocument/2006/relationships/hyperlink" Target="https://fbref.com/en/players/0ef89a37/Philippe-Coutinho" TargetMode="External"/><Relationship Id="rId505" Type="http://schemas.openxmlformats.org/officeDocument/2006/relationships/hyperlink" Target="https://fbref.com/en/squads/4ba7cbea/2016-2017/Bournemouth-Stats" TargetMode="External"/><Relationship Id="rId37" Type="http://schemas.openxmlformats.org/officeDocument/2006/relationships/hyperlink" Target="https://fbref.com/en/squads/d3fd31cc/2024-2025/Everton-Stats" TargetMode="External"/><Relationship Id="rId79" Type="http://schemas.openxmlformats.org/officeDocument/2006/relationships/hyperlink" Target="https://fbref.com/en/squads/b2b47a98/2023-2024/Newcastle-United-Stats" TargetMode="External"/><Relationship Id="rId102" Type="http://schemas.openxmlformats.org/officeDocument/2006/relationships/hyperlink" Target="https://fbref.com/en/players/903b6e8b/Jose-Sa" TargetMode="External"/><Relationship Id="rId144" Type="http://schemas.openxmlformats.org/officeDocument/2006/relationships/hyperlink" Target="https://fbref.com/en/players/8f62b6ee/Hugo-Lloris" TargetMode="External"/><Relationship Id="rId547" Type="http://schemas.openxmlformats.org/officeDocument/2006/relationships/hyperlink" Target="https://fbref.com/en/squads/361ca564/2015-2016/Tottenham-Hotspur-Stats" TargetMode="External"/><Relationship Id="rId589" Type="http://schemas.openxmlformats.org/officeDocument/2006/relationships/hyperlink" Target="https://fbref.com/en/squads/8ef52968/2015-2016/Sunderland-Stats" TargetMode="External"/><Relationship Id="rId90" Type="http://schemas.openxmlformats.org/officeDocument/2006/relationships/hyperlink" Target="https://fbref.com/en/players/9e5708be/Sam-Johnstone" TargetMode="External"/><Relationship Id="rId186" Type="http://schemas.openxmlformats.org/officeDocument/2006/relationships/hyperlink" Target="https://fbref.com/en/players/7a2e46a8/Alisson" TargetMode="External"/><Relationship Id="rId351" Type="http://schemas.openxmlformats.org/officeDocument/2006/relationships/hyperlink" Target="https://fbref.com/en/players/a6de6361/Tom-Heaton" TargetMode="External"/><Relationship Id="rId393" Type="http://schemas.openxmlformats.org/officeDocument/2006/relationships/hyperlink" Target="https://fbref.com/en/players/d0b3ceb9/Ben-Foster" TargetMode="External"/><Relationship Id="rId407" Type="http://schemas.openxmlformats.org/officeDocument/2006/relationships/hyperlink" Target="https://fbref.com/en/players/07802f7f/Danny-Ings" TargetMode="External"/><Relationship Id="rId449" Type="http://schemas.openxmlformats.org/officeDocument/2006/relationships/hyperlink" Target="https://fbref.com/en/players/819aa8e7/Ayoze-Perez" TargetMode="External"/><Relationship Id="rId211" Type="http://schemas.openxmlformats.org/officeDocument/2006/relationships/hyperlink" Target="https://fbref.com/en/squads/b2b47a98/2021-2022/Newcastle-United-Stats" TargetMode="External"/><Relationship Id="rId253" Type="http://schemas.openxmlformats.org/officeDocument/2006/relationships/hyperlink" Target="https://fbref.com/en/squads/a2d435b3/2020-2021/Leicester-City-Stats" TargetMode="External"/><Relationship Id="rId295" Type="http://schemas.openxmlformats.org/officeDocument/2006/relationships/hyperlink" Target="https://fbref.com/en/squads/60c6b05f/2020-2021/West-Bromwich-Albion-Stats" TargetMode="External"/><Relationship Id="rId309" Type="http://schemas.openxmlformats.org/officeDocument/2006/relationships/hyperlink" Target="https://fbref.com/en/players/7ba6d84e/David-de-Gea" TargetMode="External"/><Relationship Id="rId460" Type="http://schemas.openxmlformats.org/officeDocument/2006/relationships/hyperlink" Target="https://fbref.com/en/squads/2abfe087/2017-2018/Watford-Stats" TargetMode="External"/><Relationship Id="rId516" Type="http://schemas.openxmlformats.org/officeDocument/2006/relationships/hyperlink" Target="https://fbref.com/en/players/53af52f3/Kasper-Schmeichel" TargetMode="External"/><Relationship Id="rId48" Type="http://schemas.openxmlformats.org/officeDocument/2006/relationships/hyperlink" Target="https://fbref.com/en/players/903b6e8b/Jose-Sa" TargetMode="External"/><Relationship Id="rId113" Type="http://schemas.openxmlformats.org/officeDocument/2006/relationships/hyperlink" Target="https://fbref.com/en/players/2da834f1/Carlton-Morris" TargetMode="External"/><Relationship Id="rId320" Type="http://schemas.openxmlformats.org/officeDocument/2006/relationships/hyperlink" Target="https://fbref.com/en/players/b561db50/Raul-Jimenez" TargetMode="External"/><Relationship Id="rId558" Type="http://schemas.openxmlformats.org/officeDocument/2006/relationships/hyperlink" Target="https://fbref.com/en/players/c3e39f12/Fraser-Forster" TargetMode="External"/><Relationship Id="rId155" Type="http://schemas.openxmlformats.org/officeDocument/2006/relationships/hyperlink" Target="https://fbref.com/en/players/fed7cb61/Kai-Havertz" TargetMode="External"/><Relationship Id="rId197" Type="http://schemas.openxmlformats.org/officeDocument/2006/relationships/hyperlink" Target="https://fbref.com/en/players/dea698d9/Cristiano-Ronaldo" TargetMode="External"/><Relationship Id="rId362" Type="http://schemas.openxmlformats.org/officeDocument/2006/relationships/hyperlink" Target="https://fbref.com/en/players/4d034881/Sergio-Aguero" TargetMode="External"/><Relationship Id="rId418" Type="http://schemas.openxmlformats.org/officeDocument/2006/relationships/hyperlink" Target="https://fbref.com/en/squads/f5922ca5/2018-2019/Huddersfield-Town-Stats" TargetMode="External"/><Relationship Id="rId222" Type="http://schemas.openxmlformats.org/officeDocument/2006/relationships/hyperlink" Target="https://fbref.com/en/players/7956236f/Emiliano-Martinez" TargetMode="External"/><Relationship Id="rId264" Type="http://schemas.openxmlformats.org/officeDocument/2006/relationships/hyperlink" Target="https://fbref.com/en/players/2628fd2b/Bernd-Leno" TargetMode="External"/><Relationship Id="rId471" Type="http://schemas.openxmlformats.org/officeDocument/2006/relationships/hyperlink" Target="https://fbref.com/en/players/c3e39f12/Fraser-Forster" TargetMode="External"/><Relationship Id="rId17" Type="http://schemas.openxmlformats.org/officeDocument/2006/relationships/hyperlink" Target="https://fbref.com/en/players/aed3a70f/Ollie-Watkins" TargetMode="External"/><Relationship Id="rId59" Type="http://schemas.openxmlformats.org/officeDocument/2006/relationships/hyperlink" Target="https://fbref.com/en/players/c06d1086/Paul-Onuachu" TargetMode="External"/><Relationship Id="rId124" Type="http://schemas.openxmlformats.org/officeDocument/2006/relationships/hyperlink" Target="https://fbref.com/en/squads/18bb7c10/2022-2023/Arsenal-Stats" TargetMode="External"/><Relationship Id="rId527" Type="http://schemas.openxmlformats.org/officeDocument/2006/relationships/hyperlink" Target="https://fbref.com/en/players/1d6ac165/Sam-Vokes" TargetMode="External"/><Relationship Id="rId569" Type="http://schemas.openxmlformats.org/officeDocument/2006/relationships/hyperlink" Target="https://fbref.com/en/players/a190d597/Diego-Costa" TargetMode="External"/><Relationship Id="rId70" Type="http://schemas.openxmlformats.org/officeDocument/2006/relationships/hyperlink" Target="https://fbref.com/en/squads/8602292d/2023-2024/Aston-Villa-Stats" TargetMode="External"/><Relationship Id="rId166" Type="http://schemas.openxmlformats.org/officeDocument/2006/relationships/hyperlink" Target="https://fbref.com/en/squads/e4a775cb/2022-2023/Nottingham-Forest-Stats" TargetMode="External"/><Relationship Id="rId331" Type="http://schemas.openxmlformats.org/officeDocument/2006/relationships/hyperlink" Target="https://fbref.com/en/squads/33c895d4/2019-2020/Southampton-Stats" TargetMode="External"/><Relationship Id="rId373" Type="http://schemas.openxmlformats.org/officeDocument/2006/relationships/hyperlink" Target="https://fbref.com/en/squads/18bb7c10/2018-2019/Arsenal-Stats" TargetMode="External"/><Relationship Id="rId429" Type="http://schemas.openxmlformats.org/officeDocument/2006/relationships/hyperlink" Target="https://fbref.com/en/players/8f62b6ee/Hugo-Lloris" TargetMode="External"/><Relationship Id="rId580" Type="http://schemas.openxmlformats.org/officeDocument/2006/relationships/hyperlink" Target="https://fbref.com/en/squads/60c6b05f/2015-2016/West-Bromwich-Albion-Stats" TargetMode="External"/><Relationship Id="rId1" Type="http://schemas.openxmlformats.org/officeDocument/2006/relationships/hyperlink" Target="https://fbref.com/en/squads/822bd0ba/2024-2025/Liverpool-Stats" TargetMode="External"/><Relationship Id="rId233" Type="http://schemas.openxmlformats.org/officeDocument/2006/relationships/hyperlink" Target="https://fbref.com/en/players/beb391dd/Maxwel-Cornet" TargetMode="External"/><Relationship Id="rId440" Type="http://schemas.openxmlformats.org/officeDocument/2006/relationships/hyperlink" Target="https://fbref.com/en/players/4e9a0555/Chris-Wood" TargetMode="External"/><Relationship Id="rId28" Type="http://schemas.openxmlformats.org/officeDocument/2006/relationships/hyperlink" Target="https://fbref.com/en/squads/cd051869/2024-2025/Brentford-Stats" TargetMode="External"/><Relationship Id="rId275" Type="http://schemas.openxmlformats.org/officeDocument/2006/relationships/hyperlink" Target="https://fbref.com/en/players/c596fcb0/Callum-Wilson" TargetMode="External"/><Relationship Id="rId300" Type="http://schemas.openxmlformats.org/officeDocument/2006/relationships/hyperlink" Target="https://fbref.com/en/players/466fb2c5/Aaron-Ramsdale" TargetMode="External"/><Relationship Id="rId482" Type="http://schemas.openxmlformats.org/officeDocument/2006/relationships/hyperlink" Target="https://fbref.com/en/players/a190d597/Diego-Costa" TargetMode="External"/><Relationship Id="rId538" Type="http://schemas.openxmlformats.org/officeDocument/2006/relationships/hyperlink" Target="https://fbref.com/en/squads/8ef52968/2016-2017/Sunderland-Stats" TargetMode="External"/><Relationship Id="rId81" Type="http://schemas.openxmlformats.org/officeDocument/2006/relationships/hyperlink" Target="https://fbref.com/en/players/3a949a25/Martin-Dubravka" TargetMode="External"/><Relationship Id="rId135" Type="http://schemas.openxmlformats.org/officeDocument/2006/relationships/hyperlink" Target="https://fbref.com/en/players/7a2e46a8/Alisson" TargetMode="External"/><Relationship Id="rId177" Type="http://schemas.openxmlformats.org/officeDocument/2006/relationships/hyperlink" Target="https://fbref.com/en/players/6b625ac2/Illan-Meslier" TargetMode="External"/><Relationship Id="rId342" Type="http://schemas.openxmlformats.org/officeDocument/2006/relationships/hyperlink" Target="https://fbref.com/en/players/ab13a5aa/Vicente-Guaita" TargetMode="External"/><Relationship Id="rId384" Type="http://schemas.openxmlformats.org/officeDocument/2006/relationships/hyperlink" Target="https://fbref.com/en/players/4806ec67/Jordan-Pickford" TargetMode="External"/><Relationship Id="rId591" Type="http://schemas.openxmlformats.org/officeDocument/2006/relationships/hyperlink" Target="https://fbref.com/en/players/c4173f1a/Vito-Mannone" TargetMode="External"/><Relationship Id="rId202" Type="http://schemas.openxmlformats.org/officeDocument/2006/relationships/hyperlink" Target="https://fbref.com/en/squads/a2d435b3/2021-2022/Leicester-City-Stats" TargetMode="External"/><Relationship Id="rId244" Type="http://schemas.openxmlformats.org/officeDocument/2006/relationships/hyperlink" Target="https://fbref.com/en/squads/19538871/2020-2021/Manchester-United-Stats" TargetMode="External"/><Relationship Id="rId39" Type="http://schemas.openxmlformats.org/officeDocument/2006/relationships/hyperlink" Target="https://fbref.com/en/players/4806ec67/Jordan-Pickford" TargetMode="External"/><Relationship Id="rId286" Type="http://schemas.openxmlformats.org/officeDocument/2006/relationships/hyperlink" Target="https://fbref.com/en/squads/d07537b9/2020-2021/Brighton-and-Hove-Albion-Stats" TargetMode="External"/><Relationship Id="rId451" Type="http://schemas.openxmlformats.org/officeDocument/2006/relationships/hyperlink" Target="https://fbref.com/en/squads/47c64c55/2017-2018/Crystal-Palace-Stats" TargetMode="External"/><Relationship Id="rId493" Type="http://schemas.openxmlformats.org/officeDocument/2006/relationships/hyperlink" Target="https://fbref.com/en/squads/18bb7c10/2016-2017/Arsenal-Stats" TargetMode="External"/><Relationship Id="rId507" Type="http://schemas.openxmlformats.org/officeDocument/2006/relationships/hyperlink" Target="https://fbref.com/en/players/34ccf6fa/Artur-Boruc" TargetMode="External"/><Relationship Id="rId549" Type="http://schemas.openxmlformats.org/officeDocument/2006/relationships/hyperlink" Target="https://fbref.com/en/players/8f62b6ee/Hugo-Lloris" TargetMode="External"/><Relationship Id="rId50" Type="http://schemas.openxmlformats.org/officeDocument/2006/relationships/hyperlink" Target="https://fbref.com/en/players/0cd31129/Brennan-Johnson" TargetMode="External"/><Relationship Id="rId104" Type="http://schemas.openxmlformats.org/officeDocument/2006/relationships/hyperlink" Target="https://fbref.com/en/players/02b29014/Abdoulaye-Doucoure" TargetMode="External"/><Relationship Id="rId146" Type="http://schemas.openxmlformats.org/officeDocument/2006/relationships/hyperlink" Target="https://fbref.com/en/players/e09f279b/Ivan-Toney" TargetMode="External"/><Relationship Id="rId188" Type="http://schemas.openxmlformats.org/officeDocument/2006/relationships/hyperlink" Target="https://fbref.com/en/players/9674002f/Mason-Mount" TargetMode="External"/><Relationship Id="rId311" Type="http://schemas.openxmlformats.org/officeDocument/2006/relationships/hyperlink" Target="https://fbref.com/en/players/f586779e/Tammy-Abraham" TargetMode="External"/><Relationship Id="rId353" Type="http://schemas.openxmlformats.org/officeDocument/2006/relationships/hyperlink" Target="https://fbref.com/en/players/c596fcb0/Callum-Wilson" TargetMode="External"/><Relationship Id="rId395" Type="http://schemas.openxmlformats.org/officeDocument/2006/relationships/hyperlink" Target="https://fbref.com/en/players/2ce2508a/Luka-Milivojevic" TargetMode="External"/><Relationship Id="rId409" Type="http://schemas.openxmlformats.org/officeDocument/2006/relationships/hyperlink" Target="https://fbref.com/en/squads/d07537b9/2018-2019/Brighton-and-Hove-Albion-Stats" TargetMode="External"/><Relationship Id="rId560" Type="http://schemas.openxmlformats.org/officeDocument/2006/relationships/hyperlink" Target="https://fbref.com/en/players/58ae47b2/Dimitri-Payet" TargetMode="External"/><Relationship Id="rId92" Type="http://schemas.openxmlformats.org/officeDocument/2006/relationships/hyperlink" Target="https://fbref.com/en/players/e8832875/Joao-Pedro" TargetMode="External"/><Relationship Id="rId213" Type="http://schemas.openxmlformats.org/officeDocument/2006/relationships/hyperlink" Target="https://fbref.com/en/players/3a949a25/Martin-Dubravka" TargetMode="External"/><Relationship Id="rId420" Type="http://schemas.openxmlformats.org/officeDocument/2006/relationships/hyperlink" Target="https://fbref.com/en/players/939bc634/Jonas-Lossl" TargetMode="External"/><Relationship Id="rId255" Type="http://schemas.openxmlformats.org/officeDocument/2006/relationships/hyperlink" Target="https://fbref.com/en/players/53af52f3/Kasper-Schmeichel" TargetMode="External"/><Relationship Id="rId297" Type="http://schemas.openxmlformats.org/officeDocument/2006/relationships/hyperlink" Target="https://fbref.com/en/players/9e5708be/Sam-Johnstone" TargetMode="External"/><Relationship Id="rId462" Type="http://schemas.openxmlformats.org/officeDocument/2006/relationships/hyperlink" Target="https://fbref.com/en/players/d596e193/Heurelho-Gomes" TargetMode="External"/><Relationship Id="rId518" Type="http://schemas.openxmlformats.org/officeDocument/2006/relationships/hyperlink" Target="https://fbref.com/en/players/73d9bdc7/Peter-Crouch" TargetMode="External"/><Relationship Id="rId115" Type="http://schemas.openxmlformats.org/officeDocument/2006/relationships/hyperlink" Target="https://fbref.com/en/squads/943e8050/2023-2024/Burnley-Stats" TargetMode="External"/><Relationship Id="rId157" Type="http://schemas.openxmlformats.org/officeDocument/2006/relationships/hyperlink" Target="https://fbref.com/en/squads/8cec06e1/2022-2023/Wolverhampton-Wanderers-Stats" TargetMode="External"/><Relationship Id="rId322" Type="http://schemas.openxmlformats.org/officeDocument/2006/relationships/hyperlink" Target="https://fbref.com/en/squads/18bb7c10/2019-2020/Arsenal-Stats" TargetMode="External"/><Relationship Id="rId364" Type="http://schemas.openxmlformats.org/officeDocument/2006/relationships/hyperlink" Target="https://fbref.com/en/squads/822bd0ba/2018-2019/Liverpool-Stats" TargetMode="External"/><Relationship Id="rId61" Type="http://schemas.openxmlformats.org/officeDocument/2006/relationships/hyperlink" Target="https://fbref.com/en/squads/b8fd03ef/2023-2024/Manchester-City-Stats" TargetMode="External"/><Relationship Id="rId199" Type="http://schemas.openxmlformats.org/officeDocument/2006/relationships/hyperlink" Target="https://fbref.com/en/squads/7c21e445/2021-2022/West-Ham-United-Stats" TargetMode="External"/><Relationship Id="rId571" Type="http://schemas.openxmlformats.org/officeDocument/2006/relationships/hyperlink" Target="https://fbref.com/en/squads/d3fd31cc/2015-2016/Everton-Stats" TargetMode="External"/><Relationship Id="rId19" Type="http://schemas.openxmlformats.org/officeDocument/2006/relationships/hyperlink" Target="https://fbref.com/en/squads/e4a775cb/2024-2025/Nottingham-Forest-Stats" TargetMode="External"/><Relationship Id="rId224" Type="http://schemas.openxmlformats.org/officeDocument/2006/relationships/hyperlink" Target="https://fbref.com/en/players/3515d404/James-Ward-Prowse" TargetMode="External"/><Relationship Id="rId266" Type="http://schemas.openxmlformats.org/officeDocument/2006/relationships/hyperlink" Target="https://fbref.com/en/players/93feac6e/Patrick-Bamford" TargetMode="External"/><Relationship Id="rId431" Type="http://schemas.openxmlformats.org/officeDocument/2006/relationships/hyperlink" Target="https://fbref.com/en/players/e342ad68/Mohamed-Salah" TargetMode="External"/><Relationship Id="rId473" Type="http://schemas.openxmlformats.org/officeDocument/2006/relationships/hyperlink" Target="https://fbref.com/en/players/da052c14/Jordan-Ayew" TargetMode="External"/><Relationship Id="rId529" Type="http://schemas.openxmlformats.org/officeDocument/2006/relationships/hyperlink" Target="https://fbref.com/en/squads/2abfe087/2016-2017/Watford-Stats" TargetMode="External"/><Relationship Id="rId30" Type="http://schemas.openxmlformats.org/officeDocument/2006/relationships/hyperlink" Target="https://fbref.com/en/players/a92ab7be/Mark-Flekken" TargetMode="External"/><Relationship Id="rId126" Type="http://schemas.openxmlformats.org/officeDocument/2006/relationships/hyperlink" Target="https://fbref.com/en/players/466fb2c5/Aaron-Ramsdale" TargetMode="External"/><Relationship Id="rId168" Type="http://schemas.openxmlformats.org/officeDocument/2006/relationships/hyperlink" Target="https://fbref.com/en/players/e5a76dfe/Dean-Henderson" TargetMode="External"/><Relationship Id="rId333" Type="http://schemas.openxmlformats.org/officeDocument/2006/relationships/hyperlink" Target="https://fbref.com/en/players/36c2ca73/Alex-McCarthy" TargetMode="External"/><Relationship Id="rId540" Type="http://schemas.openxmlformats.org/officeDocument/2006/relationships/hyperlink" Target="https://fbref.com/en/players/4806ec67/Jordan-Pickford" TargetMode="External"/><Relationship Id="rId72" Type="http://schemas.openxmlformats.org/officeDocument/2006/relationships/hyperlink" Target="https://fbref.com/en/players/7956236f/Emiliano-Martinez" TargetMode="External"/><Relationship Id="rId375" Type="http://schemas.openxmlformats.org/officeDocument/2006/relationships/hyperlink" Target="https://fbref.com/en/players/2628fd2b/Bernd-Leno" TargetMode="External"/><Relationship Id="rId582" Type="http://schemas.openxmlformats.org/officeDocument/2006/relationships/hyperlink" Target="https://fbref.com/en/players/7ca2d989/Boaz-Myhill" TargetMode="External"/><Relationship Id="rId3" Type="http://schemas.openxmlformats.org/officeDocument/2006/relationships/hyperlink" Target="https://fbref.com/en/players/7a2e46a8/Alisson" TargetMode="External"/><Relationship Id="rId235" Type="http://schemas.openxmlformats.org/officeDocument/2006/relationships/hyperlink" Target="https://fbref.com/en/squads/2abfe087/2021-2022/Watford-Stats" TargetMode="External"/><Relationship Id="rId277" Type="http://schemas.openxmlformats.org/officeDocument/2006/relationships/hyperlink" Target="https://fbref.com/en/squads/8cec06e1/2020-2021/Wolverhampton-Wanderers-Stats" TargetMode="External"/><Relationship Id="rId400" Type="http://schemas.openxmlformats.org/officeDocument/2006/relationships/hyperlink" Target="https://fbref.com/en/squads/4ba7cbea/2018-2019/Bournemouth-Stats" TargetMode="External"/><Relationship Id="rId442" Type="http://schemas.openxmlformats.org/officeDocument/2006/relationships/hyperlink" Target="https://fbref.com/en/squads/d3fd31cc/2017-2018/Everton-Stats" TargetMode="External"/><Relationship Id="rId484" Type="http://schemas.openxmlformats.org/officeDocument/2006/relationships/hyperlink" Target="https://fbref.com/en/squads/361ca564/2016-2017/Tottenham-Hotspur-Stats" TargetMode="External"/><Relationship Id="rId137" Type="http://schemas.openxmlformats.org/officeDocument/2006/relationships/hyperlink" Target="https://fbref.com/en/players/83d074ff/Alexis-Mac-Allister" TargetMode="External"/><Relationship Id="rId302" Type="http://schemas.openxmlformats.org/officeDocument/2006/relationships/hyperlink" Target="https://fbref.com/en/players/e342ad68/Mohamed-Salah" TargetMode="External"/><Relationship Id="rId344" Type="http://schemas.openxmlformats.org/officeDocument/2006/relationships/hyperlink" Target="https://fbref.com/en/players/4bcf39f6/Neal-Maupay" TargetMode="External"/><Relationship Id="rId41" Type="http://schemas.openxmlformats.org/officeDocument/2006/relationships/hyperlink" Target="https://fbref.com/en/players/79c84d1c/Jarrod-Bowen" TargetMode="External"/><Relationship Id="rId83" Type="http://schemas.openxmlformats.org/officeDocument/2006/relationships/hyperlink" Target="https://fbref.com/en/players/491a433d/Rasmus-Hojlund" TargetMode="External"/><Relationship Id="rId179" Type="http://schemas.openxmlformats.org/officeDocument/2006/relationships/hyperlink" Target="https://fbref.com/en/players/3515d404/James-Ward-Prowse" TargetMode="External"/><Relationship Id="rId386" Type="http://schemas.openxmlformats.org/officeDocument/2006/relationships/hyperlink" Target="https://fbref.com/en/players/45963054/Jamie-Vardy" TargetMode="External"/><Relationship Id="rId551" Type="http://schemas.openxmlformats.org/officeDocument/2006/relationships/hyperlink" Target="https://fbref.com/en/players/4d034881/Sergio-Aguero" TargetMode="External"/><Relationship Id="rId593" Type="http://schemas.openxmlformats.org/officeDocument/2006/relationships/hyperlink" Target="https://fbref.com/en/players/eb58eef0/Georginio-Wijnaldum" TargetMode="External"/><Relationship Id="rId190" Type="http://schemas.openxmlformats.org/officeDocument/2006/relationships/hyperlink" Target="https://fbref.com/en/squads/361ca564/2021-2022/Tottenham-Hotspur-Stats" TargetMode="External"/><Relationship Id="rId204" Type="http://schemas.openxmlformats.org/officeDocument/2006/relationships/hyperlink" Target="https://fbref.com/en/players/53af52f3/Kasper-Schmeichel" TargetMode="External"/><Relationship Id="rId246" Type="http://schemas.openxmlformats.org/officeDocument/2006/relationships/hyperlink" Target="https://fbref.com/en/players/7ba6d84e/David-de-Gea" TargetMode="External"/><Relationship Id="rId288" Type="http://schemas.openxmlformats.org/officeDocument/2006/relationships/hyperlink" Target="https://fbref.com/en/players/6a713852/Robert-Sanchez" TargetMode="External"/><Relationship Id="rId411" Type="http://schemas.openxmlformats.org/officeDocument/2006/relationships/hyperlink" Target="https://fbref.com/en/players/4535e4bb/Mathew-Ryan" TargetMode="External"/><Relationship Id="rId453" Type="http://schemas.openxmlformats.org/officeDocument/2006/relationships/hyperlink" Target="https://fbref.com/en/players/76eca7e2/Wayne-Hennessey" TargetMode="External"/><Relationship Id="rId509" Type="http://schemas.openxmlformats.org/officeDocument/2006/relationships/hyperlink" Target="https://fbref.com/en/players/b318a643/Salomon-Rondon" TargetMode="External"/><Relationship Id="rId106" Type="http://schemas.openxmlformats.org/officeDocument/2006/relationships/hyperlink" Target="https://fbref.com/en/squads/cd051869/2023-2024/Brentford-Stats" TargetMode="External"/><Relationship Id="rId313" Type="http://schemas.openxmlformats.org/officeDocument/2006/relationships/hyperlink" Target="https://fbref.com/en/squads/a2d435b3/2019-2020/Leicester-City-Stats" TargetMode="External"/><Relationship Id="rId495" Type="http://schemas.openxmlformats.org/officeDocument/2006/relationships/hyperlink" Target="https://fbref.com/en/players/71672fa0/Petr-Cech" TargetMode="External"/><Relationship Id="rId10" Type="http://schemas.openxmlformats.org/officeDocument/2006/relationships/hyperlink" Target="https://fbref.com/en/squads/cff3d9bb/2024-2025/Chelsea-Stats" TargetMode="External"/><Relationship Id="rId52" Type="http://schemas.openxmlformats.org/officeDocument/2006/relationships/hyperlink" Target="https://fbref.com/en/squads/a2d435b3/2024-2025/Leicester-City-Stats" TargetMode="External"/><Relationship Id="rId94" Type="http://schemas.openxmlformats.org/officeDocument/2006/relationships/hyperlink" Target="https://fbref.com/en/squads/4ba7cbea/2023-2024/Bournemouth-Stats" TargetMode="External"/><Relationship Id="rId148" Type="http://schemas.openxmlformats.org/officeDocument/2006/relationships/hyperlink" Target="https://fbref.com/en/squads/fd962109/2022-2023/Fulham-Stats" TargetMode="External"/><Relationship Id="rId355" Type="http://schemas.openxmlformats.org/officeDocument/2006/relationships/hyperlink" Target="https://fbref.com/en/squads/2abfe087/2019-2020/Watford-Stats" TargetMode="External"/><Relationship Id="rId397" Type="http://schemas.openxmlformats.org/officeDocument/2006/relationships/hyperlink" Target="https://fbref.com/en/squads/b2b47a98/2018-2019/Newcastle-United-Stats" TargetMode="External"/><Relationship Id="rId520" Type="http://schemas.openxmlformats.org/officeDocument/2006/relationships/hyperlink" Target="https://fbref.com/en/squads/47c64c55/2016-2017/Crystal-Palace-Stats" TargetMode="External"/><Relationship Id="rId562" Type="http://schemas.openxmlformats.org/officeDocument/2006/relationships/hyperlink" Target="https://fbref.com/en/squads/822bd0ba/2015-2016/Liverpool-Stats" TargetMode="External"/><Relationship Id="rId215" Type="http://schemas.openxmlformats.org/officeDocument/2006/relationships/hyperlink" Target="https://fbref.com/en/players/b2bc3b1f/Wilfried-Zaha" TargetMode="External"/><Relationship Id="rId257" Type="http://schemas.openxmlformats.org/officeDocument/2006/relationships/hyperlink" Target="https://fbref.com/en/players/ac05f970/Michail-Antonio" TargetMode="External"/><Relationship Id="rId422" Type="http://schemas.openxmlformats.org/officeDocument/2006/relationships/hyperlink" Target="https://fbref.com/en/players/4d034881/Sergio-Aguero" TargetMode="External"/><Relationship Id="rId464" Type="http://schemas.openxmlformats.org/officeDocument/2006/relationships/hyperlink" Target="https://fbref.com/en/players/f2f29dda/Glenn-Murray" TargetMode="External"/><Relationship Id="rId299" Type="http://schemas.openxmlformats.org/officeDocument/2006/relationships/hyperlink" Target="https://fbref.com/en/players/dbe56a33/David-McGoldrick" TargetMode="External"/><Relationship Id="rId63" Type="http://schemas.openxmlformats.org/officeDocument/2006/relationships/hyperlink" Target="https://fbref.com/en/players/3bb7b8b4/Ederson" TargetMode="External"/><Relationship Id="rId159" Type="http://schemas.openxmlformats.org/officeDocument/2006/relationships/hyperlink" Target="https://fbref.com/en/players/903b6e8b/Jose-Sa" TargetMode="External"/><Relationship Id="rId366" Type="http://schemas.openxmlformats.org/officeDocument/2006/relationships/hyperlink" Target="https://fbref.com/en/players/7a2e46a8/Alisson" TargetMode="External"/><Relationship Id="rId573" Type="http://schemas.openxmlformats.org/officeDocument/2006/relationships/hyperlink" Target="https://fbref.com/en/players/c444465e/Tim-Howard" TargetMode="External"/><Relationship Id="rId226" Type="http://schemas.openxmlformats.org/officeDocument/2006/relationships/hyperlink" Target="https://fbref.com/en/squads/d3fd31cc/2021-2022/Everton-Stats" TargetMode="External"/><Relationship Id="rId433" Type="http://schemas.openxmlformats.org/officeDocument/2006/relationships/hyperlink" Target="https://fbref.com/en/squads/cff3d9bb/2017-2018/Chelsea-Stats" TargetMode="External"/><Relationship Id="rId74" Type="http://schemas.openxmlformats.org/officeDocument/2006/relationships/hyperlink" Target="https://fbref.com/en/players/92e7e919/Son-Heung-min" TargetMode="External"/><Relationship Id="rId377" Type="http://schemas.openxmlformats.org/officeDocument/2006/relationships/hyperlink" Target="https://fbref.com/en/players/867239d3/Paul-Pogba" TargetMode="External"/><Relationship Id="rId500" Type="http://schemas.openxmlformats.org/officeDocument/2006/relationships/hyperlink" Target="https://fbref.com/en/players/5eae500a/Romelu-Lukaku" TargetMode="External"/><Relationship Id="rId584" Type="http://schemas.openxmlformats.org/officeDocument/2006/relationships/hyperlink" Target="https://fbref.com/en/players/52105203/Scott-Dann" TargetMode="External"/><Relationship Id="rId5" Type="http://schemas.openxmlformats.org/officeDocument/2006/relationships/hyperlink" Target="https://fbref.com/en/players/fed7cb61/Kai-Havertz" TargetMode="External"/><Relationship Id="rId237" Type="http://schemas.openxmlformats.org/officeDocument/2006/relationships/hyperlink" Target="https://fbref.com/en/players/d0b3ceb9/Ben-Foster" TargetMode="External"/><Relationship Id="rId444" Type="http://schemas.openxmlformats.org/officeDocument/2006/relationships/hyperlink" Target="https://fbref.com/en/players/4806ec67/Jordan-Pickford" TargetMode="External"/><Relationship Id="rId290" Type="http://schemas.openxmlformats.org/officeDocument/2006/relationships/hyperlink" Target="https://fbref.com/en/players/4e9a0555/Chris-Wood" TargetMode="External"/><Relationship Id="rId304" Type="http://schemas.openxmlformats.org/officeDocument/2006/relationships/hyperlink" Target="https://fbref.com/en/squads/b8fd03ef/2019-2020/Manchester-City-Stats" TargetMode="External"/><Relationship Id="rId388" Type="http://schemas.openxmlformats.org/officeDocument/2006/relationships/hyperlink" Target="https://fbref.com/en/squads/7c21e445/2018-2019/West-Ham-United-Stats" TargetMode="External"/><Relationship Id="rId511" Type="http://schemas.openxmlformats.org/officeDocument/2006/relationships/hyperlink" Target="https://fbref.com/en/squads/7c21e445/2016-2017/West-Ham-United-Stats" TargetMode="External"/><Relationship Id="rId85" Type="http://schemas.openxmlformats.org/officeDocument/2006/relationships/hyperlink" Target="https://fbref.com/en/squads/7c21e445/2023-2024/West-Ham-United-Stats" TargetMode="External"/><Relationship Id="rId150" Type="http://schemas.openxmlformats.org/officeDocument/2006/relationships/hyperlink" Target="https://fbref.com/en/players/2628fd2b/Bernd-Leno" TargetMode="External"/><Relationship Id="rId595" Type="http://schemas.openxmlformats.org/officeDocument/2006/relationships/hyperlink" Target="https://fbref.com/en/squads/1c781004/2015-2016/Norwich-City-Stats" TargetMode="External"/><Relationship Id="rId248" Type="http://schemas.openxmlformats.org/officeDocument/2006/relationships/hyperlink" Target="https://fbref.com/en/players/e342ad68/Mohamed-Salah" TargetMode="External"/><Relationship Id="rId455" Type="http://schemas.openxmlformats.org/officeDocument/2006/relationships/hyperlink" Target="https://fbref.com/en/players/43458538/Joshua-King" TargetMode="External"/><Relationship Id="rId12" Type="http://schemas.openxmlformats.org/officeDocument/2006/relationships/hyperlink" Target="https://fbref.com/en/players/6a713852/Robert-Sanchez" TargetMode="External"/><Relationship Id="rId108" Type="http://schemas.openxmlformats.org/officeDocument/2006/relationships/hyperlink" Target="https://fbref.com/en/players/a92ab7be/Mark-Flekken" TargetMode="External"/><Relationship Id="rId315" Type="http://schemas.openxmlformats.org/officeDocument/2006/relationships/hyperlink" Target="https://fbref.com/en/players/53af52f3/Kasper-Schmeichel" TargetMode="External"/><Relationship Id="rId522" Type="http://schemas.openxmlformats.org/officeDocument/2006/relationships/hyperlink" Target="https://fbref.com/en/players/76eca7e2/Wayne-Hennessey" TargetMode="External"/><Relationship Id="rId96" Type="http://schemas.openxmlformats.org/officeDocument/2006/relationships/hyperlink" Target="https://fbref.com/en/players/a9dc785c/Neto" TargetMode="External"/><Relationship Id="rId161" Type="http://schemas.openxmlformats.org/officeDocument/2006/relationships/hyperlink" Target="https://fbref.com/en/players/5a04fd92/Said-Benrahma" TargetMode="External"/><Relationship Id="rId399" Type="http://schemas.openxmlformats.org/officeDocument/2006/relationships/hyperlink" Target="https://fbref.com/en/players/3a949a25/Martin-Dubravka" TargetMode="External"/><Relationship Id="rId259" Type="http://schemas.openxmlformats.org/officeDocument/2006/relationships/hyperlink" Target="https://fbref.com/en/squads/361ca564/2020-2021/Tottenham-Hotspur-Stats" TargetMode="External"/><Relationship Id="rId466" Type="http://schemas.openxmlformats.org/officeDocument/2006/relationships/hyperlink" Target="https://fbref.com/en/squads/f5922ca5/2017-2018/Huddersfield-Town-Stats" TargetMode="External"/><Relationship Id="rId23" Type="http://schemas.openxmlformats.org/officeDocument/2006/relationships/hyperlink" Target="https://fbref.com/en/players/ce5143da/Danny-Welbeck" TargetMode="External"/><Relationship Id="rId119" Type="http://schemas.openxmlformats.org/officeDocument/2006/relationships/hyperlink" Target="https://fbref.com/en/players/78b8ac63/Oliver-McBurnie" TargetMode="External"/><Relationship Id="rId326" Type="http://schemas.openxmlformats.org/officeDocument/2006/relationships/hyperlink" Target="https://fbref.com/en/players/d9cfca3d/Lys-Mousset" TargetMode="External"/><Relationship Id="rId533" Type="http://schemas.openxmlformats.org/officeDocument/2006/relationships/hyperlink" Target="https://fbref.com/en/players/9f4647e9/Robert-Snodgrass" TargetMode="External"/><Relationship Id="rId172" Type="http://schemas.openxmlformats.org/officeDocument/2006/relationships/hyperlink" Target="https://fbref.com/en/squads/a2d435b3/2022-2023/Leicester-City-Stats" TargetMode="External"/><Relationship Id="rId477" Type="http://schemas.openxmlformats.org/officeDocument/2006/relationships/hyperlink" Target="https://fbref.com/en/players/cc70a1d5/Jack-Butland" TargetMode="External"/><Relationship Id="rId600" Type="http://schemas.openxmlformats.org/officeDocument/2006/relationships/hyperlink" Target="https://fbref.com/en/players/d899e3bf/Brad-Guzan" TargetMode="External"/><Relationship Id="rId337" Type="http://schemas.openxmlformats.org/officeDocument/2006/relationships/hyperlink" Target="https://fbref.com/en/squads/b2b47a98/2019-2020/Newcastle-United-Stats" TargetMode="External"/><Relationship Id="rId34" Type="http://schemas.openxmlformats.org/officeDocument/2006/relationships/hyperlink" Target="https://fbref.com/en/squads/47c64c55/2024-2025/Crystal-Palace-Stats" TargetMode="External"/><Relationship Id="rId544" Type="http://schemas.openxmlformats.org/officeDocument/2006/relationships/hyperlink" Target="https://fbref.com/en/squads/18bb7c10/2015-2016/Arsenal-Stats" TargetMode="External"/><Relationship Id="rId183" Type="http://schemas.openxmlformats.org/officeDocument/2006/relationships/hyperlink" Target="https://fbref.com/en/players/3bb7b8b4/Ederson" TargetMode="External"/><Relationship Id="rId390" Type="http://schemas.openxmlformats.org/officeDocument/2006/relationships/hyperlink" Target="https://fbref.com/en/players/9328b835/Lukasz-Fabianski" TargetMode="External"/><Relationship Id="rId404" Type="http://schemas.openxmlformats.org/officeDocument/2006/relationships/hyperlink" Target="https://fbref.com/en/players/2691c772/Ashley-Barnes" TargetMode="External"/><Relationship Id="rId250" Type="http://schemas.openxmlformats.org/officeDocument/2006/relationships/hyperlink" Target="https://fbref.com/en/squads/cff3d9bb/2020-2021/Chelsea-Stats" TargetMode="External"/><Relationship Id="rId488" Type="http://schemas.openxmlformats.org/officeDocument/2006/relationships/hyperlink" Target="https://fbref.com/en/players/4d034881/Sergio-Aguero" TargetMode="External"/><Relationship Id="rId45" Type="http://schemas.openxmlformats.org/officeDocument/2006/relationships/hyperlink" Target="https://fbref.com/en/players/e9c0c1b2/Andre-Onana" TargetMode="External"/><Relationship Id="rId110" Type="http://schemas.openxmlformats.org/officeDocument/2006/relationships/hyperlink" Target="https://fbref.com/en/players/4e9a0555/Chris-Wood" TargetMode="External"/><Relationship Id="rId348" Type="http://schemas.openxmlformats.org/officeDocument/2006/relationships/hyperlink" Target="https://fbref.com/en/players/9328b835/Lukasz-Fabianski" TargetMode="External"/><Relationship Id="rId555" Type="http://schemas.openxmlformats.org/officeDocument/2006/relationships/hyperlink" Target="https://fbref.com/en/players/7ba6d84e/David-de-Gea" TargetMode="External"/><Relationship Id="rId194" Type="http://schemas.openxmlformats.org/officeDocument/2006/relationships/hyperlink" Target="https://fbref.com/en/players/bc7dc64d/Bukayo-Saka" TargetMode="External"/><Relationship Id="rId208" Type="http://schemas.openxmlformats.org/officeDocument/2006/relationships/hyperlink" Target="https://fbref.com/en/squads/8cec06e1/2021-2022/Wolverhampton-Wanderers-Stats" TargetMode="External"/><Relationship Id="rId415" Type="http://schemas.openxmlformats.org/officeDocument/2006/relationships/hyperlink" Target="https://fbref.com/en/squads/fd962109/2018-2019/Fulham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03"/>
  <sheetViews>
    <sheetView topLeftCell="A322" workbookViewId="0">
      <selection activeCell="E338" sqref="E338"/>
    </sheetView>
  </sheetViews>
  <sheetFormatPr defaultColWidth="12.609375" defaultRowHeight="15.75" customHeight="1"/>
  <sheetData>
    <row r="1" spans="1:16" ht="15.75" customHeight="1">
      <c r="A1" s="34" t="s">
        <v>0</v>
      </c>
      <c r="B1" s="34" t="s">
        <v>1</v>
      </c>
      <c r="C1" s="35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</row>
    <row r="2" spans="1:16" ht="15.75" customHeight="1">
      <c r="A2" s="4">
        <v>1</v>
      </c>
      <c r="B2" s="5" t="s">
        <v>16</v>
      </c>
      <c r="C2" s="4">
        <v>2025</v>
      </c>
      <c r="D2" s="4">
        <v>23</v>
      </c>
      <c r="E2" s="4">
        <v>18</v>
      </c>
      <c r="F2" s="4"/>
      <c r="G2" s="4">
        <v>5</v>
      </c>
      <c r="H2" s="4" t="s">
        <v>17</v>
      </c>
      <c r="I2" s="4" t="s">
        <v>18</v>
      </c>
      <c r="J2" s="4" t="s">
        <v>19</v>
      </c>
      <c r="K2" s="4">
        <v>2278</v>
      </c>
      <c r="L2" s="4" t="s">
        <v>20</v>
      </c>
      <c r="M2" s="4">
        <v>1635</v>
      </c>
      <c r="N2" s="4">
        <v>139.30000000000001</v>
      </c>
      <c r="O2" s="4">
        <v>72</v>
      </c>
      <c r="P2" s="4" t="s">
        <v>21</v>
      </c>
    </row>
    <row r="3" spans="1:16" ht="15.75" customHeight="1">
      <c r="A3" s="4">
        <v>2</v>
      </c>
      <c r="B3" s="5" t="s">
        <v>22</v>
      </c>
      <c r="C3" s="4">
        <v>2025</v>
      </c>
      <c r="D3" s="4">
        <v>23</v>
      </c>
      <c r="E3" s="4">
        <v>17</v>
      </c>
      <c r="F3" s="4"/>
      <c r="G3" s="4">
        <v>6</v>
      </c>
      <c r="H3" s="4" t="s">
        <v>23</v>
      </c>
      <c r="I3" s="4" t="s">
        <v>24</v>
      </c>
      <c r="J3" s="4" t="s">
        <v>25</v>
      </c>
      <c r="K3" s="4">
        <v>2425</v>
      </c>
      <c r="L3" s="4" t="s">
        <v>26</v>
      </c>
      <c r="M3" s="4">
        <v>1714</v>
      </c>
      <c r="N3" s="4">
        <v>141.5</v>
      </c>
      <c r="O3" s="4">
        <v>68</v>
      </c>
      <c r="P3" s="4" t="s">
        <v>27</v>
      </c>
    </row>
    <row r="4" spans="1:16" ht="15.75" customHeight="1">
      <c r="A4" s="4">
        <v>3</v>
      </c>
      <c r="B4" s="5" t="s">
        <v>28</v>
      </c>
      <c r="C4" s="4">
        <v>2025</v>
      </c>
      <c r="D4" s="4">
        <v>23</v>
      </c>
      <c r="E4" s="4">
        <v>16</v>
      </c>
      <c r="F4" s="4">
        <v>1</v>
      </c>
      <c r="G4" s="4">
        <v>6</v>
      </c>
      <c r="H4" s="4" t="s">
        <v>18</v>
      </c>
      <c r="I4" s="6">
        <v>37500</v>
      </c>
      <c r="J4" s="4" t="s">
        <v>29</v>
      </c>
      <c r="K4" s="4">
        <v>2061</v>
      </c>
      <c r="L4" s="4" t="s">
        <v>30</v>
      </c>
      <c r="M4" s="4">
        <v>1804</v>
      </c>
      <c r="N4" s="4">
        <v>114.2</v>
      </c>
      <c r="O4" s="4">
        <v>66</v>
      </c>
      <c r="P4" s="4" t="s">
        <v>31</v>
      </c>
    </row>
    <row r="5" spans="1:16" ht="15.75" customHeight="1">
      <c r="A5" s="4">
        <v>4</v>
      </c>
      <c r="B5" s="5" t="s">
        <v>32</v>
      </c>
      <c r="C5" s="4">
        <v>2025</v>
      </c>
      <c r="D5" s="4">
        <v>23</v>
      </c>
      <c r="E5" s="4">
        <v>16</v>
      </c>
      <c r="F5" s="4"/>
      <c r="G5" s="4">
        <v>7</v>
      </c>
      <c r="H5" s="4" t="s">
        <v>33</v>
      </c>
      <c r="I5" s="4" t="s">
        <v>18</v>
      </c>
      <c r="J5" s="4" t="s">
        <v>34</v>
      </c>
      <c r="K5" s="4">
        <v>1991</v>
      </c>
      <c r="L5" s="4" t="s">
        <v>35</v>
      </c>
      <c r="M5" s="4">
        <v>1627</v>
      </c>
      <c r="N5" s="4">
        <v>122.4</v>
      </c>
      <c r="O5" s="4">
        <v>64</v>
      </c>
      <c r="P5" s="4" t="s">
        <v>36</v>
      </c>
    </row>
    <row r="6" spans="1:16" ht="15.75" customHeight="1">
      <c r="A6" s="4">
        <v>5</v>
      </c>
      <c r="B6" s="5" t="s">
        <v>37</v>
      </c>
      <c r="C6" s="4">
        <v>2025</v>
      </c>
      <c r="D6" s="4">
        <v>23</v>
      </c>
      <c r="E6" s="4">
        <v>16</v>
      </c>
      <c r="F6" s="4"/>
      <c r="G6" s="4">
        <v>7</v>
      </c>
      <c r="H6" s="4" t="s">
        <v>38</v>
      </c>
      <c r="I6" s="4" t="s">
        <v>24</v>
      </c>
      <c r="J6" s="4" t="s">
        <v>39</v>
      </c>
      <c r="K6" s="4">
        <v>2114</v>
      </c>
      <c r="L6" s="4" t="s">
        <v>40</v>
      </c>
      <c r="M6" s="4">
        <v>1834</v>
      </c>
      <c r="N6" s="4">
        <v>115.3</v>
      </c>
      <c r="O6" s="4">
        <v>64</v>
      </c>
      <c r="P6" s="4" t="s">
        <v>41</v>
      </c>
    </row>
    <row r="7" spans="1:16" ht="15.75" customHeight="1">
      <c r="A7" s="4">
        <v>6</v>
      </c>
      <c r="B7" s="5" t="s">
        <v>42</v>
      </c>
      <c r="C7" s="4">
        <v>2025</v>
      </c>
      <c r="D7" s="4">
        <v>23</v>
      </c>
      <c r="E7" s="4">
        <v>16</v>
      </c>
      <c r="F7" s="4"/>
      <c r="G7" s="4">
        <v>7</v>
      </c>
      <c r="H7" s="4" t="s">
        <v>38</v>
      </c>
      <c r="I7" s="4" t="s">
        <v>24</v>
      </c>
      <c r="J7" s="4" t="s">
        <v>43</v>
      </c>
      <c r="K7" s="4">
        <v>1978</v>
      </c>
      <c r="L7" s="4" t="s">
        <v>44</v>
      </c>
      <c r="M7" s="4">
        <v>1815</v>
      </c>
      <c r="N7" s="4">
        <v>109</v>
      </c>
      <c r="O7" s="4">
        <v>64</v>
      </c>
      <c r="P7" s="4" t="s">
        <v>45</v>
      </c>
    </row>
    <row r="8" spans="1:16" ht="15.75" customHeight="1">
      <c r="A8" s="4">
        <v>7</v>
      </c>
      <c r="B8" s="5" t="s">
        <v>46</v>
      </c>
      <c r="C8" s="4">
        <v>2025</v>
      </c>
      <c r="D8" s="4">
        <v>23</v>
      </c>
      <c r="E8" s="4">
        <v>15</v>
      </c>
      <c r="F8" s="4"/>
      <c r="G8" s="4">
        <v>8</v>
      </c>
      <c r="H8" s="4" t="s">
        <v>23</v>
      </c>
      <c r="I8" s="4" t="s">
        <v>47</v>
      </c>
      <c r="J8" s="4" t="s">
        <v>48</v>
      </c>
      <c r="K8" s="4">
        <v>2173</v>
      </c>
      <c r="L8" s="4" t="s">
        <v>49</v>
      </c>
      <c r="M8" s="4">
        <v>1740</v>
      </c>
      <c r="N8" s="4">
        <v>124.9</v>
      </c>
      <c r="O8" s="4">
        <v>60</v>
      </c>
      <c r="P8" s="4" t="s">
        <v>50</v>
      </c>
    </row>
    <row r="9" spans="1:16" ht="15.75" customHeight="1">
      <c r="A9" s="4">
        <v>8</v>
      </c>
      <c r="B9" s="5" t="s">
        <v>51</v>
      </c>
      <c r="C9" s="4">
        <v>2025</v>
      </c>
      <c r="D9" s="4">
        <v>23</v>
      </c>
      <c r="E9" s="4">
        <v>15</v>
      </c>
      <c r="F9" s="4"/>
      <c r="G9" s="4">
        <v>8</v>
      </c>
      <c r="H9" s="4" t="s">
        <v>52</v>
      </c>
      <c r="I9" s="4" t="s">
        <v>53</v>
      </c>
      <c r="J9" s="4" t="s">
        <v>54</v>
      </c>
      <c r="K9" s="4">
        <v>2045</v>
      </c>
      <c r="L9" s="4" t="s">
        <v>55</v>
      </c>
      <c r="M9" s="4">
        <v>1691</v>
      </c>
      <c r="N9" s="4">
        <v>120.9</v>
      </c>
      <c r="O9" s="4">
        <v>60</v>
      </c>
      <c r="P9" s="4" t="s">
        <v>56</v>
      </c>
    </row>
    <row r="10" spans="1:16" ht="15.75" customHeight="1">
      <c r="A10" s="7">
        <v>9</v>
      </c>
      <c r="B10" s="5" t="s">
        <v>57</v>
      </c>
      <c r="C10" s="4">
        <v>2025</v>
      </c>
      <c r="D10" s="7">
        <v>23</v>
      </c>
      <c r="E10" s="7">
        <v>14</v>
      </c>
      <c r="F10" s="7"/>
      <c r="G10" s="7">
        <v>9</v>
      </c>
      <c r="H10" s="7" t="s">
        <v>58</v>
      </c>
      <c r="I10" s="7" t="s">
        <v>18</v>
      </c>
      <c r="J10" s="7" t="s">
        <v>59</v>
      </c>
      <c r="K10" s="7">
        <v>2493</v>
      </c>
      <c r="L10" s="7" t="s">
        <v>60</v>
      </c>
      <c r="M10" s="7">
        <v>1820</v>
      </c>
      <c r="N10" s="7">
        <v>137</v>
      </c>
      <c r="O10" s="7">
        <v>56</v>
      </c>
      <c r="P10" s="7" t="s">
        <v>61</v>
      </c>
    </row>
    <row r="11" spans="1:16" ht="15.75" customHeight="1">
      <c r="A11" s="7">
        <v>10</v>
      </c>
      <c r="B11" s="5" t="s">
        <v>62</v>
      </c>
      <c r="C11" s="4">
        <v>2025</v>
      </c>
      <c r="D11" s="7">
        <v>23</v>
      </c>
      <c r="E11" s="7">
        <v>12</v>
      </c>
      <c r="F11" s="7"/>
      <c r="G11" s="7">
        <v>11</v>
      </c>
      <c r="H11" s="7" t="s">
        <v>63</v>
      </c>
      <c r="I11" s="7" t="s">
        <v>58</v>
      </c>
      <c r="J11" s="7" t="s">
        <v>64</v>
      </c>
      <c r="K11" s="7">
        <v>1845</v>
      </c>
      <c r="L11" s="7" t="s">
        <v>65</v>
      </c>
      <c r="M11" s="7">
        <v>1902</v>
      </c>
      <c r="N11" s="7">
        <v>97</v>
      </c>
      <c r="O11" s="7">
        <v>48</v>
      </c>
      <c r="P11" s="7" t="s">
        <v>66</v>
      </c>
    </row>
    <row r="12" spans="1:16" ht="15.75" customHeight="1">
      <c r="A12" s="7">
        <v>11</v>
      </c>
      <c r="B12" s="5" t="s">
        <v>67</v>
      </c>
      <c r="C12" s="4">
        <v>2025</v>
      </c>
      <c r="D12" s="7">
        <v>23</v>
      </c>
      <c r="E12" s="7">
        <v>9</v>
      </c>
      <c r="F12" s="7"/>
      <c r="G12" s="7">
        <v>14</v>
      </c>
      <c r="H12" s="7" t="s">
        <v>53</v>
      </c>
      <c r="I12" s="7" t="s">
        <v>68</v>
      </c>
      <c r="J12" s="7" t="s">
        <v>69</v>
      </c>
      <c r="K12" s="7">
        <v>1799</v>
      </c>
      <c r="L12" s="7" t="s">
        <v>70</v>
      </c>
      <c r="M12" s="7">
        <v>1861</v>
      </c>
      <c r="N12" s="7">
        <v>96.7</v>
      </c>
      <c r="O12" s="7">
        <v>36</v>
      </c>
      <c r="P12" s="7" t="s">
        <v>71</v>
      </c>
    </row>
    <row r="13" spans="1:16" ht="15.75" customHeight="1">
      <c r="A13" s="7">
        <v>12</v>
      </c>
      <c r="B13" s="5" t="s">
        <v>72</v>
      </c>
      <c r="C13" s="4">
        <v>2025</v>
      </c>
      <c r="D13" s="7">
        <v>23</v>
      </c>
      <c r="E13" s="7">
        <v>9</v>
      </c>
      <c r="F13" s="7"/>
      <c r="G13" s="7">
        <v>14</v>
      </c>
      <c r="H13" s="7" t="s">
        <v>53</v>
      </c>
      <c r="I13" s="7" t="s">
        <v>68</v>
      </c>
      <c r="J13" s="7" t="s">
        <v>73</v>
      </c>
      <c r="K13" s="7">
        <v>1839</v>
      </c>
      <c r="L13" s="7" t="s">
        <v>74</v>
      </c>
      <c r="M13" s="7">
        <v>2077</v>
      </c>
      <c r="N13" s="7">
        <v>88.5</v>
      </c>
      <c r="O13" s="7">
        <v>36</v>
      </c>
      <c r="P13" s="7" t="s">
        <v>75</v>
      </c>
    </row>
    <row r="14" spans="1:16" ht="15.75" customHeight="1">
      <c r="A14" s="7">
        <v>13</v>
      </c>
      <c r="B14" s="5" t="s">
        <v>76</v>
      </c>
      <c r="C14" s="4">
        <v>2025</v>
      </c>
      <c r="D14" s="7">
        <v>23</v>
      </c>
      <c r="E14" s="7">
        <v>9</v>
      </c>
      <c r="F14" s="7"/>
      <c r="G14" s="7">
        <v>14</v>
      </c>
      <c r="H14" s="7" t="s">
        <v>58</v>
      </c>
      <c r="I14" s="7" t="s">
        <v>77</v>
      </c>
      <c r="J14" s="7" t="s">
        <v>78</v>
      </c>
      <c r="K14" s="7">
        <v>1705</v>
      </c>
      <c r="L14" s="7" t="s">
        <v>79</v>
      </c>
      <c r="M14" s="7">
        <v>2136</v>
      </c>
      <c r="N14" s="7">
        <v>79.8</v>
      </c>
      <c r="O14" s="7">
        <v>36</v>
      </c>
      <c r="P14" s="7" t="s">
        <v>80</v>
      </c>
    </row>
    <row r="15" spans="1:16" ht="15.75" customHeight="1">
      <c r="A15" s="7">
        <v>14</v>
      </c>
      <c r="B15" s="5" t="s">
        <v>81</v>
      </c>
      <c r="C15" s="4">
        <v>2025</v>
      </c>
      <c r="D15" s="7">
        <v>23</v>
      </c>
      <c r="E15" s="7">
        <v>7</v>
      </c>
      <c r="F15" s="7"/>
      <c r="G15" s="7">
        <v>16</v>
      </c>
      <c r="H15" s="7" t="s">
        <v>53</v>
      </c>
      <c r="I15" s="7" t="s">
        <v>77</v>
      </c>
      <c r="J15" s="7" t="s">
        <v>82</v>
      </c>
      <c r="K15" s="7">
        <v>1902</v>
      </c>
      <c r="L15" s="7" t="s">
        <v>83</v>
      </c>
      <c r="M15" s="7">
        <v>2038</v>
      </c>
      <c r="N15" s="7">
        <v>93.3</v>
      </c>
      <c r="O15" s="7">
        <v>28</v>
      </c>
      <c r="P15" s="7" t="s">
        <v>84</v>
      </c>
    </row>
    <row r="16" spans="1:16" ht="15.75" customHeight="1">
      <c r="A16" s="7">
        <v>15</v>
      </c>
      <c r="B16" s="5" t="s">
        <v>85</v>
      </c>
      <c r="C16" s="4">
        <v>2025</v>
      </c>
      <c r="D16" s="7">
        <v>23</v>
      </c>
      <c r="E16" s="7">
        <v>6</v>
      </c>
      <c r="F16" s="7"/>
      <c r="G16" s="7">
        <v>17</v>
      </c>
      <c r="H16" s="7" t="s">
        <v>68</v>
      </c>
      <c r="I16" s="7" t="s">
        <v>86</v>
      </c>
      <c r="J16" s="7" t="s">
        <v>87</v>
      </c>
      <c r="K16" s="7">
        <v>1535</v>
      </c>
      <c r="L16" s="7" t="s">
        <v>88</v>
      </c>
      <c r="M16" s="7">
        <v>2209</v>
      </c>
      <c r="N16" s="7">
        <v>69.5</v>
      </c>
      <c r="O16" s="7">
        <v>24</v>
      </c>
      <c r="P16" s="7" t="s">
        <v>89</v>
      </c>
    </row>
    <row r="17" spans="1:16" ht="15.75" customHeight="1">
      <c r="A17" s="7">
        <v>16</v>
      </c>
      <c r="B17" s="5" t="s">
        <v>90</v>
      </c>
      <c r="C17" s="4">
        <v>2025</v>
      </c>
      <c r="D17" s="7">
        <v>23</v>
      </c>
      <c r="E17" s="7">
        <v>5</v>
      </c>
      <c r="F17" s="7">
        <v>1</v>
      </c>
      <c r="G17" s="7">
        <v>17</v>
      </c>
      <c r="H17" s="8">
        <v>39508</v>
      </c>
      <c r="I17" s="7" t="s">
        <v>77</v>
      </c>
      <c r="J17" s="7" t="s">
        <v>91</v>
      </c>
      <c r="K17" s="7">
        <v>1805</v>
      </c>
      <c r="L17" s="7" t="s">
        <v>92</v>
      </c>
      <c r="M17" s="7">
        <v>2365</v>
      </c>
      <c r="N17" s="7">
        <v>76.3</v>
      </c>
      <c r="O17" s="7">
        <v>22</v>
      </c>
      <c r="P17" s="7" t="s">
        <v>93</v>
      </c>
    </row>
    <row r="18" spans="1:16" ht="15.75" customHeight="1">
      <c r="A18" s="7">
        <v>17</v>
      </c>
      <c r="B18" s="5" t="s">
        <v>94</v>
      </c>
      <c r="C18" s="4">
        <v>2025</v>
      </c>
      <c r="D18" s="7">
        <v>23</v>
      </c>
      <c r="E18" s="7">
        <v>5</v>
      </c>
      <c r="F18" s="7"/>
      <c r="G18" s="7">
        <v>18</v>
      </c>
      <c r="H18" s="7" t="s">
        <v>95</v>
      </c>
      <c r="I18" s="7" t="s">
        <v>96</v>
      </c>
      <c r="J18" s="7" t="s">
        <v>97</v>
      </c>
      <c r="K18" s="7">
        <v>1449</v>
      </c>
      <c r="L18" s="7" t="s">
        <v>98</v>
      </c>
      <c r="M18" s="7">
        <v>2197</v>
      </c>
      <c r="N18" s="7">
        <v>66</v>
      </c>
      <c r="O18" s="7">
        <v>20</v>
      </c>
      <c r="P18" s="7" t="s">
        <v>99</v>
      </c>
    </row>
    <row r="19" spans="1:16" ht="15.75" customHeight="1">
      <c r="A19" s="7">
        <v>18</v>
      </c>
      <c r="B19" s="5" t="s">
        <v>100</v>
      </c>
      <c r="C19" s="4">
        <v>2025</v>
      </c>
      <c r="D19" s="7">
        <v>23</v>
      </c>
      <c r="E19" s="7">
        <v>1</v>
      </c>
      <c r="F19" s="7"/>
      <c r="G19" s="7">
        <v>22</v>
      </c>
      <c r="H19" s="7" t="s">
        <v>96</v>
      </c>
      <c r="I19" s="7" t="s">
        <v>101</v>
      </c>
      <c r="J19" s="7" t="s">
        <v>102</v>
      </c>
      <c r="K19" s="7">
        <v>1466</v>
      </c>
      <c r="L19" s="7" t="s">
        <v>103</v>
      </c>
      <c r="M19" s="7">
        <v>2438</v>
      </c>
      <c r="N19" s="7">
        <v>60.1</v>
      </c>
      <c r="O19" s="7">
        <v>4</v>
      </c>
      <c r="P19" s="7" t="s">
        <v>104</v>
      </c>
    </row>
    <row r="20" spans="1:16" ht="15.75" customHeight="1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</row>
    <row r="21" spans="1:16" ht="15.75" customHeight="1">
      <c r="A21" s="2" t="s">
        <v>105</v>
      </c>
      <c r="B21" s="2" t="s">
        <v>106</v>
      </c>
      <c r="C21" s="3" t="s">
        <v>2</v>
      </c>
      <c r="D21" s="1" t="s">
        <v>107</v>
      </c>
      <c r="E21" s="1" t="s">
        <v>108</v>
      </c>
      <c r="F21" s="1" t="s">
        <v>109</v>
      </c>
      <c r="G21" s="1" t="s">
        <v>110</v>
      </c>
      <c r="H21" s="1" t="s">
        <v>111</v>
      </c>
      <c r="I21" s="1" t="s">
        <v>112</v>
      </c>
      <c r="J21" s="1" t="s">
        <v>113</v>
      </c>
      <c r="K21" s="1" t="s">
        <v>114</v>
      </c>
      <c r="L21" s="1" t="s">
        <v>115</v>
      </c>
      <c r="M21" s="1" t="s">
        <v>116</v>
      </c>
      <c r="N21" s="1" t="s">
        <v>117</v>
      </c>
      <c r="O21" s="1" t="s">
        <v>118</v>
      </c>
      <c r="P21" s="1" t="s">
        <v>119</v>
      </c>
    </row>
    <row r="22" spans="1:16" ht="15.75" customHeight="1">
      <c r="A22" s="4">
        <v>1</v>
      </c>
      <c r="B22" s="5" t="s">
        <v>120</v>
      </c>
      <c r="C22" s="4">
        <v>2024</v>
      </c>
      <c r="D22" s="4">
        <v>23</v>
      </c>
      <c r="E22" s="4">
        <v>17</v>
      </c>
      <c r="F22" s="4"/>
      <c r="G22" s="4">
        <v>6</v>
      </c>
      <c r="H22" s="4" t="s">
        <v>23</v>
      </c>
      <c r="I22" s="4" t="s">
        <v>24</v>
      </c>
      <c r="J22" s="4" t="s">
        <v>121</v>
      </c>
      <c r="K22" s="4">
        <v>2242</v>
      </c>
      <c r="L22" s="4" t="s">
        <v>122</v>
      </c>
      <c r="M22" s="4">
        <v>1769</v>
      </c>
      <c r="N22" s="4">
        <v>126.7</v>
      </c>
      <c r="O22" s="4">
        <v>68</v>
      </c>
      <c r="P22" s="4" t="s">
        <v>123</v>
      </c>
    </row>
    <row r="23" spans="1:16" ht="15.75" customHeight="1">
      <c r="A23" s="4">
        <v>2</v>
      </c>
      <c r="B23" s="5" t="s">
        <v>124</v>
      </c>
      <c r="C23" s="4">
        <v>2024</v>
      </c>
      <c r="D23" s="4">
        <v>23</v>
      </c>
      <c r="E23" s="4">
        <v>16</v>
      </c>
      <c r="F23" s="4"/>
      <c r="G23" s="4">
        <v>7</v>
      </c>
      <c r="H23" s="4" t="s">
        <v>33</v>
      </c>
      <c r="I23" s="4" t="s">
        <v>18</v>
      </c>
      <c r="J23" s="4" t="s">
        <v>125</v>
      </c>
      <c r="K23" s="4">
        <v>2011</v>
      </c>
      <c r="L23" s="4" t="s">
        <v>126</v>
      </c>
      <c r="M23" s="4">
        <v>1752</v>
      </c>
      <c r="N23" s="4">
        <v>114.8</v>
      </c>
      <c r="O23" s="4">
        <v>64</v>
      </c>
      <c r="P23" s="4" t="s">
        <v>127</v>
      </c>
    </row>
    <row r="24" spans="1:16" ht="15.75" customHeight="1">
      <c r="A24" s="4">
        <v>3</v>
      </c>
      <c r="B24" s="5" t="s">
        <v>128</v>
      </c>
      <c r="C24" s="4">
        <v>2024</v>
      </c>
      <c r="D24" s="4">
        <v>23</v>
      </c>
      <c r="E24" s="4">
        <v>15</v>
      </c>
      <c r="F24" s="4"/>
      <c r="G24" s="4">
        <v>8</v>
      </c>
      <c r="H24" s="4" t="s">
        <v>38</v>
      </c>
      <c r="I24" s="4" t="s">
        <v>58</v>
      </c>
      <c r="J24" s="4" t="s">
        <v>129</v>
      </c>
      <c r="K24" s="4">
        <v>2164</v>
      </c>
      <c r="L24" s="4" t="s">
        <v>130</v>
      </c>
      <c r="M24" s="4">
        <v>1928</v>
      </c>
      <c r="N24" s="4">
        <v>112.2</v>
      </c>
      <c r="O24" s="4">
        <v>60</v>
      </c>
      <c r="P24" s="4" t="s">
        <v>131</v>
      </c>
    </row>
    <row r="25" spans="1:16" ht="15.75" customHeight="1">
      <c r="A25" s="4">
        <v>4</v>
      </c>
      <c r="B25" s="5" t="s">
        <v>132</v>
      </c>
      <c r="C25" s="4">
        <v>2024</v>
      </c>
      <c r="D25" s="4">
        <v>23</v>
      </c>
      <c r="E25" s="4">
        <v>15</v>
      </c>
      <c r="F25" s="4"/>
      <c r="G25" s="4">
        <v>8</v>
      </c>
      <c r="H25" s="4" t="s">
        <v>23</v>
      </c>
      <c r="I25" s="4" t="s">
        <v>47</v>
      </c>
      <c r="J25" s="4" t="s">
        <v>133</v>
      </c>
      <c r="K25" s="4">
        <v>2034</v>
      </c>
      <c r="L25" s="4" t="s">
        <v>134</v>
      </c>
      <c r="M25" s="4">
        <v>1864</v>
      </c>
      <c r="N25" s="4">
        <v>109.1</v>
      </c>
      <c r="O25" s="4">
        <v>60</v>
      </c>
      <c r="P25" s="4" t="s">
        <v>135</v>
      </c>
    </row>
    <row r="26" spans="1:16" ht="15.75" customHeight="1">
      <c r="A26" s="4">
        <v>5</v>
      </c>
      <c r="B26" s="5" t="s">
        <v>136</v>
      </c>
      <c r="C26" s="4">
        <v>2024</v>
      </c>
      <c r="D26" s="4">
        <v>23</v>
      </c>
      <c r="E26" s="4">
        <v>14</v>
      </c>
      <c r="F26" s="4">
        <v>1</v>
      </c>
      <c r="G26" s="4">
        <v>8</v>
      </c>
      <c r="H26" s="4" t="s">
        <v>24</v>
      </c>
      <c r="I26" s="6">
        <v>38139</v>
      </c>
      <c r="J26" s="4" t="s">
        <v>137</v>
      </c>
      <c r="K26" s="4">
        <v>2130</v>
      </c>
      <c r="L26" s="4" t="s">
        <v>138</v>
      </c>
      <c r="M26" s="4">
        <v>1747</v>
      </c>
      <c r="N26" s="4">
        <v>121.9</v>
      </c>
      <c r="O26" s="4">
        <v>58</v>
      </c>
      <c r="P26" s="4" t="s">
        <v>139</v>
      </c>
    </row>
    <row r="27" spans="1:16" ht="15.75" customHeight="1">
      <c r="A27" s="4">
        <v>6</v>
      </c>
      <c r="B27" s="5" t="s">
        <v>140</v>
      </c>
      <c r="C27" s="4">
        <v>2024</v>
      </c>
      <c r="D27" s="4">
        <v>23</v>
      </c>
      <c r="E27" s="4">
        <v>14</v>
      </c>
      <c r="F27" s="4"/>
      <c r="G27" s="4">
        <v>9</v>
      </c>
      <c r="H27" s="4" t="s">
        <v>58</v>
      </c>
      <c r="I27" s="4" t="s">
        <v>18</v>
      </c>
      <c r="J27" s="4" t="s">
        <v>141</v>
      </c>
      <c r="K27" s="4">
        <v>2171</v>
      </c>
      <c r="L27" s="4" t="s">
        <v>142</v>
      </c>
      <c r="M27" s="4">
        <v>1736</v>
      </c>
      <c r="N27" s="4">
        <v>125.1</v>
      </c>
      <c r="O27" s="4">
        <v>56</v>
      </c>
      <c r="P27" s="4" t="s">
        <v>143</v>
      </c>
    </row>
    <row r="28" spans="1:16" ht="15.75" customHeight="1">
      <c r="A28" s="4">
        <v>7</v>
      </c>
      <c r="B28" s="5" t="s">
        <v>144</v>
      </c>
      <c r="C28" s="4">
        <v>2024</v>
      </c>
      <c r="D28" s="4">
        <v>23</v>
      </c>
      <c r="E28" s="4">
        <v>14</v>
      </c>
      <c r="F28" s="4"/>
      <c r="G28" s="4">
        <v>9</v>
      </c>
      <c r="H28" s="4" t="s">
        <v>38</v>
      </c>
      <c r="I28" s="4" t="s">
        <v>47</v>
      </c>
      <c r="J28" s="4" t="s">
        <v>145</v>
      </c>
      <c r="K28" s="4">
        <v>2090</v>
      </c>
      <c r="L28" s="4" t="s">
        <v>146</v>
      </c>
      <c r="M28" s="4">
        <v>1763</v>
      </c>
      <c r="N28" s="4">
        <v>118.5</v>
      </c>
      <c r="O28" s="4">
        <v>56</v>
      </c>
      <c r="P28" s="4" t="s">
        <v>147</v>
      </c>
    </row>
    <row r="29" spans="1:16" ht="15.75" customHeight="1">
      <c r="A29" s="4">
        <v>8</v>
      </c>
      <c r="B29" s="5" t="s">
        <v>148</v>
      </c>
      <c r="C29" s="4">
        <v>2024</v>
      </c>
      <c r="D29" s="4">
        <v>23</v>
      </c>
      <c r="E29" s="4">
        <v>13</v>
      </c>
      <c r="F29" s="4"/>
      <c r="G29" s="4">
        <v>10</v>
      </c>
      <c r="H29" s="4" t="s">
        <v>149</v>
      </c>
      <c r="I29" s="4" t="s">
        <v>58</v>
      </c>
      <c r="J29" s="4" t="s">
        <v>150</v>
      </c>
      <c r="K29" s="4">
        <v>2151</v>
      </c>
      <c r="L29" s="4" t="s">
        <v>151</v>
      </c>
      <c r="M29" s="4">
        <v>1952</v>
      </c>
      <c r="N29" s="4">
        <v>110.2</v>
      </c>
      <c r="O29" s="4">
        <v>52</v>
      </c>
      <c r="P29" s="4" t="s">
        <v>152</v>
      </c>
    </row>
    <row r="30" spans="1:16" ht="15.75" customHeight="1">
      <c r="A30" s="7">
        <v>9</v>
      </c>
      <c r="B30" s="5" t="s">
        <v>153</v>
      </c>
      <c r="C30" s="4">
        <v>2024</v>
      </c>
      <c r="D30" s="7">
        <v>23</v>
      </c>
      <c r="E30" s="7">
        <v>12</v>
      </c>
      <c r="F30" s="7">
        <v>2</v>
      </c>
      <c r="G30" s="7">
        <v>9</v>
      </c>
      <c r="H30" s="7" t="s">
        <v>24</v>
      </c>
      <c r="I30" s="8">
        <v>38444</v>
      </c>
      <c r="J30" s="7" t="s">
        <v>154</v>
      </c>
      <c r="K30" s="7">
        <v>1991</v>
      </c>
      <c r="L30" s="7" t="s">
        <v>155</v>
      </c>
      <c r="M30" s="7">
        <v>1943</v>
      </c>
      <c r="N30" s="7">
        <v>102.5</v>
      </c>
      <c r="O30" s="7">
        <v>52</v>
      </c>
      <c r="P30" s="7" t="s">
        <v>156</v>
      </c>
    </row>
    <row r="31" spans="1:16" ht="15.75" customHeight="1">
      <c r="A31" s="7">
        <v>10</v>
      </c>
      <c r="B31" s="5" t="s">
        <v>157</v>
      </c>
      <c r="C31" s="4">
        <v>2024</v>
      </c>
      <c r="D31" s="7">
        <v>23</v>
      </c>
      <c r="E31" s="7">
        <v>12</v>
      </c>
      <c r="F31" s="7">
        <v>1</v>
      </c>
      <c r="G31" s="7">
        <v>10</v>
      </c>
      <c r="H31" s="8">
        <v>38169</v>
      </c>
      <c r="I31" s="7" t="s">
        <v>63</v>
      </c>
      <c r="J31" s="7" t="s">
        <v>158</v>
      </c>
      <c r="K31" s="7">
        <v>1964</v>
      </c>
      <c r="L31" s="7" t="s">
        <v>159</v>
      </c>
      <c r="M31" s="7">
        <v>1755</v>
      </c>
      <c r="N31" s="7">
        <v>111.9</v>
      </c>
      <c r="O31" s="7">
        <v>50</v>
      </c>
      <c r="P31" s="7" t="s">
        <v>160</v>
      </c>
    </row>
    <row r="32" spans="1:16" ht="15.75" customHeight="1">
      <c r="A32" s="7">
        <v>11</v>
      </c>
      <c r="B32" s="5" t="s">
        <v>161</v>
      </c>
      <c r="C32" s="4">
        <v>2024</v>
      </c>
      <c r="D32" s="7">
        <v>23</v>
      </c>
      <c r="E32" s="7">
        <v>11</v>
      </c>
      <c r="F32" s="7">
        <v>1</v>
      </c>
      <c r="G32" s="7">
        <v>11</v>
      </c>
      <c r="H32" s="8">
        <v>38139</v>
      </c>
      <c r="I32" s="7" t="s">
        <v>53</v>
      </c>
      <c r="J32" s="7" t="s">
        <v>162</v>
      </c>
      <c r="K32" s="7">
        <v>1892</v>
      </c>
      <c r="L32" s="7" t="s">
        <v>163</v>
      </c>
      <c r="M32" s="7">
        <v>2024</v>
      </c>
      <c r="N32" s="7">
        <v>93.5</v>
      </c>
      <c r="O32" s="7">
        <v>46</v>
      </c>
      <c r="P32" s="7" t="s">
        <v>164</v>
      </c>
    </row>
    <row r="33" spans="1:16" ht="15.75" customHeight="1">
      <c r="A33" s="7">
        <v>12</v>
      </c>
      <c r="B33" s="5" t="s">
        <v>165</v>
      </c>
      <c r="C33" s="4">
        <v>2024</v>
      </c>
      <c r="D33" s="7">
        <v>23</v>
      </c>
      <c r="E33" s="7">
        <v>11</v>
      </c>
      <c r="F33" s="7"/>
      <c r="G33" s="7">
        <v>12</v>
      </c>
      <c r="H33" s="7" t="s">
        <v>18</v>
      </c>
      <c r="I33" s="7" t="s">
        <v>95</v>
      </c>
      <c r="J33" s="7" t="s">
        <v>166</v>
      </c>
      <c r="K33" s="7">
        <v>1748</v>
      </c>
      <c r="L33" s="7" t="s">
        <v>167</v>
      </c>
      <c r="M33" s="7">
        <v>1758</v>
      </c>
      <c r="N33" s="7">
        <v>99.4</v>
      </c>
      <c r="O33" s="7">
        <v>44</v>
      </c>
      <c r="P33" s="7" t="s">
        <v>168</v>
      </c>
    </row>
    <row r="34" spans="1:16" ht="15.75" customHeight="1">
      <c r="A34" s="7">
        <v>13</v>
      </c>
      <c r="B34" s="5" t="s">
        <v>169</v>
      </c>
      <c r="C34" s="4">
        <v>2024</v>
      </c>
      <c r="D34" s="7">
        <v>23</v>
      </c>
      <c r="E34" s="7">
        <v>11</v>
      </c>
      <c r="F34" s="7"/>
      <c r="G34" s="7">
        <v>12</v>
      </c>
      <c r="H34" s="7" t="s">
        <v>33</v>
      </c>
      <c r="I34" s="7" t="s">
        <v>77</v>
      </c>
      <c r="J34" s="7" t="s">
        <v>170</v>
      </c>
      <c r="K34" s="7">
        <v>1925</v>
      </c>
      <c r="L34" s="7" t="s">
        <v>171</v>
      </c>
      <c r="M34" s="7">
        <v>1943</v>
      </c>
      <c r="N34" s="7">
        <v>99.1</v>
      </c>
      <c r="O34" s="7">
        <v>44</v>
      </c>
      <c r="P34" s="7" t="s">
        <v>172</v>
      </c>
    </row>
    <row r="35" spans="1:16" ht="15.75" customHeight="1">
      <c r="A35" s="7">
        <v>14</v>
      </c>
      <c r="B35" s="5" t="s">
        <v>173</v>
      </c>
      <c r="C35" s="4">
        <v>2024</v>
      </c>
      <c r="D35" s="7">
        <v>23</v>
      </c>
      <c r="E35" s="7">
        <v>11</v>
      </c>
      <c r="F35" s="7"/>
      <c r="G35" s="7">
        <v>12</v>
      </c>
      <c r="H35" s="7" t="s">
        <v>149</v>
      </c>
      <c r="I35" s="7" t="s">
        <v>53</v>
      </c>
      <c r="J35" s="7" t="s">
        <v>174</v>
      </c>
      <c r="K35" s="7">
        <v>1785</v>
      </c>
      <c r="L35" s="7" t="s">
        <v>175</v>
      </c>
      <c r="M35" s="7">
        <v>1812</v>
      </c>
      <c r="N35" s="7">
        <v>98.5</v>
      </c>
      <c r="O35" s="7">
        <v>44</v>
      </c>
      <c r="P35" s="7" t="s">
        <v>176</v>
      </c>
    </row>
    <row r="36" spans="1:16" ht="12.3">
      <c r="A36" s="7">
        <v>15</v>
      </c>
      <c r="B36" s="5" t="s">
        <v>177</v>
      </c>
      <c r="C36" s="4">
        <v>2024</v>
      </c>
      <c r="D36" s="7">
        <v>23</v>
      </c>
      <c r="E36" s="7">
        <v>8</v>
      </c>
      <c r="F36" s="7">
        <v>1</v>
      </c>
      <c r="G36" s="7">
        <v>14</v>
      </c>
      <c r="H36" s="8">
        <v>38838</v>
      </c>
      <c r="I36" s="7" t="s">
        <v>178</v>
      </c>
      <c r="J36" s="7" t="s">
        <v>179</v>
      </c>
      <c r="K36" s="7">
        <v>1906</v>
      </c>
      <c r="L36" s="7" t="s">
        <v>180</v>
      </c>
      <c r="M36" s="7">
        <v>1923</v>
      </c>
      <c r="N36" s="7">
        <v>99.1</v>
      </c>
      <c r="O36" s="7">
        <v>34</v>
      </c>
      <c r="P36" s="7" t="s">
        <v>181</v>
      </c>
    </row>
    <row r="37" spans="1:16" ht="15.6" customHeight="1">
      <c r="A37" s="7">
        <v>16</v>
      </c>
      <c r="B37" s="5" t="s">
        <v>182</v>
      </c>
      <c r="C37" s="4">
        <v>2024</v>
      </c>
      <c r="D37" s="7">
        <v>23</v>
      </c>
      <c r="E37" s="7">
        <v>5</v>
      </c>
      <c r="F37" s="7"/>
      <c r="G37" s="7">
        <v>18</v>
      </c>
      <c r="H37" s="7" t="s">
        <v>95</v>
      </c>
      <c r="I37" s="7" t="s">
        <v>96</v>
      </c>
      <c r="J37" s="7" t="s">
        <v>183</v>
      </c>
      <c r="K37" s="7">
        <v>1594</v>
      </c>
      <c r="L37" s="7" t="s">
        <v>184</v>
      </c>
      <c r="M37" s="7">
        <v>2339</v>
      </c>
      <c r="N37" s="7">
        <v>68.099999999999994</v>
      </c>
      <c r="O37" s="7">
        <v>20</v>
      </c>
      <c r="P37" s="7" t="s">
        <v>185</v>
      </c>
    </row>
    <row r="38" spans="1:16" ht="12.3">
      <c r="A38" s="7">
        <v>17</v>
      </c>
      <c r="B38" s="5" t="s">
        <v>186</v>
      </c>
      <c r="C38" s="4">
        <v>2024</v>
      </c>
      <c r="D38" s="7">
        <v>23</v>
      </c>
      <c r="E38" s="7">
        <v>3</v>
      </c>
      <c r="F38" s="7"/>
      <c r="G38" s="7">
        <v>20</v>
      </c>
      <c r="H38" s="7" t="s">
        <v>77</v>
      </c>
      <c r="I38" s="7" t="s">
        <v>187</v>
      </c>
      <c r="J38" s="7" t="s">
        <v>188</v>
      </c>
      <c r="K38" s="7">
        <v>1619</v>
      </c>
      <c r="L38" s="7" t="s">
        <v>189</v>
      </c>
      <c r="M38" s="7">
        <v>2550</v>
      </c>
      <c r="N38" s="7">
        <v>63.5</v>
      </c>
      <c r="O38" s="7">
        <v>12</v>
      </c>
      <c r="P38" s="7" t="s">
        <v>190</v>
      </c>
    </row>
    <row r="39" spans="1:16" ht="12.3">
      <c r="A39" s="7">
        <v>18</v>
      </c>
      <c r="B39" s="5" t="s">
        <v>191</v>
      </c>
      <c r="C39" s="4">
        <v>2024</v>
      </c>
      <c r="D39" s="7">
        <v>23</v>
      </c>
      <c r="E39" s="7">
        <v>2</v>
      </c>
      <c r="F39" s="7"/>
      <c r="G39" s="7">
        <v>21</v>
      </c>
      <c r="H39" s="7" t="s">
        <v>187</v>
      </c>
      <c r="I39" s="7" t="s">
        <v>96</v>
      </c>
      <c r="J39" s="7" t="s">
        <v>192</v>
      </c>
      <c r="K39" s="7">
        <v>1505</v>
      </c>
      <c r="L39" s="7" t="s">
        <v>193</v>
      </c>
      <c r="M39" s="7">
        <v>2364</v>
      </c>
      <c r="N39" s="7">
        <v>63.7</v>
      </c>
      <c r="O39" s="7">
        <v>8</v>
      </c>
      <c r="P39" s="7" t="s">
        <v>194</v>
      </c>
    </row>
    <row r="41" spans="1:16" ht="12.3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</row>
    <row r="42" spans="1:16" ht="12.3">
      <c r="A42" s="2" t="s">
        <v>195</v>
      </c>
      <c r="B42" s="2" t="s">
        <v>196</v>
      </c>
      <c r="C42" s="3" t="s">
        <v>2</v>
      </c>
      <c r="D42" s="1" t="s">
        <v>197</v>
      </c>
      <c r="E42" s="1" t="s">
        <v>198</v>
      </c>
      <c r="F42" s="1" t="s">
        <v>199</v>
      </c>
      <c r="G42" s="1" t="s">
        <v>200</v>
      </c>
      <c r="H42" s="1" t="s">
        <v>201</v>
      </c>
      <c r="I42" s="1" t="s">
        <v>202</v>
      </c>
      <c r="J42" s="1" t="s">
        <v>203</v>
      </c>
      <c r="K42" s="1" t="s">
        <v>204</v>
      </c>
      <c r="L42" s="1" t="s">
        <v>205</v>
      </c>
      <c r="M42" s="1" t="s">
        <v>206</v>
      </c>
      <c r="N42" s="1" t="s">
        <v>207</v>
      </c>
      <c r="O42" s="1" t="s">
        <v>208</v>
      </c>
    </row>
    <row r="43" spans="1:16" ht="12.3">
      <c r="A43" s="4">
        <v>1</v>
      </c>
      <c r="B43" s="5" t="s">
        <v>209</v>
      </c>
      <c r="C43" s="4">
        <v>2023</v>
      </c>
      <c r="D43" s="4">
        <v>23</v>
      </c>
      <c r="E43" s="4">
        <v>18</v>
      </c>
      <c r="F43" s="4"/>
      <c r="G43" s="4">
        <v>5</v>
      </c>
      <c r="H43" s="4" t="s">
        <v>210</v>
      </c>
      <c r="I43" s="4" t="s">
        <v>38</v>
      </c>
      <c r="J43" s="4" t="s">
        <v>211</v>
      </c>
      <c r="K43" s="4">
        <v>2142</v>
      </c>
      <c r="L43" s="4" t="s">
        <v>212</v>
      </c>
      <c r="M43" s="4">
        <v>1687</v>
      </c>
      <c r="N43" s="4">
        <v>127</v>
      </c>
      <c r="O43" s="4">
        <v>72</v>
      </c>
    </row>
    <row r="44" spans="1:16" ht="12.3">
      <c r="A44" s="4">
        <v>2</v>
      </c>
      <c r="B44" s="5" t="s">
        <v>213</v>
      </c>
      <c r="C44" s="4">
        <v>2023</v>
      </c>
      <c r="D44" s="4">
        <v>23</v>
      </c>
      <c r="E44" s="4">
        <v>17</v>
      </c>
      <c r="F44" s="4"/>
      <c r="G44" s="4">
        <v>6</v>
      </c>
      <c r="H44" s="4" t="s">
        <v>214</v>
      </c>
      <c r="I44" s="4" t="s">
        <v>63</v>
      </c>
      <c r="J44" s="4" t="s">
        <v>215</v>
      </c>
      <c r="K44" s="4">
        <v>2180</v>
      </c>
      <c r="L44" s="4" t="s">
        <v>216</v>
      </c>
      <c r="M44" s="4">
        <v>1771</v>
      </c>
      <c r="N44" s="4">
        <v>123.1</v>
      </c>
      <c r="O44" s="4">
        <v>68</v>
      </c>
    </row>
    <row r="45" spans="1:16" ht="12.3">
      <c r="A45" s="4">
        <v>3</v>
      </c>
      <c r="B45" s="5" t="s">
        <v>217</v>
      </c>
      <c r="C45" s="4">
        <v>2023</v>
      </c>
      <c r="D45" s="4">
        <v>23</v>
      </c>
      <c r="E45" s="4">
        <v>17</v>
      </c>
      <c r="F45" s="4"/>
      <c r="G45" s="4">
        <v>6</v>
      </c>
      <c r="H45" s="4" t="s">
        <v>210</v>
      </c>
      <c r="I45" s="4" t="s">
        <v>18</v>
      </c>
      <c r="J45" s="4" t="s">
        <v>218</v>
      </c>
      <c r="K45" s="4">
        <v>2149</v>
      </c>
      <c r="L45" s="4" t="s">
        <v>219</v>
      </c>
      <c r="M45" s="4">
        <v>1906</v>
      </c>
      <c r="N45" s="4">
        <v>112.7</v>
      </c>
      <c r="O45" s="4">
        <v>68</v>
      </c>
    </row>
    <row r="46" spans="1:16" ht="12.3">
      <c r="A46" s="4">
        <v>4</v>
      </c>
      <c r="B46" s="5" t="s">
        <v>220</v>
      </c>
      <c r="C46" s="4">
        <v>2023</v>
      </c>
      <c r="D46" s="4">
        <v>23</v>
      </c>
      <c r="E46" s="4">
        <v>16</v>
      </c>
      <c r="F46" s="4"/>
      <c r="G46" s="4">
        <v>7</v>
      </c>
      <c r="H46" s="4" t="s">
        <v>23</v>
      </c>
      <c r="I46" s="4" t="s">
        <v>58</v>
      </c>
      <c r="J46" s="4" t="s">
        <v>221</v>
      </c>
      <c r="K46" s="4">
        <v>2079</v>
      </c>
      <c r="L46" s="4" t="s">
        <v>222</v>
      </c>
      <c r="M46" s="4">
        <v>1660</v>
      </c>
      <c r="N46" s="4">
        <v>125.2</v>
      </c>
      <c r="O46" s="4">
        <v>64</v>
      </c>
    </row>
    <row r="47" spans="1:16" ht="12.3">
      <c r="A47" s="4">
        <v>5</v>
      </c>
      <c r="B47" s="5" t="s">
        <v>223</v>
      </c>
      <c r="C47" s="4">
        <v>2023</v>
      </c>
      <c r="D47" s="4">
        <v>23</v>
      </c>
      <c r="E47" s="4">
        <v>13</v>
      </c>
      <c r="F47" s="4">
        <v>1</v>
      </c>
      <c r="G47" s="4">
        <v>9</v>
      </c>
      <c r="H47" s="4" t="s">
        <v>63</v>
      </c>
      <c r="I47" s="6">
        <v>37834</v>
      </c>
      <c r="J47" s="4" t="s">
        <v>224</v>
      </c>
      <c r="K47" s="4">
        <v>1922</v>
      </c>
      <c r="L47" s="4" t="s">
        <v>225</v>
      </c>
      <c r="M47" s="4">
        <v>1697</v>
      </c>
      <c r="N47" s="4">
        <v>113.3</v>
      </c>
      <c r="O47" s="4">
        <v>54</v>
      </c>
    </row>
    <row r="48" spans="1:16" ht="12.3">
      <c r="A48" s="4">
        <v>6</v>
      </c>
      <c r="B48" s="5" t="s">
        <v>226</v>
      </c>
      <c r="C48" s="4">
        <v>2023</v>
      </c>
      <c r="D48" s="4">
        <v>23</v>
      </c>
      <c r="E48" s="4">
        <v>13</v>
      </c>
      <c r="F48" s="4"/>
      <c r="G48" s="4">
        <v>10</v>
      </c>
      <c r="H48" s="4" t="s">
        <v>149</v>
      </c>
      <c r="I48" s="4" t="s">
        <v>58</v>
      </c>
      <c r="J48" s="4" t="s">
        <v>227</v>
      </c>
      <c r="K48" s="4">
        <v>1775</v>
      </c>
      <c r="L48" s="4" t="s">
        <v>228</v>
      </c>
      <c r="M48" s="4">
        <v>1647</v>
      </c>
      <c r="N48" s="4">
        <v>107.8</v>
      </c>
      <c r="O48" s="4">
        <v>52</v>
      </c>
    </row>
    <row r="49" spans="1:15" ht="12.3">
      <c r="A49" s="4">
        <v>7</v>
      </c>
      <c r="B49" s="5" t="s">
        <v>229</v>
      </c>
      <c r="C49" s="4">
        <v>2023</v>
      </c>
      <c r="D49" s="4">
        <v>23</v>
      </c>
      <c r="E49" s="4">
        <v>13</v>
      </c>
      <c r="F49" s="4"/>
      <c r="G49" s="4">
        <v>10</v>
      </c>
      <c r="H49" s="4" t="s">
        <v>47</v>
      </c>
      <c r="I49" s="4" t="s">
        <v>18</v>
      </c>
      <c r="J49" s="4" t="s">
        <v>230</v>
      </c>
      <c r="K49" s="4">
        <v>2018</v>
      </c>
      <c r="L49" s="4" t="s">
        <v>231</v>
      </c>
      <c r="M49" s="4">
        <v>1885</v>
      </c>
      <c r="N49" s="4">
        <v>107.1</v>
      </c>
      <c r="O49" s="4">
        <v>52</v>
      </c>
    </row>
    <row r="50" spans="1:15" ht="12.3">
      <c r="A50" s="4">
        <v>8</v>
      </c>
      <c r="B50" s="5" t="s">
        <v>232</v>
      </c>
      <c r="C50" s="4">
        <v>2023</v>
      </c>
      <c r="D50" s="4">
        <v>23</v>
      </c>
      <c r="E50" s="4">
        <v>12</v>
      </c>
      <c r="F50" s="4">
        <v>1</v>
      </c>
      <c r="G50" s="4">
        <v>10</v>
      </c>
      <c r="H50" s="6">
        <v>38473</v>
      </c>
      <c r="I50" s="4" t="s">
        <v>58</v>
      </c>
      <c r="J50" s="4" t="s">
        <v>233</v>
      </c>
      <c r="K50" s="4">
        <v>2050</v>
      </c>
      <c r="L50" s="4" t="s">
        <v>234</v>
      </c>
      <c r="M50" s="4">
        <v>1863</v>
      </c>
      <c r="N50" s="4">
        <v>110</v>
      </c>
      <c r="O50" s="4">
        <v>50</v>
      </c>
    </row>
    <row r="51" spans="1:15" ht="12.3">
      <c r="A51" s="7">
        <v>9</v>
      </c>
      <c r="B51" s="5" t="s">
        <v>235</v>
      </c>
      <c r="C51" s="4">
        <v>2023</v>
      </c>
      <c r="D51" s="7">
        <v>23</v>
      </c>
      <c r="E51" s="7">
        <v>12</v>
      </c>
      <c r="F51" s="7"/>
      <c r="G51" s="7">
        <v>11</v>
      </c>
      <c r="H51" s="7" t="s">
        <v>63</v>
      </c>
      <c r="I51" s="7" t="s">
        <v>58</v>
      </c>
      <c r="J51" s="7" t="s">
        <v>236</v>
      </c>
      <c r="K51" s="7">
        <v>1919</v>
      </c>
      <c r="L51" s="7" t="s">
        <v>237</v>
      </c>
      <c r="M51" s="7">
        <v>1766</v>
      </c>
      <c r="N51" s="7">
        <v>108.7</v>
      </c>
      <c r="O51" s="7">
        <v>48</v>
      </c>
    </row>
    <row r="52" spans="1:15" ht="12.3">
      <c r="A52" s="7">
        <v>10</v>
      </c>
      <c r="B52" s="5" t="s">
        <v>238</v>
      </c>
      <c r="C52" s="4">
        <v>2023</v>
      </c>
      <c r="D52" s="7">
        <v>23</v>
      </c>
      <c r="E52" s="7">
        <v>11</v>
      </c>
      <c r="F52" s="7"/>
      <c r="G52" s="7">
        <v>12</v>
      </c>
      <c r="H52" s="7" t="s">
        <v>24</v>
      </c>
      <c r="I52" s="7" t="s">
        <v>178</v>
      </c>
      <c r="J52" s="7" t="s">
        <v>239</v>
      </c>
      <c r="K52" s="7">
        <v>2193</v>
      </c>
      <c r="L52" s="7" t="s">
        <v>240</v>
      </c>
      <c r="M52" s="7">
        <v>1877</v>
      </c>
      <c r="N52" s="7">
        <v>116.8</v>
      </c>
      <c r="O52" s="7">
        <v>44</v>
      </c>
    </row>
    <row r="53" spans="1:15" ht="12.3">
      <c r="A53" s="7">
        <v>11</v>
      </c>
      <c r="B53" s="5" t="s">
        <v>241</v>
      </c>
      <c r="C53" s="4">
        <v>2023</v>
      </c>
      <c r="D53" s="7">
        <v>23</v>
      </c>
      <c r="E53" s="7">
        <v>11</v>
      </c>
      <c r="F53" s="7"/>
      <c r="G53" s="7">
        <v>12</v>
      </c>
      <c r="H53" s="7" t="s">
        <v>58</v>
      </c>
      <c r="I53" s="7" t="s">
        <v>68</v>
      </c>
      <c r="J53" s="7" t="s">
        <v>242</v>
      </c>
      <c r="K53" s="7">
        <v>1838</v>
      </c>
      <c r="L53" s="7" t="s">
        <v>243</v>
      </c>
      <c r="M53" s="7">
        <v>2050</v>
      </c>
      <c r="N53" s="7">
        <v>89.7</v>
      </c>
      <c r="O53" s="7">
        <v>44</v>
      </c>
    </row>
    <row r="54" spans="1:15" ht="12.3">
      <c r="A54" s="7">
        <v>12</v>
      </c>
      <c r="B54" s="5" t="s">
        <v>244</v>
      </c>
      <c r="C54" s="4">
        <v>2023</v>
      </c>
      <c r="D54" s="7">
        <v>23</v>
      </c>
      <c r="E54" s="7">
        <v>10</v>
      </c>
      <c r="F54" s="7">
        <v>1</v>
      </c>
      <c r="G54" s="7">
        <v>12</v>
      </c>
      <c r="H54" s="7" t="s">
        <v>24</v>
      </c>
      <c r="I54" s="8">
        <v>39479</v>
      </c>
      <c r="J54" s="7" t="s">
        <v>245</v>
      </c>
      <c r="K54" s="7">
        <v>2088</v>
      </c>
      <c r="L54" s="7" t="s">
        <v>246</v>
      </c>
      <c r="M54" s="7">
        <v>1855</v>
      </c>
      <c r="N54" s="7">
        <v>112.6</v>
      </c>
      <c r="O54" s="7">
        <v>42</v>
      </c>
    </row>
    <row r="55" spans="1:15" ht="12.3">
      <c r="A55" s="7">
        <v>13</v>
      </c>
      <c r="B55" s="5" t="s">
        <v>247</v>
      </c>
      <c r="C55" s="4">
        <v>2023</v>
      </c>
      <c r="D55" s="7">
        <v>23</v>
      </c>
      <c r="E55" s="7">
        <v>10</v>
      </c>
      <c r="F55" s="7">
        <v>1</v>
      </c>
      <c r="G55" s="7">
        <v>12</v>
      </c>
      <c r="H55" s="8">
        <v>38504</v>
      </c>
      <c r="I55" s="7" t="s">
        <v>68</v>
      </c>
      <c r="J55" s="7" t="s">
        <v>248</v>
      </c>
      <c r="K55" s="7">
        <v>1856</v>
      </c>
      <c r="L55" s="7" t="s">
        <v>249</v>
      </c>
      <c r="M55" s="7">
        <v>1983</v>
      </c>
      <c r="N55" s="7">
        <v>93.6</v>
      </c>
      <c r="O55" s="7">
        <v>42</v>
      </c>
    </row>
    <row r="56" spans="1:15" ht="12.3">
      <c r="A56" s="7">
        <v>14</v>
      </c>
      <c r="B56" s="5" t="s">
        <v>250</v>
      </c>
      <c r="C56" s="4">
        <v>2023</v>
      </c>
      <c r="D56" s="7">
        <v>23</v>
      </c>
      <c r="E56" s="7">
        <v>10</v>
      </c>
      <c r="F56" s="7"/>
      <c r="G56" s="7">
        <v>13</v>
      </c>
      <c r="H56" s="7" t="s">
        <v>53</v>
      </c>
      <c r="I56" s="7" t="s">
        <v>63</v>
      </c>
      <c r="J56" s="7" t="s">
        <v>251</v>
      </c>
      <c r="K56" s="7">
        <v>1835</v>
      </c>
      <c r="L56" s="7" t="s">
        <v>252</v>
      </c>
      <c r="M56" s="7">
        <v>1898</v>
      </c>
      <c r="N56" s="7">
        <v>96.7</v>
      </c>
      <c r="O56" s="7">
        <v>40</v>
      </c>
    </row>
    <row r="57" spans="1:15" ht="12.3">
      <c r="A57" s="7">
        <v>15</v>
      </c>
      <c r="B57" s="5" t="s">
        <v>253</v>
      </c>
      <c r="C57" s="4">
        <v>2023</v>
      </c>
      <c r="D57" s="7">
        <v>23</v>
      </c>
      <c r="E57" s="7">
        <v>9</v>
      </c>
      <c r="F57" s="7"/>
      <c r="G57" s="7">
        <v>14</v>
      </c>
      <c r="H57" s="7" t="s">
        <v>18</v>
      </c>
      <c r="I57" s="7" t="s">
        <v>86</v>
      </c>
      <c r="J57" s="7" t="s">
        <v>254</v>
      </c>
      <c r="K57" s="7">
        <v>1839</v>
      </c>
      <c r="L57" s="7" t="s">
        <v>255</v>
      </c>
      <c r="M57" s="7">
        <v>2006</v>
      </c>
      <c r="N57" s="7">
        <v>91.7</v>
      </c>
      <c r="O57" s="7">
        <v>36</v>
      </c>
    </row>
    <row r="58" spans="1:15" ht="12.3">
      <c r="A58" s="7">
        <v>16</v>
      </c>
      <c r="B58" s="5" t="s">
        <v>256</v>
      </c>
      <c r="C58" s="4">
        <v>2023</v>
      </c>
      <c r="D58" s="7">
        <v>23</v>
      </c>
      <c r="E58" s="7">
        <v>7</v>
      </c>
      <c r="F58" s="7"/>
      <c r="G58" s="7">
        <v>16</v>
      </c>
      <c r="H58" s="7" t="s">
        <v>63</v>
      </c>
      <c r="I58" s="7" t="s">
        <v>86</v>
      </c>
      <c r="J58" s="7" t="s">
        <v>257</v>
      </c>
      <c r="K58" s="7">
        <v>1686</v>
      </c>
      <c r="L58" s="7" t="s">
        <v>258</v>
      </c>
      <c r="M58" s="7">
        <v>2101</v>
      </c>
      <c r="N58" s="7">
        <v>80.2</v>
      </c>
      <c r="O58" s="7">
        <v>28</v>
      </c>
    </row>
    <row r="59" spans="1:15" ht="12.3">
      <c r="A59" s="7">
        <v>17</v>
      </c>
      <c r="B59" s="5" t="s">
        <v>259</v>
      </c>
      <c r="C59" s="4">
        <v>2023</v>
      </c>
      <c r="D59" s="7">
        <v>23</v>
      </c>
      <c r="E59" s="7">
        <v>3</v>
      </c>
      <c r="F59" s="7"/>
      <c r="G59" s="7">
        <v>20</v>
      </c>
      <c r="H59" s="7" t="s">
        <v>77</v>
      </c>
      <c r="I59" s="7" t="s">
        <v>187</v>
      </c>
      <c r="J59" s="7" t="s">
        <v>260</v>
      </c>
      <c r="K59" s="7">
        <v>1657</v>
      </c>
      <c r="L59" s="7" t="s">
        <v>261</v>
      </c>
      <c r="M59" s="7">
        <v>2318</v>
      </c>
      <c r="N59" s="7">
        <v>71.5</v>
      </c>
      <c r="O59" s="7">
        <v>12</v>
      </c>
    </row>
    <row r="60" spans="1:15" ht="12.3">
      <c r="A60" s="7">
        <v>18</v>
      </c>
      <c r="B60" s="5" t="s">
        <v>262</v>
      </c>
      <c r="C60" s="4">
        <v>2023</v>
      </c>
      <c r="D60" s="7">
        <v>23</v>
      </c>
      <c r="E60" s="7">
        <v>3</v>
      </c>
      <c r="F60" s="7"/>
      <c r="G60" s="7">
        <v>20</v>
      </c>
      <c r="H60" s="7" t="s">
        <v>77</v>
      </c>
      <c r="I60" s="7" t="s">
        <v>187</v>
      </c>
      <c r="J60" s="7" t="s">
        <v>263</v>
      </c>
      <c r="K60" s="7">
        <v>1418</v>
      </c>
      <c r="L60" s="7" t="s">
        <v>264</v>
      </c>
      <c r="M60" s="7">
        <v>2674</v>
      </c>
      <c r="N60" s="7">
        <v>53</v>
      </c>
      <c r="O60" s="7">
        <v>12</v>
      </c>
    </row>
    <row r="62" spans="1:15" ht="12.3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</row>
    <row r="63" spans="1:15" ht="12.3">
      <c r="A63" s="2" t="s">
        <v>265</v>
      </c>
      <c r="B63" s="2" t="s">
        <v>266</v>
      </c>
      <c r="C63" s="3" t="s">
        <v>2</v>
      </c>
      <c r="D63" s="1" t="s">
        <v>267</v>
      </c>
      <c r="E63" s="1" t="s">
        <v>268</v>
      </c>
      <c r="F63" s="1" t="s">
        <v>269</v>
      </c>
      <c r="G63" s="1" t="s">
        <v>270</v>
      </c>
      <c r="H63" s="1" t="s">
        <v>271</v>
      </c>
      <c r="I63" s="1" t="s">
        <v>272</v>
      </c>
      <c r="J63" s="1" t="s">
        <v>273</v>
      </c>
      <c r="K63" s="1" t="s">
        <v>274</v>
      </c>
      <c r="L63" s="1" t="s">
        <v>275</v>
      </c>
      <c r="M63" s="1" t="s">
        <v>276</v>
      </c>
      <c r="N63" s="1" t="s">
        <v>277</v>
      </c>
      <c r="O63" s="1" t="s">
        <v>278</v>
      </c>
    </row>
    <row r="64" spans="1:15" ht="12.3">
      <c r="A64" s="4">
        <v>1</v>
      </c>
      <c r="B64" s="5" t="s">
        <v>279</v>
      </c>
      <c r="C64" s="4">
        <v>2022</v>
      </c>
      <c r="D64" s="4">
        <v>22</v>
      </c>
      <c r="E64" s="4">
        <v>18</v>
      </c>
      <c r="F64" s="4"/>
      <c r="G64" s="4">
        <v>4</v>
      </c>
      <c r="H64" s="4" t="s">
        <v>52</v>
      </c>
      <c r="I64" s="4" t="s">
        <v>38</v>
      </c>
      <c r="J64" s="4" t="s">
        <v>280</v>
      </c>
      <c r="K64" s="4">
        <v>2146</v>
      </c>
      <c r="L64" s="4" t="s">
        <v>281</v>
      </c>
      <c r="M64" s="4">
        <v>1488</v>
      </c>
      <c r="N64" s="4">
        <v>144.19999999999999</v>
      </c>
      <c r="O64" s="4">
        <v>72</v>
      </c>
    </row>
    <row r="65" spans="1:15" ht="12.3">
      <c r="A65" s="4">
        <v>2</v>
      </c>
      <c r="B65" s="5" t="s">
        <v>282</v>
      </c>
      <c r="C65" s="4">
        <v>2022</v>
      </c>
      <c r="D65" s="4">
        <v>22</v>
      </c>
      <c r="E65" s="4">
        <v>16</v>
      </c>
      <c r="F65" s="4"/>
      <c r="G65" s="4">
        <v>6</v>
      </c>
      <c r="H65" s="4" t="s">
        <v>38</v>
      </c>
      <c r="I65" s="4" t="s">
        <v>38</v>
      </c>
      <c r="J65" s="4" t="s">
        <v>283</v>
      </c>
      <c r="K65" s="4">
        <v>1936</v>
      </c>
      <c r="L65" s="4" t="s">
        <v>284</v>
      </c>
      <c r="M65" s="4">
        <v>1483</v>
      </c>
      <c r="N65" s="4">
        <v>130.5</v>
      </c>
      <c r="O65" s="4">
        <v>64</v>
      </c>
    </row>
    <row r="66" spans="1:15" ht="12.3">
      <c r="A66" s="4">
        <v>3</v>
      </c>
      <c r="B66" s="5" t="s">
        <v>285</v>
      </c>
      <c r="C66" s="4">
        <v>2022</v>
      </c>
      <c r="D66" s="4">
        <v>22</v>
      </c>
      <c r="E66" s="4">
        <v>16</v>
      </c>
      <c r="F66" s="4"/>
      <c r="G66" s="4">
        <v>6</v>
      </c>
      <c r="H66" s="4" t="s">
        <v>23</v>
      </c>
      <c r="I66" s="4" t="s">
        <v>18</v>
      </c>
      <c r="J66" s="4" t="s">
        <v>286</v>
      </c>
      <c r="K66" s="4">
        <v>2067</v>
      </c>
      <c r="L66" s="4" t="s">
        <v>287</v>
      </c>
      <c r="M66" s="4">
        <v>1616</v>
      </c>
      <c r="N66" s="4">
        <v>127.9</v>
      </c>
      <c r="O66" s="4">
        <v>64</v>
      </c>
    </row>
    <row r="67" spans="1:15" ht="12.3">
      <c r="A67" s="4">
        <v>4</v>
      </c>
      <c r="B67" s="5" t="s">
        <v>288</v>
      </c>
      <c r="C67" s="4">
        <v>2022</v>
      </c>
      <c r="D67" s="4">
        <v>22</v>
      </c>
      <c r="E67" s="4">
        <v>16</v>
      </c>
      <c r="F67" s="4"/>
      <c r="G67" s="4">
        <v>6</v>
      </c>
      <c r="H67" s="4" t="s">
        <v>38</v>
      </c>
      <c r="I67" s="4" t="s">
        <v>38</v>
      </c>
      <c r="J67" s="4" t="s">
        <v>73</v>
      </c>
      <c r="K67" s="4">
        <v>1839</v>
      </c>
      <c r="L67" s="4" t="s">
        <v>289</v>
      </c>
      <c r="M67" s="4">
        <v>1763</v>
      </c>
      <c r="N67" s="4">
        <v>104.3</v>
      </c>
      <c r="O67" s="4">
        <v>64</v>
      </c>
    </row>
    <row r="68" spans="1:15" ht="12.3">
      <c r="A68" s="4">
        <v>5</v>
      </c>
      <c r="B68" s="5" t="s">
        <v>290</v>
      </c>
      <c r="C68" s="4">
        <v>2022</v>
      </c>
      <c r="D68" s="4">
        <v>22</v>
      </c>
      <c r="E68" s="4">
        <v>15</v>
      </c>
      <c r="F68" s="4">
        <v>1</v>
      </c>
      <c r="G68" s="4">
        <v>6</v>
      </c>
      <c r="H68" s="4" t="s">
        <v>18</v>
      </c>
      <c r="I68" s="6">
        <v>37469</v>
      </c>
      <c r="J68" s="4" t="s">
        <v>291</v>
      </c>
      <c r="K68" s="4">
        <v>1739</v>
      </c>
      <c r="L68" s="4" t="s">
        <v>292</v>
      </c>
      <c r="M68" s="4">
        <v>1486</v>
      </c>
      <c r="N68" s="4">
        <v>117</v>
      </c>
      <c r="O68" s="4">
        <v>62</v>
      </c>
    </row>
    <row r="69" spans="1:15" ht="12.3">
      <c r="A69" s="4">
        <v>6</v>
      </c>
      <c r="B69" s="5" t="s">
        <v>293</v>
      </c>
      <c r="C69" s="4">
        <v>2022</v>
      </c>
      <c r="D69" s="4">
        <v>22</v>
      </c>
      <c r="E69" s="4">
        <v>15</v>
      </c>
      <c r="F69" s="4"/>
      <c r="G69" s="4">
        <v>7</v>
      </c>
      <c r="H69" s="4" t="s">
        <v>23</v>
      </c>
      <c r="I69" s="4" t="s">
        <v>149</v>
      </c>
      <c r="J69" s="4" t="s">
        <v>294</v>
      </c>
      <c r="K69" s="4">
        <v>2147</v>
      </c>
      <c r="L69" s="4" t="s">
        <v>295</v>
      </c>
      <c r="M69" s="4">
        <v>1799</v>
      </c>
      <c r="N69" s="4">
        <v>119.3</v>
      </c>
      <c r="O69" s="4">
        <v>60</v>
      </c>
    </row>
    <row r="70" spans="1:15" ht="12.3">
      <c r="A70" s="4">
        <v>7</v>
      </c>
      <c r="B70" s="5" t="s">
        <v>296</v>
      </c>
      <c r="C70" s="4">
        <v>2022</v>
      </c>
      <c r="D70" s="4">
        <v>22</v>
      </c>
      <c r="E70" s="4">
        <v>13</v>
      </c>
      <c r="F70" s="4">
        <v>1</v>
      </c>
      <c r="G70" s="4">
        <v>8</v>
      </c>
      <c r="H70" s="6">
        <v>37135</v>
      </c>
      <c r="I70" s="4" t="s">
        <v>68</v>
      </c>
      <c r="J70" s="4" t="s">
        <v>297</v>
      </c>
      <c r="K70" s="4">
        <v>2165</v>
      </c>
      <c r="L70" s="4" t="s">
        <v>298</v>
      </c>
      <c r="M70" s="4">
        <v>1780</v>
      </c>
      <c r="N70" s="4">
        <v>121.6</v>
      </c>
      <c r="O70" s="4">
        <v>54</v>
      </c>
    </row>
    <row r="71" spans="1:15" ht="12.3">
      <c r="A71" s="4">
        <v>8</v>
      </c>
      <c r="B71" s="5" t="s">
        <v>299</v>
      </c>
      <c r="C71" s="4">
        <v>2022</v>
      </c>
      <c r="D71" s="4">
        <v>22</v>
      </c>
      <c r="E71" s="4">
        <v>12</v>
      </c>
      <c r="F71" s="4"/>
      <c r="G71" s="4">
        <v>10</v>
      </c>
      <c r="H71" s="4" t="s">
        <v>18</v>
      </c>
      <c r="I71" s="4" t="s">
        <v>63</v>
      </c>
      <c r="J71" s="4" t="s">
        <v>300</v>
      </c>
      <c r="K71" s="4">
        <v>1973</v>
      </c>
      <c r="L71" s="4" t="s">
        <v>301</v>
      </c>
      <c r="M71" s="4">
        <v>1812</v>
      </c>
      <c r="N71" s="4">
        <v>108.9</v>
      </c>
      <c r="O71" s="4">
        <v>48</v>
      </c>
    </row>
    <row r="72" spans="1:15" ht="12.3">
      <c r="A72" s="7">
        <v>9</v>
      </c>
      <c r="B72" s="5" t="s">
        <v>302</v>
      </c>
      <c r="C72" s="4">
        <v>2022</v>
      </c>
      <c r="D72" s="7">
        <v>22</v>
      </c>
      <c r="E72" s="7">
        <v>12</v>
      </c>
      <c r="F72" s="7"/>
      <c r="G72" s="7">
        <v>10</v>
      </c>
      <c r="H72" s="7" t="s">
        <v>38</v>
      </c>
      <c r="I72" s="7" t="s">
        <v>68</v>
      </c>
      <c r="J72" s="7" t="s">
        <v>303</v>
      </c>
      <c r="K72" s="7">
        <v>1857</v>
      </c>
      <c r="L72" s="7" t="s">
        <v>304</v>
      </c>
      <c r="M72" s="7">
        <v>1714</v>
      </c>
      <c r="N72" s="7">
        <v>108.3</v>
      </c>
      <c r="O72" s="7">
        <v>48</v>
      </c>
    </row>
    <row r="73" spans="1:15" ht="12.3">
      <c r="A73" s="7">
        <v>10</v>
      </c>
      <c r="B73" s="5" t="s">
        <v>305</v>
      </c>
      <c r="C73" s="4">
        <v>2022</v>
      </c>
      <c r="D73" s="7">
        <v>22</v>
      </c>
      <c r="E73" s="7">
        <v>11</v>
      </c>
      <c r="F73" s="7"/>
      <c r="G73" s="7">
        <v>11</v>
      </c>
      <c r="H73" s="7" t="s">
        <v>63</v>
      </c>
      <c r="I73" s="7" t="s">
        <v>149</v>
      </c>
      <c r="J73" s="7" t="s">
        <v>306</v>
      </c>
      <c r="K73" s="7">
        <v>1703</v>
      </c>
      <c r="L73" s="7" t="s">
        <v>307</v>
      </c>
      <c r="M73" s="7">
        <v>1715</v>
      </c>
      <c r="N73" s="7">
        <v>99.3</v>
      </c>
      <c r="O73" s="7">
        <v>44</v>
      </c>
    </row>
    <row r="74" spans="1:15" ht="12.3">
      <c r="A74" s="7">
        <v>11</v>
      </c>
      <c r="B74" s="5" t="s">
        <v>308</v>
      </c>
      <c r="C74" s="4">
        <v>2022</v>
      </c>
      <c r="D74" s="7">
        <v>22</v>
      </c>
      <c r="E74" s="7">
        <v>10</v>
      </c>
      <c r="F74" s="7"/>
      <c r="G74" s="7">
        <v>12</v>
      </c>
      <c r="H74" s="7" t="s">
        <v>18</v>
      </c>
      <c r="I74" s="7" t="s">
        <v>178</v>
      </c>
      <c r="J74" s="7" t="s">
        <v>309</v>
      </c>
      <c r="K74" s="7">
        <v>1806</v>
      </c>
      <c r="L74" s="7" t="s">
        <v>310</v>
      </c>
      <c r="M74" s="7">
        <v>1638</v>
      </c>
      <c r="N74" s="7">
        <v>110.3</v>
      </c>
      <c r="O74" s="7">
        <v>40</v>
      </c>
    </row>
    <row r="75" spans="1:15" ht="12.3">
      <c r="A75" s="7">
        <v>12</v>
      </c>
      <c r="B75" s="5" t="s">
        <v>311</v>
      </c>
      <c r="C75" s="4">
        <v>2022</v>
      </c>
      <c r="D75" s="7">
        <v>22</v>
      </c>
      <c r="E75" s="7">
        <v>10</v>
      </c>
      <c r="F75" s="7"/>
      <c r="G75" s="7">
        <v>12</v>
      </c>
      <c r="H75" s="7" t="s">
        <v>18</v>
      </c>
      <c r="I75" s="7" t="s">
        <v>178</v>
      </c>
      <c r="J75" s="7" t="s">
        <v>312</v>
      </c>
      <c r="K75" s="7">
        <v>1871</v>
      </c>
      <c r="L75" s="7" t="s">
        <v>313</v>
      </c>
      <c r="M75" s="7">
        <v>1820</v>
      </c>
      <c r="N75" s="7">
        <v>102.8</v>
      </c>
      <c r="O75" s="7">
        <v>40</v>
      </c>
    </row>
    <row r="76" spans="1:15" ht="12.3">
      <c r="A76" s="7">
        <v>13</v>
      </c>
      <c r="B76" s="5" t="s">
        <v>314</v>
      </c>
      <c r="C76" s="4">
        <v>2022</v>
      </c>
      <c r="D76" s="7">
        <v>22</v>
      </c>
      <c r="E76" s="7">
        <v>8</v>
      </c>
      <c r="F76" s="7"/>
      <c r="G76" s="7">
        <v>14</v>
      </c>
      <c r="H76" s="7" t="s">
        <v>149</v>
      </c>
      <c r="I76" s="7" t="s">
        <v>77</v>
      </c>
      <c r="J76" s="7" t="s">
        <v>315</v>
      </c>
      <c r="K76" s="7">
        <v>1787</v>
      </c>
      <c r="L76" s="7" t="s">
        <v>316</v>
      </c>
      <c r="M76" s="7">
        <v>1991</v>
      </c>
      <c r="N76" s="7">
        <v>89.8</v>
      </c>
      <c r="O76" s="7">
        <v>32</v>
      </c>
    </row>
    <row r="77" spans="1:15" ht="12.3">
      <c r="A77" s="7">
        <v>14</v>
      </c>
      <c r="B77" s="5" t="s">
        <v>317</v>
      </c>
      <c r="C77" s="4">
        <v>2022</v>
      </c>
      <c r="D77" s="7">
        <v>22</v>
      </c>
      <c r="E77" s="7">
        <v>8</v>
      </c>
      <c r="F77" s="7"/>
      <c r="G77" s="7">
        <v>14</v>
      </c>
      <c r="H77" s="7" t="s">
        <v>63</v>
      </c>
      <c r="I77" s="7" t="s">
        <v>178</v>
      </c>
      <c r="J77" s="7" t="s">
        <v>318</v>
      </c>
      <c r="K77" s="7">
        <v>1721</v>
      </c>
      <c r="L77" s="7" t="s">
        <v>319</v>
      </c>
      <c r="M77" s="7">
        <v>1986</v>
      </c>
      <c r="N77" s="7">
        <v>86.7</v>
      </c>
      <c r="O77" s="7">
        <v>32</v>
      </c>
    </row>
    <row r="78" spans="1:15" ht="12.3">
      <c r="A78" s="7">
        <v>15</v>
      </c>
      <c r="B78" s="5" t="s">
        <v>320</v>
      </c>
      <c r="C78" s="4">
        <v>2022</v>
      </c>
      <c r="D78" s="7">
        <v>22</v>
      </c>
      <c r="E78" s="7">
        <v>7</v>
      </c>
      <c r="F78" s="7"/>
      <c r="G78" s="7">
        <v>15</v>
      </c>
      <c r="H78" s="7" t="s">
        <v>63</v>
      </c>
      <c r="I78" s="7" t="s">
        <v>77</v>
      </c>
      <c r="J78" s="7" t="s">
        <v>321</v>
      </c>
      <c r="K78" s="7">
        <v>1737</v>
      </c>
      <c r="L78" s="7" t="s">
        <v>322</v>
      </c>
      <c r="M78" s="7">
        <v>2087</v>
      </c>
      <c r="N78" s="7">
        <v>83.2</v>
      </c>
      <c r="O78" s="7">
        <v>28</v>
      </c>
    </row>
    <row r="79" spans="1:15" ht="12.3">
      <c r="A79" s="7">
        <v>16</v>
      </c>
      <c r="B79" s="5" t="s">
        <v>323</v>
      </c>
      <c r="C79" s="4">
        <v>2022</v>
      </c>
      <c r="D79" s="7">
        <v>22</v>
      </c>
      <c r="E79" s="7">
        <v>6</v>
      </c>
      <c r="F79" s="7"/>
      <c r="G79" s="7">
        <v>16</v>
      </c>
      <c r="H79" s="7" t="s">
        <v>68</v>
      </c>
      <c r="I79" s="7" t="s">
        <v>77</v>
      </c>
      <c r="J79" s="7" t="s">
        <v>324</v>
      </c>
      <c r="K79" s="7">
        <v>1631</v>
      </c>
      <c r="L79" s="7" t="s">
        <v>325</v>
      </c>
      <c r="M79" s="7">
        <v>1927</v>
      </c>
      <c r="N79" s="7">
        <v>84.6</v>
      </c>
      <c r="O79" s="7">
        <v>24</v>
      </c>
    </row>
    <row r="80" spans="1:15" ht="12.3">
      <c r="A80" s="7">
        <v>17</v>
      </c>
      <c r="B80" s="5" t="s">
        <v>326</v>
      </c>
      <c r="C80" s="4">
        <v>2022</v>
      </c>
      <c r="D80" s="7">
        <v>22</v>
      </c>
      <c r="E80" s="7">
        <v>2</v>
      </c>
      <c r="F80" s="7"/>
      <c r="G80" s="7">
        <v>20</v>
      </c>
      <c r="H80" s="7" t="s">
        <v>96</v>
      </c>
      <c r="I80" s="7" t="s">
        <v>96</v>
      </c>
      <c r="J80" s="7" t="s">
        <v>327</v>
      </c>
      <c r="K80" s="7">
        <v>1429</v>
      </c>
      <c r="L80" s="7" t="s">
        <v>328</v>
      </c>
      <c r="M80" s="7">
        <v>2389</v>
      </c>
      <c r="N80" s="7">
        <v>59.8</v>
      </c>
      <c r="O80" s="7">
        <v>8</v>
      </c>
    </row>
    <row r="81" spans="1:15" ht="12.3">
      <c r="A81" s="7">
        <v>18</v>
      </c>
      <c r="B81" s="5" t="s">
        <v>329</v>
      </c>
      <c r="C81" s="4">
        <v>2022</v>
      </c>
      <c r="D81" s="7">
        <v>22</v>
      </c>
      <c r="E81" s="7">
        <v>2</v>
      </c>
      <c r="F81" s="7"/>
      <c r="G81" s="7">
        <v>20</v>
      </c>
      <c r="H81" s="7" t="s">
        <v>77</v>
      </c>
      <c r="I81" s="7" t="s">
        <v>330</v>
      </c>
      <c r="J81" s="7" t="s">
        <v>331</v>
      </c>
      <c r="K81" s="7">
        <v>1337</v>
      </c>
      <c r="L81" s="7" t="s">
        <v>332</v>
      </c>
      <c r="M81" s="7">
        <v>2397</v>
      </c>
      <c r="N81" s="7">
        <v>55.8</v>
      </c>
      <c r="O81" s="7">
        <v>8</v>
      </c>
    </row>
    <row r="83" spans="1:15" ht="12.3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</row>
    <row r="84" spans="1:15" ht="12.3">
      <c r="A84" s="2" t="s">
        <v>333</v>
      </c>
      <c r="B84" s="2" t="s">
        <v>334</v>
      </c>
      <c r="C84" s="3" t="s">
        <v>2</v>
      </c>
      <c r="D84" s="1" t="s">
        <v>335</v>
      </c>
      <c r="E84" s="1" t="s">
        <v>336</v>
      </c>
      <c r="F84" s="1" t="s">
        <v>337</v>
      </c>
      <c r="G84" s="1" t="s">
        <v>338</v>
      </c>
      <c r="H84" s="1" t="s">
        <v>339</v>
      </c>
      <c r="I84" s="1" t="s">
        <v>340</v>
      </c>
      <c r="J84" s="1" t="s">
        <v>341</v>
      </c>
      <c r="K84" s="1" t="s">
        <v>342</v>
      </c>
      <c r="L84" s="1" t="s">
        <v>343</v>
      </c>
      <c r="M84" s="1" t="s">
        <v>344</v>
      </c>
      <c r="N84" s="1" t="s">
        <v>345</v>
      </c>
      <c r="O84" s="1" t="s">
        <v>346</v>
      </c>
    </row>
    <row r="85" spans="1:15" ht="12.3">
      <c r="A85" s="4">
        <v>1</v>
      </c>
      <c r="B85" s="5" t="s">
        <v>347</v>
      </c>
      <c r="C85" s="4">
        <v>2021</v>
      </c>
      <c r="D85" s="4">
        <v>22</v>
      </c>
      <c r="E85" s="4">
        <v>17</v>
      </c>
      <c r="F85" s="4">
        <v>1</v>
      </c>
      <c r="G85" s="4">
        <v>4</v>
      </c>
      <c r="H85" s="6">
        <v>37803</v>
      </c>
      <c r="I85" s="4" t="s">
        <v>52</v>
      </c>
      <c r="J85" s="4" t="s">
        <v>348</v>
      </c>
      <c r="K85" s="4">
        <v>1888</v>
      </c>
      <c r="L85" s="4" t="s">
        <v>349</v>
      </c>
      <c r="M85" s="4">
        <v>1443</v>
      </c>
      <c r="N85" s="4">
        <v>130.80000000000001</v>
      </c>
      <c r="O85" s="4">
        <v>70</v>
      </c>
    </row>
    <row r="86" spans="1:15" ht="12.3">
      <c r="A86" s="4">
        <v>2</v>
      </c>
      <c r="B86" s="5" t="s">
        <v>350</v>
      </c>
      <c r="C86" s="4">
        <v>2021</v>
      </c>
      <c r="D86" s="4">
        <v>22</v>
      </c>
      <c r="E86" s="4">
        <v>17</v>
      </c>
      <c r="F86" s="4"/>
      <c r="G86" s="4">
        <v>5</v>
      </c>
      <c r="H86" s="4" t="s">
        <v>38</v>
      </c>
      <c r="I86" s="4" t="s">
        <v>23</v>
      </c>
      <c r="J86" s="4" t="s">
        <v>351</v>
      </c>
      <c r="K86" s="4">
        <v>1884</v>
      </c>
      <c r="L86" s="4" t="s">
        <v>352</v>
      </c>
      <c r="M86" s="4">
        <v>1492</v>
      </c>
      <c r="N86" s="4">
        <v>126.3</v>
      </c>
      <c r="O86" s="4">
        <v>68</v>
      </c>
    </row>
    <row r="87" spans="1:15" ht="12.3">
      <c r="A87" s="4">
        <v>3</v>
      </c>
      <c r="B87" s="5" t="s">
        <v>353</v>
      </c>
      <c r="C87" s="4">
        <v>2021</v>
      </c>
      <c r="D87" s="4">
        <v>22</v>
      </c>
      <c r="E87" s="4">
        <v>16</v>
      </c>
      <c r="F87" s="4"/>
      <c r="G87" s="4">
        <v>6</v>
      </c>
      <c r="H87" s="4" t="s">
        <v>23</v>
      </c>
      <c r="I87" s="4" t="s">
        <v>18</v>
      </c>
      <c r="J87" s="4" t="s">
        <v>354</v>
      </c>
      <c r="K87" s="4">
        <v>1845</v>
      </c>
      <c r="L87" s="4" t="s">
        <v>355</v>
      </c>
      <c r="M87" s="4">
        <v>1456</v>
      </c>
      <c r="N87" s="4">
        <v>126.7</v>
      </c>
      <c r="O87" s="4">
        <v>64</v>
      </c>
    </row>
    <row r="88" spans="1:15" ht="12.3">
      <c r="A88" s="4">
        <v>4</v>
      </c>
      <c r="B88" s="5" t="s">
        <v>356</v>
      </c>
      <c r="C88" s="4">
        <v>2021</v>
      </c>
      <c r="D88" s="4">
        <v>22</v>
      </c>
      <c r="E88" s="4">
        <v>15</v>
      </c>
      <c r="F88" s="4"/>
      <c r="G88" s="4">
        <v>7</v>
      </c>
      <c r="H88" s="4" t="s">
        <v>23</v>
      </c>
      <c r="I88" s="4" t="s">
        <v>149</v>
      </c>
      <c r="J88" s="4" t="s">
        <v>357</v>
      </c>
      <c r="K88" s="4">
        <v>2131</v>
      </c>
      <c r="L88" s="4" t="s">
        <v>358</v>
      </c>
      <c r="M88" s="4">
        <v>1599</v>
      </c>
      <c r="N88" s="4">
        <v>133.30000000000001</v>
      </c>
      <c r="O88" s="4">
        <v>60</v>
      </c>
    </row>
    <row r="89" spans="1:15" ht="12.3">
      <c r="A89" s="4">
        <v>5</v>
      </c>
      <c r="B89" s="5" t="s">
        <v>359</v>
      </c>
      <c r="C89" s="4">
        <v>2021</v>
      </c>
      <c r="D89" s="4">
        <v>22</v>
      </c>
      <c r="E89" s="4">
        <v>15</v>
      </c>
      <c r="F89" s="4"/>
      <c r="G89" s="4">
        <v>7</v>
      </c>
      <c r="H89" s="4" t="s">
        <v>18</v>
      </c>
      <c r="I89" s="4" t="s">
        <v>38</v>
      </c>
      <c r="J89" s="4" t="s">
        <v>360</v>
      </c>
      <c r="K89" s="4">
        <v>1994</v>
      </c>
      <c r="L89" s="4" t="s">
        <v>361</v>
      </c>
      <c r="M89" s="4">
        <v>1501</v>
      </c>
      <c r="N89" s="4">
        <v>132.80000000000001</v>
      </c>
      <c r="O89" s="4">
        <v>60</v>
      </c>
    </row>
    <row r="90" spans="1:15" ht="12.3">
      <c r="A90" s="4">
        <v>6</v>
      </c>
      <c r="B90" s="5" t="s">
        <v>362</v>
      </c>
      <c r="C90" s="4">
        <v>2021</v>
      </c>
      <c r="D90" s="4">
        <v>22</v>
      </c>
      <c r="E90" s="4">
        <v>15</v>
      </c>
      <c r="F90" s="4"/>
      <c r="G90" s="4">
        <v>7</v>
      </c>
      <c r="H90" s="4" t="s">
        <v>23</v>
      </c>
      <c r="I90" s="4" t="s">
        <v>149</v>
      </c>
      <c r="J90" s="4" t="s">
        <v>319</v>
      </c>
      <c r="K90" s="4">
        <v>1986</v>
      </c>
      <c r="L90" s="4" t="s">
        <v>363</v>
      </c>
      <c r="M90" s="4">
        <v>1656</v>
      </c>
      <c r="N90" s="4">
        <v>119.9</v>
      </c>
      <c r="O90" s="4">
        <v>60</v>
      </c>
    </row>
    <row r="91" spans="1:15" ht="12.3">
      <c r="A91" s="4">
        <v>7</v>
      </c>
      <c r="B91" s="5" t="s">
        <v>364</v>
      </c>
      <c r="C91" s="4">
        <v>2021</v>
      </c>
      <c r="D91" s="4">
        <v>22</v>
      </c>
      <c r="E91" s="4">
        <v>11</v>
      </c>
      <c r="F91" s="4">
        <v>1</v>
      </c>
      <c r="G91" s="4">
        <v>10</v>
      </c>
      <c r="H91" s="4" t="s">
        <v>68</v>
      </c>
      <c r="I91" s="6">
        <v>37803</v>
      </c>
      <c r="J91" s="4" t="s">
        <v>365</v>
      </c>
      <c r="K91" s="4">
        <v>1768</v>
      </c>
      <c r="L91" s="4" t="s">
        <v>366</v>
      </c>
      <c r="M91" s="4">
        <v>1773</v>
      </c>
      <c r="N91" s="4">
        <v>99.7</v>
      </c>
      <c r="O91" s="4">
        <v>46</v>
      </c>
    </row>
    <row r="92" spans="1:15" ht="12.3">
      <c r="A92" s="4">
        <v>8</v>
      </c>
      <c r="B92" s="5" t="s">
        <v>367</v>
      </c>
      <c r="C92" s="4">
        <v>2021</v>
      </c>
      <c r="D92" s="4">
        <v>22</v>
      </c>
      <c r="E92" s="4">
        <v>11</v>
      </c>
      <c r="F92" s="4"/>
      <c r="G92" s="4">
        <v>11</v>
      </c>
      <c r="H92" s="4" t="s">
        <v>63</v>
      </c>
      <c r="I92" s="4" t="s">
        <v>149</v>
      </c>
      <c r="J92" s="4" t="s">
        <v>368</v>
      </c>
      <c r="K92" s="4">
        <v>1953</v>
      </c>
      <c r="L92" s="4" t="s">
        <v>369</v>
      </c>
      <c r="M92" s="4">
        <v>1790</v>
      </c>
      <c r="N92" s="4">
        <v>109.1</v>
      </c>
      <c r="O92" s="4">
        <v>44</v>
      </c>
    </row>
    <row r="93" spans="1:15" ht="12.3">
      <c r="A93" s="7">
        <v>9</v>
      </c>
      <c r="B93" s="5" t="s">
        <v>370</v>
      </c>
      <c r="C93" s="4">
        <v>2021</v>
      </c>
      <c r="D93" s="7">
        <v>22</v>
      </c>
      <c r="E93" s="7">
        <v>10</v>
      </c>
      <c r="F93" s="7"/>
      <c r="G93" s="7">
        <v>12</v>
      </c>
      <c r="H93" s="7" t="s">
        <v>18</v>
      </c>
      <c r="I93" s="7" t="s">
        <v>178</v>
      </c>
      <c r="J93" s="7" t="s">
        <v>371</v>
      </c>
      <c r="K93" s="7">
        <v>1752</v>
      </c>
      <c r="L93" s="7" t="s">
        <v>372</v>
      </c>
      <c r="M93" s="7">
        <v>1880</v>
      </c>
      <c r="N93" s="7">
        <v>93.2</v>
      </c>
      <c r="O93" s="7">
        <v>40</v>
      </c>
    </row>
    <row r="94" spans="1:15" ht="12.3">
      <c r="A94" s="7">
        <v>10</v>
      </c>
      <c r="B94" s="5" t="s">
        <v>373</v>
      </c>
      <c r="C94" s="4">
        <v>2021</v>
      </c>
      <c r="D94" s="7">
        <v>22</v>
      </c>
      <c r="E94" s="7">
        <v>10</v>
      </c>
      <c r="F94" s="7"/>
      <c r="G94" s="7">
        <v>12</v>
      </c>
      <c r="H94" s="7" t="s">
        <v>63</v>
      </c>
      <c r="I94" s="7" t="s">
        <v>63</v>
      </c>
      <c r="J94" s="7" t="s">
        <v>374</v>
      </c>
      <c r="K94" s="7">
        <v>1644</v>
      </c>
      <c r="L94" s="7" t="s">
        <v>375</v>
      </c>
      <c r="M94" s="7">
        <v>1796</v>
      </c>
      <c r="N94" s="7">
        <v>91.5</v>
      </c>
      <c r="O94" s="7">
        <v>40</v>
      </c>
    </row>
    <row r="95" spans="1:15" ht="12.3">
      <c r="A95" s="7">
        <v>11</v>
      </c>
      <c r="B95" s="5" t="s">
        <v>376</v>
      </c>
      <c r="C95" s="4">
        <v>2021</v>
      </c>
      <c r="D95" s="7">
        <v>22</v>
      </c>
      <c r="E95" s="7">
        <v>10</v>
      </c>
      <c r="F95" s="7"/>
      <c r="G95" s="7">
        <v>12</v>
      </c>
      <c r="H95" s="7" t="s">
        <v>18</v>
      </c>
      <c r="I95" s="7" t="s">
        <v>178</v>
      </c>
      <c r="J95" s="7" t="s">
        <v>377</v>
      </c>
      <c r="K95" s="7">
        <v>1578</v>
      </c>
      <c r="L95" s="7" t="s">
        <v>378</v>
      </c>
      <c r="M95" s="7">
        <v>1825</v>
      </c>
      <c r="N95" s="7">
        <v>86.5</v>
      </c>
      <c r="O95" s="7">
        <v>40</v>
      </c>
    </row>
    <row r="96" spans="1:15" ht="12.3">
      <c r="A96" s="7">
        <v>12</v>
      </c>
      <c r="B96" s="5" t="s">
        <v>379</v>
      </c>
      <c r="C96" s="4">
        <v>2021</v>
      </c>
      <c r="D96" s="7">
        <v>22</v>
      </c>
      <c r="E96" s="7">
        <v>9</v>
      </c>
      <c r="F96" s="7">
        <v>1</v>
      </c>
      <c r="G96" s="7">
        <v>12</v>
      </c>
      <c r="H96" s="8">
        <v>38139</v>
      </c>
      <c r="I96" s="7" t="s">
        <v>178</v>
      </c>
      <c r="J96" s="7" t="s">
        <v>380</v>
      </c>
      <c r="K96" s="7">
        <v>1743</v>
      </c>
      <c r="L96" s="7" t="s">
        <v>381</v>
      </c>
      <c r="M96" s="7">
        <v>1780</v>
      </c>
      <c r="N96" s="7">
        <v>97.9</v>
      </c>
      <c r="O96" s="7">
        <v>38</v>
      </c>
    </row>
    <row r="97" spans="1:15" ht="12.3">
      <c r="A97" s="7">
        <v>13</v>
      </c>
      <c r="B97" s="5" t="s">
        <v>382</v>
      </c>
      <c r="C97" s="4">
        <v>2021</v>
      </c>
      <c r="D97" s="7">
        <v>22</v>
      </c>
      <c r="E97" s="7">
        <v>8</v>
      </c>
      <c r="F97" s="7"/>
      <c r="G97" s="7">
        <v>14</v>
      </c>
      <c r="H97" s="7" t="s">
        <v>178</v>
      </c>
      <c r="I97" s="7" t="s">
        <v>63</v>
      </c>
      <c r="J97" s="7" t="s">
        <v>383</v>
      </c>
      <c r="K97" s="7">
        <v>1746</v>
      </c>
      <c r="L97" s="7" t="s">
        <v>384</v>
      </c>
      <c r="M97" s="7">
        <v>1972</v>
      </c>
      <c r="N97" s="7">
        <v>88.5</v>
      </c>
      <c r="O97" s="7">
        <v>32</v>
      </c>
    </row>
    <row r="98" spans="1:15" ht="12.3">
      <c r="A98" s="7">
        <v>14</v>
      </c>
      <c r="B98" s="5" t="s">
        <v>385</v>
      </c>
      <c r="C98" s="4">
        <v>2021</v>
      </c>
      <c r="D98" s="7">
        <v>22</v>
      </c>
      <c r="E98" s="7">
        <v>7</v>
      </c>
      <c r="F98" s="7">
        <v>2</v>
      </c>
      <c r="G98" s="7">
        <v>13</v>
      </c>
      <c r="H98" s="7" t="s">
        <v>68</v>
      </c>
      <c r="I98" s="8">
        <v>38778</v>
      </c>
      <c r="J98" s="7" t="s">
        <v>386</v>
      </c>
      <c r="K98" s="7">
        <v>1629</v>
      </c>
      <c r="L98" s="7" t="s">
        <v>387</v>
      </c>
      <c r="M98" s="7">
        <v>1912</v>
      </c>
      <c r="N98" s="7">
        <v>85.2</v>
      </c>
      <c r="O98" s="7">
        <v>32</v>
      </c>
    </row>
    <row r="99" spans="1:15" ht="12.3">
      <c r="A99" s="7">
        <v>15</v>
      </c>
      <c r="B99" s="5" t="s">
        <v>388</v>
      </c>
      <c r="C99" s="4">
        <v>2021</v>
      </c>
      <c r="D99" s="7">
        <v>22</v>
      </c>
      <c r="E99" s="7">
        <v>7</v>
      </c>
      <c r="F99" s="7"/>
      <c r="G99" s="7">
        <v>15</v>
      </c>
      <c r="H99" s="7" t="s">
        <v>63</v>
      </c>
      <c r="I99" s="7" t="s">
        <v>77</v>
      </c>
      <c r="J99" s="7" t="s">
        <v>389</v>
      </c>
      <c r="K99" s="7">
        <v>1616</v>
      </c>
      <c r="L99" s="7" t="s">
        <v>390</v>
      </c>
      <c r="M99" s="7">
        <v>1971</v>
      </c>
      <c r="N99" s="7">
        <v>82</v>
      </c>
      <c r="O99" s="7">
        <v>28</v>
      </c>
    </row>
    <row r="100" spans="1:15" ht="12.3">
      <c r="A100" s="7">
        <v>16</v>
      </c>
      <c r="B100" s="5" t="s">
        <v>391</v>
      </c>
      <c r="C100" s="4">
        <v>2021</v>
      </c>
      <c r="D100" s="7">
        <v>22</v>
      </c>
      <c r="E100" s="7">
        <v>7</v>
      </c>
      <c r="F100" s="7"/>
      <c r="G100" s="7">
        <v>15</v>
      </c>
      <c r="H100" s="7" t="s">
        <v>68</v>
      </c>
      <c r="I100" s="7" t="s">
        <v>178</v>
      </c>
      <c r="J100" s="7" t="s">
        <v>392</v>
      </c>
      <c r="K100" s="7">
        <v>1430</v>
      </c>
      <c r="L100" s="7" t="s">
        <v>393</v>
      </c>
      <c r="M100" s="7">
        <v>1863</v>
      </c>
      <c r="N100" s="7">
        <v>76.8</v>
      </c>
      <c r="O100" s="7">
        <v>28</v>
      </c>
    </row>
    <row r="101" spans="1:15" ht="12.3">
      <c r="A101" s="7">
        <v>17</v>
      </c>
      <c r="B101" s="5" t="s">
        <v>394</v>
      </c>
      <c r="C101" s="4">
        <v>2021</v>
      </c>
      <c r="D101" s="7">
        <v>22</v>
      </c>
      <c r="E101" s="7">
        <v>6</v>
      </c>
      <c r="F101" s="7"/>
      <c r="G101" s="7">
        <v>16</v>
      </c>
      <c r="H101" s="7" t="s">
        <v>96</v>
      </c>
      <c r="I101" s="7" t="s">
        <v>63</v>
      </c>
      <c r="J101" s="7" t="s">
        <v>395</v>
      </c>
      <c r="K101" s="7">
        <v>1557</v>
      </c>
      <c r="L101" s="7" t="s">
        <v>396</v>
      </c>
      <c r="M101" s="7">
        <v>1818</v>
      </c>
      <c r="N101" s="7">
        <v>85.6</v>
      </c>
      <c r="O101" s="7">
        <v>24</v>
      </c>
    </row>
    <row r="102" spans="1:15" ht="12.3">
      <c r="A102" s="7">
        <v>18</v>
      </c>
      <c r="B102" s="5" t="s">
        <v>397</v>
      </c>
      <c r="C102" s="4">
        <v>2021</v>
      </c>
      <c r="D102" s="7">
        <v>22</v>
      </c>
      <c r="E102" s="7">
        <v>4</v>
      </c>
      <c r="F102" s="7">
        <v>1</v>
      </c>
      <c r="G102" s="7">
        <v>17</v>
      </c>
      <c r="H102" s="8">
        <v>39814</v>
      </c>
      <c r="I102" s="7" t="s">
        <v>178</v>
      </c>
      <c r="J102" s="7" t="s">
        <v>398</v>
      </c>
      <c r="K102" s="7">
        <v>1458</v>
      </c>
      <c r="L102" s="7" t="s">
        <v>399</v>
      </c>
      <c r="M102" s="7">
        <v>2075</v>
      </c>
      <c r="N102" s="7">
        <v>70.3</v>
      </c>
      <c r="O102" s="7">
        <v>18</v>
      </c>
    </row>
    <row r="104" spans="1:15" ht="12.3">
      <c r="A104" s="32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</row>
    <row r="105" spans="1:15" ht="12.3">
      <c r="A105" s="2" t="s">
        <v>400</v>
      </c>
      <c r="B105" s="2" t="s">
        <v>401</v>
      </c>
      <c r="C105" s="3" t="s">
        <v>2</v>
      </c>
      <c r="D105" s="1" t="s">
        <v>402</v>
      </c>
      <c r="E105" s="1" t="s">
        <v>403</v>
      </c>
      <c r="F105" s="1" t="s">
        <v>404</v>
      </c>
      <c r="G105" s="1" t="s">
        <v>405</v>
      </c>
      <c r="H105" s="1" t="s">
        <v>406</v>
      </c>
      <c r="I105" s="1" t="s">
        <v>407</v>
      </c>
      <c r="J105" s="1" t="s">
        <v>408</v>
      </c>
      <c r="K105" s="1" t="s">
        <v>409</v>
      </c>
      <c r="L105" s="1" t="s">
        <v>410</v>
      </c>
      <c r="M105" s="1" t="s">
        <v>411</v>
      </c>
      <c r="N105" s="1" t="s">
        <v>412</v>
      </c>
      <c r="O105" s="1" t="s">
        <v>413</v>
      </c>
    </row>
    <row r="106" spans="1:15" ht="12.3">
      <c r="A106" s="4">
        <v>1</v>
      </c>
      <c r="B106" s="5" t="s">
        <v>414</v>
      </c>
      <c r="C106" s="4">
        <v>2020</v>
      </c>
      <c r="D106" s="4">
        <v>17</v>
      </c>
      <c r="E106" s="4">
        <v>14</v>
      </c>
      <c r="F106" s="4"/>
      <c r="G106" s="4">
        <v>3</v>
      </c>
      <c r="H106" s="4" t="s">
        <v>415</v>
      </c>
      <c r="I106" s="4" t="s">
        <v>416</v>
      </c>
      <c r="J106" s="4" t="s">
        <v>417</v>
      </c>
      <c r="K106" s="4">
        <v>1185</v>
      </c>
      <c r="L106" s="4" t="s">
        <v>418</v>
      </c>
      <c r="M106" s="4">
        <v>869</v>
      </c>
      <c r="N106" s="4">
        <v>136.4</v>
      </c>
      <c r="O106" s="4">
        <v>56</v>
      </c>
    </row>
    <row r="107" spans="1:15" ht="12.3">
      <c r="A107" s="4">
        <v>2</v>
      </c>
      <c r="B107" s="5" t="s">
        <v>419</v>
      </c>
      <c r="C107" s="4">
        <v>2020</v>
      </c>
      <c r="D107" s="4">
        <v>17</v>
      </c>
      <c r="E107" s="4">
        <v>14</v>
      </c>
      <c r="F107" s="4"/>
      <c r="G107" s="4">
        <v>3</v>
      </c>
      <c r="H107" s="4" t="s">
        <v>420</v>
      </c>
      <c r="I107" s="4" t="s">
        <v>421</v>
      </c>
      <c r="J107" s="4" t="s">
        <v>422</v>
      </c>
      <c r="K107" s="4">
        <v>1184</v>
      </c>
      <c r="L107" s="4" t="s">
        <v>423</v>
      </c>
      <c r="M107" s="4">
        <v>948</v>
      </c>
      <c r="N107" s="4">
        <v>124.9</v>
      </c>
      <c r="O107" s="4">
        <v>56</v>
      </c>
    </row>
    <row r="108" spans="1:15" ht="12.3">
      <c r="A108" s="4">
        <v>3</v>
      </c>
      <c r="B108" s="5" t="s">
        <v>424</v>
      </c>
      <c r="C108" s="4">
        <v>2020</v>
      </c>
      <c r="D108" s="4">
        <v>17</v>
      </c>
      <c r="E108" s="4">
        <v>12</v>
      </c>
      <c r="F108" s="4">
        <v>1</v>
      </c>
      <c r="G108" s="4">
        <v>4</v>
      </c>
      <c r="H108" s="4" t="s">
        <v>425</v>
      </c>
      <c r="I108" s="6">
        <v>37742</v>
      </c>
      <c r="J108" s="4" t="s">
        <v>426</v>
      </c>
      <c r="K108" s="4">
        <v>1135</v>
      </c>
      <c r="L108" s="4" t="s">
        <v>427</v>
      </c>
      <c r="M108" s="4">
        <v>874</v>
      </c>
      <c r="N108" s="4">
        <v>129.9</v>
      </c>
      <c r="O108" s="4">
        <v>50</v>
      </c>
    </row>
    <row r="109" spans="1:15" ht="12.3">
      <c r="A109" s="4">
        <v>4</v>
      </c>
      <c r="B109" s="5" t="s">
        <v>428</v>
      </c>
      <c r="C109" s="4">
        <v>2020</v>
      </c>
      <c r="D109" s="4">
        <v>17</v>
      </c>
      <c r="E109" s="4">
        <v>12</v>
      </c>
      <c r="F109" s="4"/>
      <c r="G109" s="4">
        <v>5</v>
      </c>
      <c r="H109" s="4" t="s">
        <v>429</v>
      </c>
      <c r="I109" s="4" t="s">
        <v>416</v>
      </c>
      <c r="J109" s="4" t="s">
        <v>430</v>
      </c>
      <c r="K109" s="4">
        <v>1233</v>
      </c>
      <c r="L109" s="4" t="s">
        <v>431</v>
      </c>
      <c r="M109" s="4">
        <v>901</v>
      </c>
      <c r="N109" s="4">
        <v>136.80000000000001</v>
      </c>
      <c r="O109" s="4">
        <v>48</v>
      </c>
    </row>
    <row r="110" spans="1:15" ht="12.3">
      <c r="A110" s="4">
        <v>5</v>
      </c>
      <c r="B110" s="5" t="s">
        <v>432</v>
      </c>
      <c r="C110" s="4">
        <v>2020</v>
      </c>
      <c r="D110" s="4">
        <v>17</v>
      </c>
      <c r="E110" s="4">
        <v>12</v>
      </c>
      <c r="F110" s="4"/>
      <c r="G110" s="4">
        <v>5</v>
      </c>
      <c r="H110" s="4" t="s">
        <v>420</v>
      </c>
      <c r="I110" s="4" t="s">
        <v>433</v>
      </c>
      <c r="J110" s="4" t="s">
        <v>434</v>
      </c>
      <c r="K110" s="4">
        <v>1095</v>
      </c>
      <c r="L110" s="4" t="s">
        <v>435</v>
      </c>
      <c r="M110" s="4">
        <v>936</v>
      </c>
      <c r="N110" s="4">
        <v>117</v>
      </c>
      <c r="O110" s="4">
        <v>48</v>
      </c>
    </row>
    <row r="111" spans="1:15" ht="12.3">
      <c r="A111" s="4">
        <v>6</v>
      </c>
      <c r="B111" s="5" t="s">
        <v>436</v>
      </c>
      <c r="C111" s="4">
        <v>2020</v>
      </c>
      <c r="D111" s="4">
        <v>17</v>
      </c>
      <c r="E111" s="4">
        <v>10</v>
      </c>
      <c r="F111" s="4"/>
      <c r="G111" s="4">
        <v>7</v>
      </c>
      <c r="H111" s="4" t="s">
        <v>416</v>
      </c>
      <c r="I111" s="4" t="s">
        <v>437</v>
      </c>
      <c r="J111" s="4" t="s">
        <v>438</v>
      </c>
      <c r="K111" s="4">
        <v>1159</v>
      </c>
      <c r="L111" s="4" t="s">
        <v>439</v>
      </c>
      <c r="M111" s="4">
        <v>997</v>
      </c>
      <c r="N111" s="4">
        <v>116.2</v>
      </c>
      <c r="O111" s="4">
        <v>40</v>
      </c>
    </row>
    <row r="112" spans="1:15" ht="12.3">
      <c r="A112" s="4">
        <v>7</v>
      </c>
      <c r="B112" s="5" t="s">
        <v>440</v>
      </c>
      <c r="C112" s="4">
        <v>2020</v>
      </c>
      <c r="D112" s="4">
        <v>17</v>
      </c>
      <c r="E112" s="4">
        <v>10</v>
      </c>
      <c r="F112" s="4"/>
      <c r="G112" s="4">
        <v>7</v>
      </c>
      <c r="H112" s="4" t="s">
        <v>421</v>
      </c>
      <c r="I112" s="4" t="s">
        <v>441</v>
      </c>
      <c r="J112" s="4" t="s">
        <v>442</v>
      </c>
      <c r="K112" s="4">
        <v>1103</v>
      </c>
      <c r="L112" s="4" t="s">
        <v>443</v>
      </c>
      <c r="M112" s="4">
        <v>1034</v>
      </c>
      <c r="N112" s="4">
        <v>106.7</v>
      </c>
      <c r="O112" s="4">
        <v>40</v>
      </c>
    </row>
    <row r="113" spans="1:15" ht="12.3">
      <c r="A113" s="4">
        <v>8</v>
      </c>
      <c r="B113" s="5" t="s">
        <v>444</v>
      </c>
      <c r="C113" s="4">
        <v>2020</v>
      </c>
      <c r="D113" s="4">
        <v>17</v>
      </c>
      <c r="E113" s="4">
        <v>9</v>
      </c>
      <c r="F113" s="4">
        <v>1</v>
      </c>
      <c r="G113" s="4">
        <v>7</v>
      </c>
      <c r="H113" s="6">
        <v>37377</v>
      </c>
      <c r="I113" s="4" t="s">
        <v>437</v>
      </c>
      <c r="J113" s="4" t="s">
        <v>445</v>
      </c>
      <c r="K113" s="4">
        <v>965</v>
      </c>
      <c r="L113" s="4" t="s">
        <v>446</v>
      </c>
      <c r="M113" s="4">
        <v>881</v>
      </c>
      <c r="N113" s="4">
        <v>109.5</v>
      </c>
      <c r="O113" s="4">
        <v>38</v>
      </c>
    </row>
    <row r="114" spans="1:15" ht="12.3">
      <c r="A114" s="7">
        <v>9</v>
      </c>
      <c r="B114" s="5" t="s">
        <v>447</v>
      </c>
      <c r="C114" s="4">
        <v>2020</v>
      </c>
      <c r="D114" s="7">
        <v>17</v>
      </c>
      <c r="E114" s="7">
        <v>9</v>
      </c>
      <c r="F114" s="7"/>
      <c r="G114" s="7">
        <v>8</v>
      </c>
      <c r="H114" s="7" t="s">
        <v>437</v>
      </c>
      <c r="I114" s="7" t="s">
        <v>421</v>
      </c>
      <c r="J114" s="7" t="s">
        <v>448</v>
      </c>
      <c r="K114" s="7">
        <v>1063</v>
      </c>
      <c r="L114" s="7" t="s">
        <v>449</v>
      </c>
      <c r="M114" s="7">
        <v>986</v>
      </c>
      <c r="N114" s="7">
        <v>107.8</v>
      </c>
      <c r="O114" s="7">
        <v>36</v>
      </c>
    </row>
    <row r="115" spans="1:15" ht="12.3">
      <c r="A115" s="7">
        <v>10</v>
      </c>
      <c r="B115" s="5" t="s">
        <v>450</v>
      </c>
      <c r="C115" s="4">
        <v>2020</v>
      </c>
      <c r="D115" s="7">
        <v>17</v>
      </c>
      <c r="E115" s="7">
        <v>8</v>
      </c>
      <c r="F115" s="7"/>
      <c r="G115" s="7">
        <v>9</v>
      </c>
      <c r="H115" s="7" t="s">
        <v>421</v>
      </c>
      <c r="I115" s="7" t="s">
        <v>451</v>
      </c>
      <c r="J115" s="7" t="s">
        <v>452</v>
      </c>
      <c r="K115" s="7">
        <v>1007</v>
      </c>
      <c r="L115" s="7" t="s">
        <v>453</v>
      </c>
      <c r="M115" s="7">
        <v>1053</v>
      </c>
      <c r="N115" s="7">
        <v>95.6</v>
      </c>
      <c r="O115" s="7">
        <v>32</v>
      </c>
    </row>
    <row r="116" spans="1:15" ht="12.3">
      <c r="A116" s="7">
        <v>11</v>
      </c>
      <c r="B116" s="5" t="s">
        <v>454</v>
      </c>
      <c r="C116" s="4">
        <v>2020</v>
      </c>
      <c r="D116" s="7">
        <v>17</v>
      </c>
      <c r="E116" s="7">
        <v>7</v>
      </c>
      <c r="F116" s="7"/>
      <c r="G116" s="7">
        <v>10</v>
      </c>
      <c r="H116" s="7" t="s">
        <v>455</v>
      </c>
      <c r="I116" s="7" t="s">
        <v>441</v>
      </c>
      <c r="J116" s="7" t="s">
        <v>456</v>
      </c>
      <c r="K116" s="7">
        <v>1017</v>
      </c>
      <c r="L116" s="7" t="s">
        <v>457</v>
      </c>
      <c r="M116" s="7">
        <v>1078</v>
      </c>
      <c r="N116" s="7">
        <v>94.3</v>
      </c>
      <c r="O116" s="7">
        <v>28</v>
      </c>
    </row>
    <row r="117" spans="1:15" ht="12.3">
      <c r="A117" s="7">
        <v>12</v>
      </c>
      <c r="B117" s="5" t="s">
        <v>458</v>
      </c>
      <c r="C117" s="4">
        <v>2020</v>
      </c>
      <c r="D117" s="7">
        <v>17</v>
      </c>
      <c r="E117" s="7">
        <v>7</v>
      </c>
      <c r="F117" s="7"/>
      <c r="G117" s="7">
        <v>10</v>
      </c>
      <c r="H117" s="7" t="s">
        <v>459</v>
      </c>
      <c r="I117" s="7" t="s">
        <v>460</v>
      </c>
      <c r="J117" s="7" t="s">
        <v>461</v>
      </c>
      <c r="K117" s="7">
        <v>866</v>
      </c>
      <c r="L117" s="7" t="s">
        <v>462</v>
      </c>
      <c r="M117" s="7">
        <v>924</v>
      </c>
      <c r="N117" s="7">
        <v>93.7</v>
      </c>
      <c r="O117" s="7">
        <v>28</v>
      </c>
    </row>
    <row r="118" spans="1:15" ht="12.3">
      <c r="A118" s="7">
        <v>13</v>
      </c>
      <c r="B118" s="5" t="s">
        <v>463</v>
      </c>
      <c r="C118" s="4">
        <v>2020</v>
      </c>
      <c r="D118" s="7">
        <v>17</v>
      </c>
      <c r="E118" s="7">
        <v>6</v>
      </c>
      <c r="F118" s="7">
        <v>1</v>
      </c>
      <c r="G118" s="7">
        <v>10</v>
      </c>
      <c r="H118" s="7" t="s">
        <v>455</v>
      </c>
      <c r="I118" s="8">
        <v>38078</v>
      </c>
      <c r="J118" s="7" t="s">
        <v>464</v>
      </c>
      <c r="K118" s="7">
        <v>938</v>
      </c>
      <c r="L118" s="7" t="s">
        <v>465</v>
      </c>
      <c r="M118" s="7">
        <v>1185</v>
      </c>
      <c r="N118" s="7">
        <v>79.2</v>
      </c>
      <c r="O118" s="7">
        <v>26</v>
      </c>
    </row>
    <row r="119" spans="1:15" ht="12.3">
      <c r="A119" s="7">
        <v>14</v>
      </c>
      <c r="B119" s="5" t="s">
        <v>466</v>
      </c>
      <c r="C119" s="4">
        <v>2020</v>
      </c>
      <c r="D119" s="7">
        <v>17</v>
      </c>
      <c r="E119" s="7">
        <v>5</v>
      </c>
      <c r="F119" s="7">
        <v>1</v>
      </c>
      <c r="G119" s="7">
        <v>11</v>
      </c>
      <c r="H119" s="8">
        <v>38443</v>
      </c>
      <c r="I119" s="7" t="s">
        <v>467</v>
      </c>
      <c r="J119" s="7" t="s">
        <v>468</v>
      </c>
      <c r="K119" s="7">
        <v>996</v>
      </c>
      <c r="L119" s="7" t="s">
        <v>469</v>
      </c>
      <c r="M119" s="7">
        <v>1099</v>
      </c>
      <c r="N119" s="7">
        <v>90.6</v>
      </c>
      <c r="O119" s="7">
        <v>22</v>
      </c>
    </row>
    <row r="120" spans="1:15" ht="12.3">
      <c r="A120" s="7">
        <v>15</v>
      </c>
      <c r="B120" s="5" t="s">
        <v>470</v>
      </c>
      <c r="C120" s="4">
        <v>2020</v>
      </c>
      <c r="D120" s="7">
        <v>17</v>
      </c>
      <c r="E120" s="7">
        <v>5</v>
      </c>
      <c r="F120" s="7"/>
      <c r="G120" s="7">
        <v>12</v>
      </c>
      <c r="H120" s="7" t="s">
        <v>460</v>
      </c>
      <c r="I120" s="7" t="s">
        <v>471</v>
      </c>
      <c r="J120" s="7" t="s">
        <v>472</v>
      </c>
      <c r="K120" s="7">
        <v>1004</v>
      </c>
      <c r="L120" s="7" t="s">
        <v>473</v>
      </c>
      <c r="M120" s="7">
        <v>1194</v>
      </c>
      <c r="N120" s="7">
        <v>84.1</v>
      </c>
      <c r="O120" s="7">
        <v>20</v>
      </c>
    </row>
    <row r="121" spans="1:15" ht="12.3">
      <c r="A121" s="7">
        <v>16</v>
      </c>
      <c r="B121" s="5" t="s">
        <v>474</v>
      </c>
      <c r="C121" s="4">
        <v>2020</v>
      </c>
      <c r="D121" s="7">
        <v>17</v>
      </c>
      <c r="E121" s="7">
        <v>5</v>
      </c>
      <c r="F121" s="7"/>
      <c r="G121" s="7">
        <v>12</v>
      </c>
      <c r="H121" s="7" t="s">
        <v>433</v>
      </c>
      <c r="I121" s="7" t="s">
        <v>475</v>
      </c>
      <c r="J121" s="7" t="s">
        <v>476</v>
      </c>
      <c r="K121" s="7">
        <v>890</v>
      </c>
      <c r="L121" s="7" t="s">
        <v>477</v>
      </c>
      <c r="M121" s="7">
        <v>1077</v>
      </c>
      <c r="N121" s="7">
        <v>82.6</v>
      </c>
      <c r="O121" s="7">
        <v>20</v>
      </c>
    </row>
    <row r="122" spans="1:15" ht="12.3">
      <c r="A122" s="7">
        <v>17</v>
      </c>
      <c r="B122" s="5" t="s">
        <v>478</v>
      </c>
      <c r="C122" s="4">
        <v>2020</v>
      </c>
      <c r="D122" s="7">
        <v>17</v>
      </c>
      <c r="E122" s="7">
        <v>3</v>
      </c>
      <c r="F122" s="7"/>
      <c r="G122" s="7">
        <v>14</v>
      </c>
      <c r="H122" s="7" t="s">
        <v>455</v>
      </c>
      <c r="I122" s="7" t="s">
        <v>479</v>
      </c>
      <c r="J122" s="7" t="s">
        <v>480</v>
      </c>
      <c r="K122" s="7">
        <v>858</v>
      </c>
      <c r="L122" s="7" t="s">
        <v>481</v>
      </c>
      <c r="M122" s="7">
        <v>1205</v>
      </c>
      <c r="N122" s="7">
        <v>71.2</v>
      </c>
      <c r="O122" s="7">
        <v>12</v>
      </c>
    </row>
    <row r="123" spans="1:15" ht="12.3">
      <c r="A123" s="7">
        <v>18</v>
      </c>
      <c r="B123" s="5" t="s">
        <v>482</v>
      </c>
      <c r="C123" s="4">
        <v>2020</v>
      </c>
      <c r="D123" s="7">
        <v>17</v>
      </c>
      <c r="E123" s="7">
        <v>3</v>
      </c>
      <c r="F123" s="7"/>
      <c r="G123" s="7">
        <v>14</v>
      </c>
      <c r="H123" s="7" t="s">
        <v>479</v>
      </c>
      <c r="I123" s="7" t="s">
        <v>455</v>
      </c>
      <c r="J123" s="7" t="s">
        <v>483</v>
      </c>
      <c r="K123" s="7">
        <v>826</v>
      </c>
      <c r="L123" s="7" t="s">
        <v>484</v>
      </c>
      <c r="M123" s="7">
        <v>1283</v>
      </c>
      <c r="N123" s="7">
        <v>64.400000000000006</v>
      </c>
      <c r="O123" s="7">
        <v>12</v>
      </c>
    </row>
    <row r="124" spans="1:15" ht="12.3">
      <c r="A124" s="32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</row>
    <row r="125" spans="1:15" ht="12.3">
      <c r="A125" s="2" t="s">
        <v>485</v>
      </c>
      <c r="B125" s="2" t="s">
        <v>486</v>
      </c>
      <c r="C125" s="3" t="s">
        <v>2</v>
      </c>
      <c r="D125" s="1" t="s">
        <v>487</v>
      </c>
      <c r="E125" s="1" t="s">
        <v>488</v>
      </c>
      <c r="F125" s="1" t="s">
        <v>489</v>
      </c>
      <c r="G125" s="1" t="s">
        <v>490</v>
      </c>
      <c r="H125" s="1" t="s">
        <v>491</v>
      </c>
      <c r="I125" s="1" t="s">
        <v>492</v>
      </c>
      <c r="J125" s="1" t="s">
        <v>493</v>
      </c>
      <c r="K125" s="1" t="s">
        <v>494</v>
      </c>
      <c r="L125" s="1" t="s">
        <v>495</v>
      </c>
      <c r="M125" s="1" t="s">
        <v>496</v>
      </c>
      <c r="N125" s="1" t="s">
        <v>497</v>
      </c>
      <c r="O125" s="1" t="s">
        <v>498</v>
      </c>
    </row>
    <row r="126" spans="1:15" ht="12.3">
      <c r="A126" s="4">
        <v>1</v>
      </c>
      <c r="B126" s="5" t="s">
        <v>499</v>
      </c>
      <c r="C126" s="4">
        <v>2019</v>
      </c>
      <c r="D126" s="4">
        <v>22</v>
      </c>
      <c r="E126" s="4">
        <v>16</v>
      </c>
      <c r="F126" s="4"/>
      <c r="G126" s="4">
        <v>6</v>
      </c>
      <c r="H126" s="4" t="s">
        <v>23</v>
      </c>
      <c r="I126" s="4" t="s">
        <v>18</v>
      </c>
      <c r="J126" s="4" t="s">
        <v>500</v>
      </c>
      <c r="K126" s="4">
        <v>1984</v>
      </c>
      <c r="L126" s="4" t="s">
        <v>501</v>
      </c>
      <c r="M126" s="4">
        <v>1462</v>
      </c>
      <c r="N126" s="4">
        <v>135.69999999999999</v>
      </c>
      <c r="O126" s="4">
        <v>64</v>
      </c>
    </row>
    <row r="127" spans="1:15" ht="12.3">
      <c r="A127" s="4">
        <v>2</v>
      </c>
      <c r="B127" s="5" t="s">
        <v>502</v>
      </c>
      <c r="C127" s="4">
        <v>2019</v>
      </c>
      <c r="D127" s="4">
        <v>22</v>
      </c>
      <c r="E127" s="4">
        <v>16</v>
      </c>
      <c r="F127" s="4"/>
      <c r="G127" s="4">
        <v>6</v>
      </c>
      <c r="H127" s="4" t="s">
        <v>52</v>
      </c>
      <c r="I127" s="4" t="s">
        <v>149</v>
      </c>
      <c r="J127" s="4" t="s">
        <v>503</v>
      </c>
      <c r="K127" s="4">
        <v>2004</v>
      </c>
      <c r="L127" s="4" t="s">
        <v>504</v>
      </c>
      <c r="M127" s="4">
        <v>1694</v>
      </c>
      <c r="N127" s="4">
        <v>118.3</v>
      </c>
      <c r="O127" s="4">
        <v>64</v>
      </c>
    </row>
    <row r="128" spans="1:15" ht="12.3">
      <c r="A128" s="4">
        <v>3</v>
      </c>
      <c r="B128" s="5" t="s">
        <v>505</v>
      </c>
      <c r="C128" s="4">
        <v>2019</v>
      </c>
      <c r="D128" s="4">
        <v>22</v>
      </c>
      <c r="E128" s="4">
        <v>16</v>
      </c>
      <c r="F128" s="4"/>
      <c r="G128" s="4">
        <v>6</v>
      </c>
      <c r="H128" s="4" t="s">
        <v>23</v>
      </c>
      <c r="I128" s="4" t="s">
        <v>18</v>
      </c>
      <c r="J128" s="4" t="s">
        <v>162</v>
      </c>
      <c r="K128" s="4">
        <v>1892</v>
      </c>
      <c r="L128" s="4" t="s">
        <v>506</v>
      </c>
      <c r="M128" s="4">
        <v>1664</v>
      </c>
      <c r="N128" s="4">
        <v>113.7</v>
      </c>
      <c r="O128" s="4">
        <v>64</v>
      </c>
    </row>
    <row r="129" spans="1:15" ht="12.3">
      <c r="A129" s="4">
        <v>4</v>
      </c>
      <c r="B129" s="5" t="s">
        <v>507</v>
      </c>
      <c r="C129" s="4">
        <v>2019</v>
      </c>
      <c r="D129" s="4">
        <v>22</v>
      </c>
      <c r="E129" s="4">
        <v>15</v>
      </c>
      <c r="F129" s="4"/>
      <c r="G129" s="4">
        <v>7</v>
      </c>
      <c r="H129" s="4" t="s">
        <v>149</v>
      </c>
      <c r="I129" s="4" t="s">
        <v>23</v>
      </c>
      <c r="J129" s="4" t="s">
        <v>508</v>
      </c>
      <c r="K129" s="4">
        <v>1885</v>
      </c>
      <c r="L129" s="4" t="s">
        <v>509</v>
      </c>
      <c r="M129" s="4">
        <v>1601</v>
      </c>
      <c r="N129" s="4">
        <v>117.7</v>
      </c>
      <c r="O129" s="4">
        <v>60</v>
      </c>
    </row>
    <row r="130" spans="1:15" ht="12.3">
      <c r="A130" s="4">
        <v>5</v>
      </c>
      <c r="B130" s="5" t="s">
        <v>510</v>
      </c>
      <c r="C130" s="4">
        <v>2019</v>
      </c>
      <c r="D130" s="4">
        <v>22</v>
      </c>
      <c r="E130" s="4">
        <v>15</v>
      </c>
      <c r="F130" s="4"/>
      <c r="G130" s="4">
        <v>7</v>
      </c>
      <c r="H130" s="4" t="s">
        <v>38</v>
      </c>
      <c r="I130" s="4" t="s">
        <v>18</v>
      </c>
      <c r="J130" s="4" t="s">
        <v>511</v>
      </c>
      <c r="K130" s="4">
        <v>1902</v>
      </c>
      <c r="L130" s="4" t="s">
        <v>512</v>
      </c>
      <c r="M130" s="4">
        <v>1691</v>
      </c>
      <c r="N130" s="4">
        <v>112.5</v>
      </c>
      <c r="O130" s="4">
        <v>60</v>
      </c>
    </row>
    <row r="131" spans="1:15" ht="12.3">
      <c r="A131" s="4">
        <v>6</v>
      </c>
      <c r="B131" s="5" t="s">
        <v>513</v>
      </c>
      <c r="C131" s="4">
        <v>2019</v>
      </c>
      <c r="D131" s="4">
        <v>22</v>
      </c>
      <c r="E131" s="4">
        <v>13</v>
      </c>
      <c r="F131" s="4"/>
      <c r="G131" s="4">
        <v>9</v>
      </c>
      <c r="H131" s="4" t="s">
        <v>18</v>
      </c>
      <c r="I131" s="4" t="s">
        <v>149</v>
      </c>
      <c r="J131" s="4" t="s">
        <v>514</v>
      </c>
      <c r="K131" s="4">
        <v>1926</v>
      </c>
      <c r="L131" s="4" t="s">
        <v>515</v>
      </c>
      <c r="M131" s="4">
        <v>1669</v>
      </c>
      <c r="N131" s="4">
        <v>115.4</v>
      </c>
      <c r="O131" s="4">
        <v>52</v>
      </c>
    </row>
    <row r="132" spans="1:15" ht="12.3">
      <c r="A132" s="4">
        <v>7</v>
      </c>
      <c r="B132" s="5" t="s">
        <v>516</v>
      </c>
      <c r="C132" s="4">
        <v>2019</v>
      </c>
      <c r="D132" s="4">
        <v>22</v>
      </c>
      <c r="E132" s="4">
        <v>12</v>
      </c>
      <c r="F132" s="4"/>
      <c r="G132" s="4">
        <v>10</v>
      </c>
      <c r="H132" s="4" t="s">
        <v>18</v>
      </c>
      <c r="I132" s="4" t="s">
        <v>63</v>
      </c>
      <c r="J132" s="4" t="s">
        <v>517</v>
      </c>
      <c r="K132" s="4">
        <v>1941</v>
      </c>
      <c r="L132" s="4" t="s">
        <v>518</v>
      </c>
      <c r="M132" s="4">
        <v>1810</v>
      </c>
      <c r="N132" s="4">
        <v>107.2</v>
      </c>
      <c r="O132" s="4">
        <v>48</v>
      </c>
    </row>
    <row r="133" spans="1:15" ht="12.3">
      <c r="A133" s="4">
        <v>8</v>
      </c>
      <c r="B133" s="5" t="s">
        <v>519</v>
      </c>
      <c r="C133" s="4">
        <v>2019</v>
      </c>
      <c r="D133" s="4">
        <v>22</v>
      </c>
      <c r="E133" s="4">
        <v>12</v>
      </c>
      <c r="F133" s="4"/>
      <c r="G133" s="4">
        <v>10</v>
      </c>
      <c r="H133" s="4" t="s">
        <v>18</v>
      </c>
      <c r="I133" s="4" t="s">
        <v>63</v>
      </c>
      <c r="J133" s="4" t="s">
        <v>520</v>
      </c>
      <c r="K133" s="4">
        <v>1702</v>
      </c>
      <c r="L133" s="4" t="s">
        <v>521</v>
      </c>
      <c r="M133" s="4">
        <v>1784</v>
      </c>
      <c r="N133" s="4">
        <v>95.4</v>
      </c>
      <c r="O133" s="4">
        <v>48</v>
      </c>
    </row>
    <row r="134" spans="1:15" ht="12.3">
      <c r="A134" s="7">
        <v>9</v>
      </c>
      <c r="B134" s="5" t="s">
        <v>522</v>
      </c>
      <c r="C134" s="4">
        <v>2019</v>
      </c>
      <c r="D134" s="7">
        <v>22</v>
      </c>
      <c r="E134" s="7">
        <v>11</v>
      </c>
      <c r="F134" s="7"/>
      <c r="G134" s="7">
        <v>11</v>
      </c>
      <c r="H134" s="7" t="s">
        <v>18</v>
      </c>
      <c r="I134" s="7" t="s">
        <v>68</v>
      </c>
      <c r="J134" s="7" t="s">
        <v>523</v>
      </c>
      <c r="K134" s="7">
        <v>1742</v>
      </c>
      <c r="L134" s="7" t="s">
        <v>524</v>
      </c>
      <c r="M134" s="7">
        <v>1602</v>
      </c>
      <c r="N134" s="7">
        <v>108.7</v>
      </c>
      <c r="O134" s="7">
        <v>44</v>
      </c>
    </row>
    <row r="135" spans="1:15" ht="12.3">
      <c r="A135" s="7">
        <v>10</v>
      </c>
      <c r="B135" s="5" t="s">
        <v>525</v>
      </c>
      <c r="C135" s="4">
        <v>2019</v>
      </c>
      <c r="D135" s="7">
        <v>22</v>
      </c>
      <c r="E135" s="7">
        <v>11</v>
      </c>
      <c r="F135" s="7"/>
      <c r="G135" s="7">
        <v>11</v>
      </c>
      <c r="H135" s="7" t="s">
        <v>149</v>
      </c>
      <c r="I135" s="7" t="s">
        <v>63</v>
      </c>
      <c r="J135" s="7" t="s">
        <v>526</v>
      </c>
      <c r="K135" s="7">
        <v>1806</v>
      </c>
      <c r="L135" s="7" t="s">
        <v>26</v>
      </c>
      <c r="M135" s="7">
        <v>1714</v>
      </c>
      <c r="N135" s="7">
        <v>105.4</v>
      </c>
      <c r="O135" s="7">
        <v>44</v>
      </c>
    </row>
    <row r="136" spans="1:15" ht="12.3">
      <c r="A136" s="7">
        <v>11</v>
      </c>
      <c r="B136" s="5" t="s">
        <v>527</v>
      </c>
      <c r="C136" s="4">
        <v>2019</v>
      </c>
      <c r="D136" s="7">
        <v>22</v>
      </c>
      <c r="E136" s="7">
        <v>10</v>
      </c>
      <c r="F136" s="7"/>
      <c r="G136" s="7">
        <v>12</v>
      </c>
      <c r="H136" s="7" t="s">
        <v>63</v>
      </c>
      <c r="I136" s="7" t="s">
        <v>63</v>
      </c>
      <c r="J136" s="7" t="s">
        <v>528</v>
      </c>
      <c r="K136" s="7">
        <v>1776</v>
      </c>
      <c r="L136" s="7" t="s">
        <v>529</v>
      </c>
      <c r="M136" s="7">
        <v>1761</v>
      </c>
      <c r="N136" s="7">
        <v>100.9</v>
      </c>
      <c r="O136" s="7">
        <v>40</v>
      </c>
    </row>
    <row r="137" spans="1:15" ht="12.3">
      <c r="A137" s="7">
        <v>12</v>
      </c>
      <c r="B137" s="5" t="s">
        <v>530</v>
      </c>
      <c r="C137" s="4">
        <v>2019</v>
      </c>
      <c r="D137" s="7">
        <v>22</v>
      </c>
      <c r="E137" s="7">
        <v>10</v>
      </c>
      <c r="F137" s="7"/>
      <c r="G137" s="7">
        <v>12</v>
      </c>
      <c r="H137" s="7" t="s">
        <v>149</v>
      </c>
      <c r="I137" s="7" t="s">
        <v>68</v>
      </c>
      <c r="J137" s="7" t="s">
        <v>531</v>
      </c>
      <c r="K137" s="7">
        <v>1824</v>
      </c>
      <c r="L137" s="7" t="s">
        <v>532</v>
      </c>
      <c r="M137" s="7">
        <v>1834</v>
      </c>
      <c r="N137" s="7">
        <v>99.5</v>
      </c>
      <c r="O137" s="7">
        <v>40</v>
      </c>
    </row>
    <row r="138" spans="1:15" ht="12.3">
      <c r="A138" s="7">
        <v>13</v>
      </c>
      <c r="B138" s="5" t="s">
        <v>533</v>
      </c>
      <c r="C138" s="4">
        <v>2019</v>
      </c>
      <c r="D138" s="7">
        <v>22</v>
      </c>
      <c r="E138" s="7">
        <v>9</v>
      </c>
      <c r="F138" s="7"/>
      <c r="G138" s="7">
        <v>13</v>
      </c>
      <c r="H138" s="7" t="s">
        <v>18</v>
      </c>
      <c r="I138" s="7" t="s">
        <v>77</v>
      </c>
      <c r="J138" s="7" t="s">
        <v>534</v>
      </c>
      <c r="K138" s="7">
        <v>1579</v>
      </c>
      <c r="L138" s="7" t="s">
        <v>535</v>
      </c>
      <c r="M138" s="7">
        <v>1718</v>
      </c>
      <c r="N138" s="7">
        <v>91.9</v>
      </c>
      <c r="O138" s="7">
        <v>36</v>
      </c>
    </row>
    <row r="139" spans="1:15" ht="12.3">
      <c r="A139" s="7">
        <v>14</v>
      </c>
      <c r="B139" s="5" t="s">
        <v>536</v>
      </c>
      <c r="C139" s="4">
        <v>2019</v>
      </c>
      <c r="D139" s="7">
        <v>22</v>
      </c>
      <c r="E139" s="7">
        <v>9</v>
      </c>
      <c r="F139" s="7"/>
      <c r="G139" s="7">
        <v>13</v>
      </c>
      <c r="H139" s="7" t="s">
        <v>149</v>
      </c>
      <c r="I139" s="7" t="s">
        <v>178</v>
      </c>
      <c r="J139" s="7" t="s">
        <v>537</v>
      </c>
      <c r="K139" s="7">
        <v>1645</v>
      </c>
      <c r="L139" s="7" t="s">
        <v>538</v>
      </c>
      <c r="M139" s="7">
        <v>1961</v>
      </c>
      <c r="N139" s="7">
        <v>83.9</v>
      </c>
      <c r="O139" s="7">
        <v>36</v>
      </c>
    </row>
    <row r="140" spans="1:15" ht="12.3">
      <c r="A140" s="7">
        <v>15</v>
      </c>
      <c r="B140" s="5" t="s">
        <v>539</v>
      </c>
      <c r="C140" s="4">
        <v>2019</v>
      </c>
      <c r="D140" s="7">
        <v>22</v>
      </c>
      <c r="E140" s="7">
        <v>8</v>
      </c>
      <c r="F140" s="7"/>
      <c r="G140" s="7">
        <v>14</v>
      </c>
      <c r="H140" s="7" t="s">
        <v>63</v>
      </c>
      <c r="I140" s="7" t="s">
        <v>178</v>
      </c>
      <c r="J140" s="7" t="s">
        <v>540</v>
      </c>
      <c r="K140" s="7">
        <v>1706</v>
      </c>
      <c r="L140" s="7" t="s">
        <v>541</v>
      </c>
      <c r="M140" s="7">
        <v>1746</v>
      </c>
      <c r="N140" s="7">
        <v>97.7</v>
      </c>
      <c r="O140" s="7">
        <v>32</v>
      </c>
    </row>
    <row r="141" spans="1:15" ht="12.3">
      <c r="A141" s="7">
        <v>16</v>
      </c>
      <c r="B141" s="5" t="s">
        <v>542</v>
      </c>
      <c r="C141" s="4">
        <v>2019</v>
      </c>
      <c r="D141" s="7">
        <v>22</v>
      </c>
      <c r="E141" s="7">
        <v>7</v>
      </c>
      <c r="F141" s="7"/>
      <c r="G141" s="7">
        <v>15</v>
      </c>
      <c r="H141" s="7" t="s">
        <v>68</v>
      </c>
      <c r="I141" s="7" t="s">
        <v>178</v>
      </c>
      <c r="J141" s="7" t="s">
        <v>543</v>
      </c>
      <c r="K141" s="7">
        <v>1609</v>
      </c>
      <c r="L141" s="7" t="s">
        <v>544</v>
      </c>
      <c r="M141" s="7">
        <v>1905</v>
      </c>
      <c r="N141" s="7">
        <v>84.5</v>
      </c>
      <c r="O141" s="7">
        <v>28</v>
      </c>
    </row>
    <row r="142" spans="1:15" ht="12.3">
      <c r="A142" s="7">
        <v>17</v>
      </c>
      <c r="B142" s="5" t="s">
        <v>545</v>
      </c>
      <c r="C142" s="4">
        <v>2019</v>
      </c>
      <c r="D142" s="7">
        <v>22</v>
      </c>
      <c r="E142" s="7">
        <v>5</v>
      </c>
      <c r="F142" s="7"/>
      <c r="G142" s="7">
        <v>17</v>
      </c>
      <c r="H142" s="7" t="s">
        <v>77</v>
      </c>
      <c r="I142" s="7" t="s">
        <v>178</v>
      </c>
      <c r="J142" s="7" t="s">
        <v>546</v>
      </c>
      <c r="K142" s="7">
        <v>1569</v>
      </c>
      <c r="L142" s="7" t="s">
        <v>547</v>
      </c>
      <c r="M142" s="7">
        <v>1995</v>
      </c>
      <c r="N142" s="7">
        <v>78.599999999999994</v>
      </c>
      <c r="O142" s="7">
        <v>20</v>
      </c>
    </row>
    <row r="143" spans="1:15" ht="12.3">
      <c r="A143" s="7">
        <v>18</v>
      </c>
      <c r="B143" s="5" t="s">
        <v>548</v>
      </c>
      <c r="C143" s="4">
        <v>2019</v>
      </c>
      <c r="D143" s="7">
        <v>22</v>
      </c>
      <c r="E143" s="7">
        <v>3</v>
      </c>
      <c r="F143" s="7"/>
      <c r="G143" s="7">
        <v>19</v>
      </c>
      <c r="H143" s="7" t="s">
        <v>77</v>
      </c>
      <c r="I143" s="7" t="s">
        <v>96</v>
      </c>
      <c r="J143" s="7" t="s">
        <v>549</v>
      </c>
      <c r="K143" s="7">
        <v>1351</v>
      </c>
      <c r="L143" s="7" t="s">
        <v>550</v>
      </c>
      <c r="M143" s="7">
        <v>2232</v>
      </c>
      <c r="N143" s="7">
        <v>60.5</v>
      </c>
      <c r="O143" s="7">
        <v>12</v>
      </c>
    </row>
    <row r="144" spans="1:15" ht="12.3">
      <c r="A144" s="32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</row>
    <row r="145" spans="1:15" ht="12.3">
      <c r="A145" s="2" t="s">
        <v>551</v>
      </c>
      <c r="B145" s="2" t="s">
        <v>552</v>
      </c>
      <c r="C145" s="3" t="s">
        <v>2</v>
      </c>
      <c r="D145" s="1" t="s">
        <v>553</v>
      </c>
      <c r="E145" s="1" t="s">
        <v>554</v>
      </c>
      <c r="F145" s="1" t="s">
        <v>555</v>
      </c>
      <c r="G145" s="1" t="s">
        <v>556</v>
      </c>
      <c r="H145" s="1" t="s">
        <v>557</v>
      </c>
      <c r="I145" s="1" t="s">
        <v>558</v>
      </c>
      <c r="J145" s="1" t="s">
        <v>559</v>
      </c>
      <c r="K145" s="1" t="s">
        <v>560</v>
      </c>
      <c r="L145" s="1" t="s">
        <v>561</v>
      </c>
      <c r="M145" s="1" t="s">
        <v>562</v>
      </c>
      <c r="N145" s="1" t="s">
        <v>563</v>
      </c>
      <c r="O145" s="1" t="s">
        <v>564</v>
      </c>
    </row>
    <row r="146" spans="1:15" ht="12.3">
      <c r="A146" s="4">
        <v>1</v>
      </c>
      <c r="B146" s="5" t="s">
        <v>565</v>
      </c>
      <c r="C146" s="4">
        <v>2018</v>
      </c>
      <c r="D146" s="4">
        <v>22</v>
      </c>
      <c r="E146" s="4">
        <v>18</v>
      </c>
      <c r="F146" s="4"/>
      <c r="G146" s="4">
        <v>4</v>
      </c>
      <c r="H146" s="4" t="s">
        <v>566</v>
      </c>
      <c r="I146" s="4" t="s">
        <v>18</v>
      </c>
      <c r="J146" s="4" t="s">
        <v>567</v>
      </c>
      <c r="K146" s="4">
        <v>2143</v>
      </c>
      <c r="L146" s="4" t="s">
        <v>568</v>
      </c>
      <c r="M146" s="4">
        <v>1574</v>
      </c>
      <c r="N146" s="4">
        <v>136.1</v>
      </c>
      <c r="O146" s="4">
        <v>72</v>
      </c>
    </row>
    <row r="147" spans="1:15" ht="12.3">
      <c r="A147" s="4">
        <v>2</v>
      </c>
      <c r="B147" s="5" t="s">
        <v>569</v>
      </c>
      <c r="C147" s="4">
        <v>2018</v>
      </c>
      <c r="D147" s="4">
        <v>22</v>
      </c>
      <c r="E147" s="4">
        <v>16</v>
      </c>
      <c r="F147" s="4"/>
      <c r="G147" s="4">
        <v>6</v>
      </c>
      <c r="H147" s="4" t="s">
        <v>38</v>
      </c>
      <c r="I147" s="4" t="s">
        <v>38</v>
      </c>
      <c r="J147" s="4" t="s">
        <v>570</v>
      </c>
      <c r="K147" s="4">
        <v>2012</v>
      </c>
      <c r="L147" s="4" t="s">
        <v>571</v>
      </c>
      <c r="M147" s="4">
        <v>1657</v>
      </c>
      <c r="N147" s="4">
        <v>121.4</v>
      </c>
      <c r="O147" s="4">
        <v>64</v>
      </c>
    </row>
    <row r="148" spans="1:15" ht="12.3">
      <c r="A148" s="4">
        <v>3</v>
      </c>
      <c r="B148" s="5" t="s">
        <v>572</v>
      </c>
      <c r="C148" s="4">
        <v>2018</v>
      </c>
      <c r="D148" s="4">
        <v>22</v>
      </c>
      <c r="E148" s="4">
        <v>15</v>
      </c>
      <c r="F148" s="4"/>
      <c r="G148" s="4">
        <v>7</v>
      </c>
      <c r="H148" s="4" t="s">
        <v>18</v>
      </c>
      <c r="I148" s="4" t="s">
        <v>38</v>
      </c>
      <c r="J148" s="4" t="s">
        <v>573</v>
      </c>
      <c r="K148" s="4">
        <v>2046</v>
      </c>
      <c r="L148" s="4" t="s">
        <v>574</v>
      </c>
      <c r="M148" s="4">
        <v>1699</v>
      </c>
      <c r="N148" s="4">
        <v>120.4</v>
      </c>
      <c r="O148" s="4">
        <v>60</v>
      </c>
    </row>
    <row r="149" spans="1:15" ht="12.3">
      <c r="A149" s="4">
        <v>4</v>
      </c>
      <c r="B149" s="5" t="s">
        <v>575</v>
      </c>
      <c r="C149" s="4">
        <v>2018</v>
      </c>
      <c r="D149" s="4">
        <v>22</v>
      </c>
      <c r="E149" s="4">
        <v>15</v>
      </c>
      <c r="F149" s="4"/>
      <c r="G149" s="4">
        <v>7</v>
      </c>
      <c r="H149" s="4" t="s">
        <v>38</v>
      </c>
      <c r="I149" s="4" t="s">
        <v>18</v>
      </c>
      <c r="J149" s="4" t="s">
        <v>576</v>
      </c>
      <c r="K149" s="4">
        <v>1972</v>
      </c>
      <c r="L149" s="4" t="s">
        <v>577</v>
      </c>
      <c r="M149" s="4">
        <v>1642</v>
      </c>
      <c r="N149" s="4">
        <v>120.1</v>
      </c>
      <c r="O149" s="4">
        <v>60</v>
      </c>
    </row>
    <row r="150" spans="1:15" ht="12.3">
      <c r="A150" s="4">
        <v>5</v>
      </c>
      <c r="B150" s="5" t="s">
        <v>578</v>
      </c>
      <c r="C150" s="4">
        <v>2018</v>
      </c>
      <c r="D150" s="4">
        <v>22</v>
      </c>
      <c r="E150" s="4">
        <v>14</v>
      </c>
      <c r="F150" s="4"/>
      <c r="G150" s="4">
        <v>8</v>
      </c>
      <c r="H150" s="4" t="s">
        <v>149</v>
      </c>
      <c r="I150" s="4" t="s">
        <v>38</v>
      </c>
      <c r="J150" s="4" t="s">
        <v>579</v>
      </c>
      <c r="K150" s="4">
        <v>2299</v>
      </c>
      <c r="L150" s="4" t="s">
        <v>580</v>
      </c>
      <c r="M150" s="4">
        <v>1749</v>
      </c>
      <c r="N150" s="4">
        <v>131.4</v>
      </c>
      <c r="O150" s="4">
        <v>56</v>
      </c>
    </row>
    <row r="151" spans="1:15" ht="12.3">
      <c r="A151" s="4">
        <v>6</v>
      </c>
      <c r="B151" s="5" t="s">
        <v>581</v>
      </c>
      <c r="C151" s="4">
        <v>2018</v>
      </c>
      <c r="D151" s="4">
        <v>22</v>
      </c>
      <c r="E151" s="4">
        <v>14</v>
      </c>
      <c r="F151" s="4"/>
      <c r="G151" s="4">
        <v>8</v>
      </c>
      <c r="H151" s="4" t="s">
        <v>63</v>
      </c>
      <c r="I151" s="4" t="s">
        <v>23</v>
      </c>
      <c r="J151" s="4" t="s">
        <v>582</v>
      </c>
      <c r="K151" s="4">
        <v>1822</v>
      </c>
      <c r="L151" s="4" t="s">
        <v>583</v>
      </c>
      <c r="M151" s="4">
        <v>1664</v>
      </c>
      <c r="N151" s="4">
        <v>109.5</v>
      </c>
      <c r="O151" s="4">
        <v>56</v>
      </c>
    </row>
    <row r="152" spans="1:15" ht="12.3">
      <c r="A152" s="4">
        <v>7</v>
      </c>
      <c r="B152" s="5" t="s">
        <v>584</v>
      </c>
      <c r="C152" s="4">
        <v>2018</v>
      </c>
      <c r="D152" s="4">
        <v>22</v>
      </c>
      <c r="E152" s="4">
        <v>13</v>
      </c>
      <c r="F152" s="4">
        <v>1</v>
      </c>
      <c r="G152" s="4">
        <v>8</v>
      </c>
      <c r="H152" s="4" t="s">
        <v>38</v>
      </c>
      <c r="I152" s="6">
        <v>38473</v>
      </c>
      <c r="J152" s="4" t="s">
        <v>585</v>
      </c>
      <c r="K152" s="4">
        <v>1898</v>
      </c>
      <c r="L152" s="4" t="s">
        <v>586</v>
      </c>
      <c r="M152" s="4">
        <v>1661</v>
      </c>
      <c r="N152" s="4">
        <v>114.3</v>
      </c>
      <c r="O152" s="4">
        <v>54</v>
      </c>
    </row>
    <row r="153" spans="1:15" ht="12.3">
      <c r="A153" s="4">
        <v>8</v>
      </c>
      <c r="B153" s="5" t="s">
        <v>587</v>
      </c>
      <c r="C153" s="4">
        <v>2018</v>
      </c>
      <c r="D153" s="4">
        <v>22</v>
      </c>
      <c r="E153" s="4">
        <v>13</v>
      </c>
      <c r="F153" s="4"/>
      <c r="G153" s="4">
        <v>9</v>
      </c>
      <c r="H153" s="4" t="s">
        <v>38</v>
      </c>
      <c r="I153" s="4" t="s">
        <v>63</v>
      </c>
      <c r="J153" s="4" t="s">
        <v>588</v>
      </c>
      <c r="K153" s="4">
        <v>2045</v>
      </c>
      <c r="L153" s="4" t="s">
        <v>589</v>
      </c>
      <c r="M153" s="4">
        <v>1554</v>
      </c>
      <c r="N153" s="4">
        <v>131.6</v>
      </c>
      <c r="O153" s="4">
        <v>52</v>
      </c>
    </row>
    <row r="154" spans="1:15" ht="12.3">
      <c r="A154" s="7">
        <v>9</v>
      </c>
      <c r="B154" s="5" t="s">
        <v>590</v>
      </c>
      <c r="C154" s="4">
        <v>2018</v>
      </c>
      <c r="D154" s="7">
        <v>22</v>
      </c>
      <c r="E154" s="7">
        <v>12</v>
      </c>
      <c r="F154" s="7"/>
      <c r="G154" s="7">
        <v>10</v>
      </c>
      <c r="H154" s="7" t="s">
        <v>18</v>
      </c>
      <c r="I154" s="7" t="s">
        <v>63</v>
      </c>
      <c r="J154" s="7" t="s">
        <v>591</v>
      </c>
      <c r="K154" s="7">
        <v>1950</v>
      </c>
      <c r="L154" s="7" t="s">
        <v>592</v>
      </c>
      <c r="M154" s="7">
        <v>1790</v>
      </c>
      <c r="N154" s="7">
        <v>108.9</v>
      </c>
      <c r="O154" s="7">
        <v>48</v>
      </c>
    </row>
    <row r="155" spans="1:15" ht="12.3">
      <c r="A155" s="7">
        <v>10</v>
      </c>
      <c r="B155" s="5" t="s">
        <v>593</v>
      </c>
      <c r="C155" s="4">
        <v>2018</v>
      </c>
      <c r="D155" s="7">
        <v>22</v>
      </c>
      <c r="E155" s="7">
        <v>12</v>
      </c>
      <c r="F155" s="7"/>
      <c r="G155" s="7">
        <v>10</v>
      </c>
      <c r="H155" s="7" t="s">
        <v>18</v>
      </c>
      <c r="I155" s="7" t="s">
        <v>63</v>
      </c>
      <c r="J155" s="7" t="s">
        <v>594</v>
      </c>
      <c r="K155" s="7">
        <v>1780</v>
      </c>
      <c r="L155" s="7" t="s">
        <v>595</v>
      </c>
      <c r="M155" s="7">
        <v>1654</v>
      </c>
      <c r="N155" s="7">
        <v>107.6</v>
      </c>
      <c r="O155" s="7">
        <v>48</v>
      </c>
    </row>
    <row r="156" spans="1:15" ht="12.3">
      <c r="A156" s="7">
        <v>11</v>
      </c>
      <c r="B156" s="5" t="s">
        <v>596</v>
      </c>
      <c r="C156" s="4">
        <v>2018</v>
      </c>
      <c r="D156" s="7">
        <v>22</v>
      </c>
      <c r="E156" s="7">
        <v>12</v>
      </c>
      <c r="F156" s="7"/>
      <c r="G156" s="7">
        <v>10</v>
      </c>
      <c r="H156" s="7" t="s">
        <v>18</v>
      </c>
      <c r="I156" s="7" t="s">
        <v>63</v>
      </c>
      <c r="J156" s="7" t="s">
        <v>597</v>
      </c>
      <c r="K156" s="7">
        <v>1932</v>
      </c>
      <c r="L156" s="7" t="s">
        <v>598</v>
      </c>
      <c r="M156" s="7">
        <v>1838</v>
      </c>
      <c r="N156" s="7">
        <v>105.1</v>
      </c>
      <c r="O156" s="7">
        <v>48</v>
      </c>
    </row>
    <row r="157" spans="1:15" ht="12.3">
      <c r="A157" s="7">
        <v>12</v>
      </c>
      <c r="B157" s="5" t="s">
        <v>599</v>
      </c>
      <c r="C157" s="4">
        <v>2018</v>
      </c>
      <c r="D157" s="7">
        <v>22</v>
      </c>
      <c r="E157" s="7">
        <v>12</v>
      </c>
      <c r="F157" s="7"/>
      <c r="G157" s="7">
        <v>10</v>
      </c>
      <c r="H157" s="7" t="s">
        <v>38</v>
      </c>
      <c r="I157" s="7" t="s">
        <v>68</v>
      </c>
      <c r="J157" s="7" t="s">
        <v>517</v>
      </c>
      <c r="K157" s="7">
        <v>1941</v>
      </c>
      <c r="L157" s="7" t="s">
        <v>600</v>
      </c>
      <c r="M157" s="7">
        <v>1865</v>
      </c>
      <c r="N157" s="7">
        <v>104.1</v>
      </c>
      <c r="O157" s="7">
        <v>48</v>
      </c>
    </row>
    <row r="158" spans="1:15" ht="12.3">
      <c r="A158" s="7">
        <v>13</v>
      </c>
      <c r="B158" s="5" t="s">
        <v>601</v>
      </c>
      <c r="C158" s="4">
        <v>2018</v>
      </c>
      <c r="D158" s="7">
        <v>22</v>
      </c>
      <c r="E158" s="7">
        <v>8</v>
      </c>
      <c r="F158" s="7"/>
      <c r="G158" s="7">
        <v>14</v>
      </c>
      <c r="H158" s="7" t="s">
        <v>63</v>
      </c>
      <c r="I158" s="7" t="s">
        <v>178</v>
      </c>
      <c r="J158" s="7" t="s">
        <v>602</v>
      </c>
      <c r="K158" s="7">
        <v>1575</v>
      </c>
      <c r="L158" s="7" t="s">
        <v>603</v>
      </c>
      <c r="M158" s="7">
        <v>2037</v>
      </c>
      <c r="N158" s="7">
        <v>77.3</v>
      </c>
      <c r="O158" s="7">
        <v>32</v>
      </c>
    </row>
    <row r="159" spans="1:15" ht="12.3">
      <c r="A159" s="7">
        <v>14</v>
      </c>
      <c r="B159" s="5" t="s">
        <v>604</v>
      </c>
      <c r="C159" s="4">
        <v>2018</v>
      </c>
      <c r="D159" s="7">
        <v>22</v>
      </c>
      <c r="E159" s="7">
        <v>8</v>
      </c>
      <c r="F159" s="7"/>
      <c r="G159" s="7">
        <v>14</v>
      </c>
      <c r="H159" s="7" t="s">
        <v>149</v>
      </c>
      <c r="I159" s="7" t="s">
        <v>77</v>
      </c>
      <c r="J159" s="7" t="s">
        <v>605</v>
      </c>
      <c r="K159" s="7">
        <v>1556</v>
      </c>
      <c r="L159" s="7" t="s">
        <v>606</v>
      </c>
      <c r="M159" s="7">
        <v>2041</v>
      </c>
      <c r="N159" s="7">
        <v>76.2</v>
      </c>
      <c r="O159" s="7">
        <v>32</v>
      </c>
    </row>
    <row r="160" spans="1:15" ht="12.3">
      <c r="A160" s="7">
        <v>15</v>
      </c>
      <c r="B160" s="5" t="s">
        <v>607</v>
      </c>
      <c r="C160" s="4">
        <v>2018</v>
      </c>
      <c r="D160" s="7">
        <v>22</v>
      </c>
      <c r="E160" s="7">
        <v>5</v>
      </c>
      <c r="F160" s="7"/>
      <c r="G160" s="7">
        <v>17</v>
      </c>
      <c r="H160" s="7" t="s">
        <v>77</v>
      </c>
      <c r="I160" s="7" t="s">
        <v>178</v>
      </c>
      <c r="J160" s="7" t="s">
        <v>608</v>
      </c>
      <c r="K160" s="7">
        <v>1825</v>
      </c>
      <c r="L160" s="7" t="s">
        <v>609</v>
      </c>
      <c r="M160" s="7">
        <v>2049</v>
      </c>
      <c r="N160" s="7">
        <v>89.1</v>
      </c>
      <c r="O160" s="7">
        <v>20</v>
      </c>
    </row>
    <row r="161" spans="1:15" ht="12.3">
      <c r="A161" s="7">
        <v>16</v>
      </c>
      <c r="B161" s="5" t="s">
        <v>610</v>
      </c>
      <c r="C161" s="4">
        <v>2018</v>
      </c>
      <c r="D161" s="7">
        <v>22</v>
      </c>
      <c r="E161" s="7">
        <v>4</v>
      </c>
      <c r="F161" s="7">
        <v>1</v>
      </c>
      <c r="G161" s="7">
        <v>17</v>
      </c>
      <c r="H161" s="8">
        <v>39479</v>
      </c>
      <c r="I161" s="7" t="s">
        <v>77</v>
      </c>
      <c r="J161" s="7" t="s">
        <v>611</v>
      </c>
      <c r="K161" s="7">
        <v>1606</v>
      </c>
      <c r="L161" s="7" t="s">
        <v>612</v>
      </c>
      <c r="M161" s="7">
        <v>2125</v>
      </c>
      <c r="N161" s="7">
        <v>75.599999999999994</v>
      </c>
      <c r="O161" s="7">
        <v>18</v>
      </c>
    </row>
    <row r="162" spans="1:15" ht="12.3">
      <c r="A162" s="7">
        <v>17</v>
      </c>
      <c r="B162" s="5" t="s">
        <v>613</v>
      </c>
      <c r="C162" s="4">
        <v>2018</v>
      </c>
      <c r="D162" s="7">
        <v>22</v>
      </c>
      <c r="E162" s="7">
        <v>4</v>
      </c>
      <c r="F162" s="7"/>
      <c r="G162" s="7">
        <v>18</v>
      </c>
      <c r="H162" s="7" t="s">
        <v>96</v>
      </c>
      <c r="I162" s="7" t="s">
        <v>178</v>
      </c>
      <c r="J162" s="7" t="s">
        <v>614</v>
      </c>
      <c r="K162" s="7">
        <v>1308</v>
      </c>
      <c r="L162" s="7" t="s">
        <v>615</v>
      </c>
      <c r="M162" s="7">
        <v>2182</v>
      </c>
      <c r="N162" s="7">
        <v>59.9</v>
      </c>
      <c r="O162" s="7">
        <v>16</v>
      </c>
    </row>
    <row r="163" spans="1:15" ht="12.3">
      <c r="A163" s="7">
        <v>18</v>
      </c>
      <c r="B163" s="5" t="s">
        <v>616</v>
      </c>
      <c r="C163" s="4">
        <v>2018</v>
      </c>
      <c r="D163" s="7">
        <v>22</v>
      </c>
      <c r="E163" s="7">
        <v>2</v>
      </c>
      <c r="F163" s="7"/>
      <c r="G163" s="7">
        <v>20</v>
      </c>
      <c r="H163" s="7" t="s">
        <v>96</v>
      </c>
      <c r="I163" s="7" t="s">
        <v>96</v>
      </c>
      <c r="J163" s="7" t="s">
        <v>617</v>
      </c>
      <c r="K163" s="7">
        <v>1353</v>
      </c>
      <c r="L163" s="7" t="s">
        <v>618</v>
      </c>
      <c r="M163" s="7">
        <v>2282</v>
      </c>
      <c r="N163" s="7">
        <v>59.3</v>
      </c>
      <c r="O163" s="7">
        <v>8</v>
      </c>
    </row>
    <row r="164" spans="1:15" ht="12.3">
      <c r="A164" s="32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</row>
    <row r="165" spans="1:15" ht="12.3">
      <c r="A165" s="2" t="s">
        <v>619</v>
      </c>
      <c r="B165" s="2" t="s">
        <v>620</v>
      </c>
      <c r="C165" s="3" t="s">
        <v>2</v>
      </c>
      <c r="D165" s="1" t="s">
        <v>621</v>
      </c>
      <c r="E165" s="1" t="s">
        <v>622</v>
      </c>
      <c r="F165" s="1" t="s">
        <v>623</v>
      </c>
      <c r="G165" s="1" t="s">
        <v>624</v>
      </c>
      <c r="H165" s="1" t="s">
        <v>625</v>
      </c>
      <c r="I165" s="1" t="s">
        <v>626</v>
      </c>
      <c r="J165" s="1" t="s">
        <v>627</v>
      </c>
      <c r="K165" s="1" t="s">
        <v>628</v>
      </c>
      <c r="L165" s="1" t="s">
        <v>629</v>
      </c>
      <c r="M165" s="1" t="s">
        <v>630</v>
      </c>
      <c r="N165" s="1" t="s">
        <v>631</v>
      </c>
      <c r="O165" s="1" t="s">
        <v>632</v>
      </c>
    </row>
    <row r="166" spans="1:15" ht="12.3">
      <c r="A166" s="4">
        <v>1</v>
      </c>
      <c r="B166" s="5" t="s">
        <v>633</v>
      </c>
      <c r="C166" s="4">
        <v>2017</v>
      </c>
      <c r="D166" s="4">
        <v>22</v>
      </c>
      <c r="E166" s="4">
        <v>15</v>
      </c>
      <c r="F166" s="4">
        <v>1</v>
      </c>
      <c r="G166" s="4">
        <v>6</v>
      </c>
      <c r="H166" s="4" t="s">
        <v>38</v>
      </c>
      <c r="I166" s="6">
        <v>37803</v>
      </c>
      <c r="J166" s="4" t="s">
        <v>634</v>
      </c>
      <c r="K166" s="4">
        <v>2415</v>
      </c>
      <c r="L166" s="4" t="s">
        <v>635</v>
      </c>
      <c r="M166" s="4">
        <v>1776</v>
      </c>
      <c r="N166" s="4">
        <v>136</v>
      </c>
      <c r="O166" s="4">
        <v>62</v>
      </c>
    </row>
    <row r="167" spans="1:15" ht="12.3">
      <c r="A167" s="4">
        <v>2</v>
      </c>
      <c r="B167" s="5" t="s">
        <v>636</v>
      </c>
      <c r="C167" s="4">
        <v>2017</v>
      </c>
      <c r="D167" s="4">
        <v>22</v>
      </c>
      <c r="E167" s="4">
        <v>15</v>
      </c>
      <c r="F167" s="4">
        <v>1</v>
      </c>
      <c r="G167" s="4">
        <v>6</v>
      </c>
      <c r="H167" s="4" t="s">
        <v>23</v>
      </c>
      <c r="I167" s="6">
        <v>38139</v>
      </c>
      <c r="J167" s="4" t="s">
        <v>637</v>
      </c>
      <c r="K167" s="4">
        <v>2134</v>
      </c>
      <c r="L167" s="4" t="s">
        <v>638</v>
      </c>
      <c r="M167" s="4">
        <v>1818</v>
      </c>
      <c r="N167" s="4">
        <v>117.4</v>
      </c>
      <c r="O167" s="4">
        <v>62</v>
      </c>
    </row>
    <row r="168" spans="1:15" ht="12.3">
      <c r="A168" s="4">
        <v>3</v>
      </c>
      <c r="B168" s="5" t="s">
        <v>639</v>
      </c>
      <c r="C168" s="4">
        <v>2017</v>
      </c>
      <c r="D168" s="4">
        <v>22</v>
      </c>
      <c r="E168" s="4">
        <v>15</v>
      </c>
      <c r="F168" s="4"/>
      <c r="G168" s="4">
        <v>7</v>
      </c>
      <c r="H168" s="4" t="s">
        <v>23</v>
      </c>
      <c r="I168" s="4" t="s">
        <v>149</v>
      </c>
      <c r="J168" s="4" t="s">
        <v>640</v>
      </c>
      <c r="K168" s="4">
        <v>1992</v>
      </c>
      <c r="L168" s="4" t="s">
        <v>641</v>
      </c>
      <c r="M168" s="4">
        <v>1684</v>
      </c>
      <c r="N168" s="4">
        <v>118.3</v>
      </c>
      <c r="O168" s="4">
        <v>60</v>
      </c>
    </row>
    <row r="169" spans="1:15" ht="12.3">
      <c r="A169" s="4">
        <v>4</v>
      </c>
      <c r="B169" s="5" t="s">
        <v>642</v>
      </c>
      <c r="C169" s="4">
        <v>2017</v>
      </c>
      <c r="D169" s="4">
        <v>22</v>
      </c>
      <c r="E169" s="4">
        <v>14</v>
      </c>
      <c r="F169" s="4">
        <v>2</v>
      </c>
      <c r="G169" s="4">
        <v>6</v>
      </c>
      <c r="H169" s="6">
        <v>37135</v>
      </c>
      <c r="I169" s="6">
        <v>38473</v>
      </c>
      <c r="J169" s="4" t="s">
        <v>643</v>
      </c>
      <c r="K169" s="4">
        <v>2081</v>
      </c>
      <c r="L169" s="4" t="s">
        <v>644</v>
      </c>
      <c r="M169" s="4">
        <v>1812</v>
      </c>
      <c r="N169" s="4">
        <v>114.8</v>
      </c>
      <c r="O169" s="4">
        <v>60</v>
      </c>
    </row>
    <row r="170" spans="1:15" ht="12.3">
      <c r="A170" s="4">
        <v>5</v>
      </c>
      <c r="B170" s="5" t="s">
        <v>645</v>
      </c>
      <c r="C170" s="4">
        <v>2017</v>
      </c>
      <c r="D170" s="4">
        <v>22</v>
      </c>
      <c r="E170" s="4">
        <v>14</v>
      </c>
      <c r="F170" s="4"/>
      <c r="G170" s="4">
        <v>8</v>
      </c>
      <c r="H170" s="4" t="s">
        <v>38</v>
      </c>
      <c r="I170" s="4" t="s">
        <v>149</v>
      </c>
      <c r="J170" s="4" t="s">
        <v>646</v>
      </c>
      <c r="K170" s="4">
        <v>2168</v>
      </c>
      <c r="L170" s="4" t="s">
        <v>647</v>
      </c>
      <c r="M170" s="4">
        <v>1671</v>
      </c>
      <c r="N170" s="4">
        <v>129.69999999999999</v>
      </c>
      <c r="O170" s="4">
        <v>56</v>
      </c>
    </row>
    <row r="171" spans="1:15" ht="12.3">
      <c r="A171" s="4">
        <v>6</v>
      </c>
      <c r="B171" s="5" t="s">
        <v>648</v>
      </c>
      <c r="C171" s="4">
        <v>2017</v>
      </c>
      <c r="D171" s="4">
        <v>22</v>
      </c>
      <c r="E171" s="4">
        <v>14</v>
      </c>
      <c r="F171" s="4"/>
      <c r="G171" s="4">
        <v>8</v>
      </c>
      <c r="H171" s="4" t="s">
        <v>18</v>
      </c>
      <c r="I171" s="4" t="s">
        <v>18</v>
      </c>
      <c r="J171" s="4" t="s">
        <v>649</v>
      </c>
      <c r="K171" s="4">
        <v>2093</v>
      </c>
      <c r="L171" s="4" t="s">
        <v>650</v>
      </c>
      <c r="M171" s="4">
        <v>1651</v>
      </c>
      <c r="N171" s="4">
        <v>126.8</v>
      </c>
      <c r="O171" s="4">
        <v>56</v>
      </c>
    </row>
    <row r="172" spans="1:15" ht="12.3">
      <c r="A172" s="4">
        <v>7</v>
      </c>
      <c r="B172" s="5" t="s">
        <v>651</v>
      </c>
      <c r="C172" s="4">
        <v>2017</v>
      </c>
      <c r="D172" s="4">
        <v>22</v>
      </c>
      <c r="E172" s="4">
        <v>12</v>
      </c>
      <c r="F172" s="4"/>
      <c r="G172" s="4">
        <v>10</v>
      </c>
      <c r="H172" s="4" t="s">
        <v>38</v>
      </c>
      <c r="I172" s="4" t="s">
        <v>68</v>
      </c>
      <c r="J172" s="4" t="s">
        <v>652</v>
      </c>
      <c r="K172" s="4">
        <v>2135</v>
      </c>
      <c r="L172" s="4" t="s">
        <v>503</v>
      </c>
      <c r="M172" s="4">
        <v>2004</v>
      </c>
      <c r="N172" s="4">
        <v>106.5</v>
      </c>
      <c r="O172" s="4">
        <v>48</v>
      </c>
    </row>
    <row r="173" spans="1:15" ht="12.3">
      <c r="A173" s="4">
        <v>8</v>
      </c>
      <c r="B173" s="5" t="s">
        <v>653</v>
      </c>
      <c r="C173" s="4">
        <v>2017</v>
      </c>
      <c r="D173" s="4">
        <v>22</v>
      </c>
      <c r="E173" s="4">
        <v>12</v>
      </c>
      <c r="F173" s="4"/>
      <c r="G173" s="4">
        <v>10</v>
      </c>
      <c r="H173" s="4" t="s">
        <v>38</v>
      </c>
      <c r="I173" s="4" t="s">
        <v>68</v>
      </c>
      <c r="J173" s="4" t="s">
        <v>654</v>
      </c>
      <c r="K173" s="4">
        <v>1964</v>
      </c>
      <c r="L173" s="4" t="s">
        <v>655</v>
      </c>
      <c r="M173" s="4">
        <v>1858</v>
      </c>
      <c r="N173" s="4">
        <v>105.7</v>
      </c>
      <c r="O173" s="4">
        <v>48</v>
      </c>
    </row>
    <row r="174" spans="1:15" ht="12.3">
      <c r="A174" s="7">
        <v>9</v>
      </c>
      <c r="B174" s="5" t="s">
        <v>656</v>
      </c>
      <c r="C174" s="4">
        <v>2017</v>
      </c>
      <c r="D174" s="7">
        <v>22</v>
      </c>
      <c r="E174" s="7">
        <v>12</v>
      </c>
      <c r="F174" s="7"/>
      <c r="G174" s="7">
        <v>10</v>
      </c>
      <c r="H174" s="7" t="s">
        <v>149</v>
      </c>
      <c r="I174" s="7" t="s">
        <v>149</v>
      </c>
      <c r="J174" s="7" t="s">
        <v>657</v>
      </c>
      <c r="K174" s="7">
        <v>2035</v>
      </c>
      <c r="L174" s="7" t="s">
        <v>658</v>
      </c>
      <c r="M174" s="7">
        <v>1934</v>
      </c>
      <c r="N174" s="7">
        <v>105.2</v>
      </c>
      <c r="O174" s="7">
        <v>48</v>
      </c>
    </row>
    <row r="175" spans="1:15" ht="12.3">
      <c r="A175" s="7">
        <v>10</v>
      </c>
      <c r="B175" s="5" t="s">
        <v>659</v>
      </c>
      <c r="C175" s="4">
        <v>2017</v>
      </c>
      <c r="D175" s="7">
        <v>22</v>
      </c>
      <c r="E175" s="7">
        <v>11</v>
      </c>
      <c r="F175" s="7"/>
      <c r="G175" s="7">
        <v>11</v>
      </c>
      <c r="H175" s="7" t="s">
        <v>18</v>
      </c>
      <c r="I175" s="7" t="s">
        <v>68</v>
      </c>
      <c r="J175" s="7" t="s">
        <v>660</v>
      </c>
      <c r="K175" s="7">
        <v>1857</v>
      </c>
      <c r="L175" s="7" t="s">
        <v>661</v>
      </c>
      <c r="M175" s="7">
        <v>1913</v>
      </c>
      <c r="N175" s="7">
        <v>97.1</v>
      </c>
      <c r="O175" s="7">
        <v>44</v>
      </c>
    </row>
    <row r="176" spans="1:15" ht="12.3">
      <c r="A176" s="7">
        <v>11</v>
      </c>
      <c r="B176" s="5" t="s">
        <v>662</v>
      </c>
      <c r="C176" s="4">
        <v>2017</v>
      </c>
      <c r="D176" s="7">
        <v>22</v>
      </c>
      <c r="E176" s="7">
        <v>11</v>
      </c>
      <c r="F176" s="7"/>
      <c r="G176" s="7">
        <v>11</v>
      </c>
      <c r="H176" s="7" t="s">
        <v>18</v>
      </c>
      <c r="I176" s="7" t="s">
        <v>68</v>
      </c>
      <c r="J176" s="7" t="s">
        <v>663</v>
      </c>
      <c r="K176" s="7">
        <v>1925</v>
      </c>
      <c r="L176" s="7" t="s">
        <v>664</v>
      </c>
      <c r="M176" s="7">
        <v>1986</v>
      </c>
      <c r="N176" s="7">
        <v>96.9</v>
      </c>
      <c r="O176" s="7">
        <v>44</v>
      </c>
    </row>
    <row r="177" spans="1:15" ht="12.3">
      <c r="A177" s="7">
        <v>12</v>
      </c>
      <c r="B177" s="5" t="s">
        <v>665</v>
      </c>
      <c r="C177" s="4">
        <v>2017</v>
      </c>
      <c r="D177" s="7">
        <v>22</v>
      </c>
      <c r="E177" s="7">
        <v>10</v>
      </c>
      <c r="F177" s="7">
        <v>1</v>
      </c>
      <c r="G177" s="7">
        <v>11</v>
      </c>
      <c r="H177" s="8">
        <v>38139</v>
      </c>
      <c r="I177" s="7" t="s">
        <v>68</v>
      </c>
      <c r="J177" s="7" t="s">
        <v>666</v>
      </c>
      <c r="K177" s="7">
        <v>1864</v>
      </c>
      <c r="L177" s="7" t="s">
        <v>667</v>
      </c>
      <c r="M177" s="7">
        <v>2055</v>
      </c>
      <c r="N177" s="7">
        <v>90.7</v>
      </c>
      <c r="O177" s="7">
        <v>42</v>
      </c>
    </row>
    <row r="178" spans="1:15" ht="12.3">
      <c r="A178" s="7">
        <v>13</v>
      </c>
      <c r="B178" s="5" t="s">
        <v>668</v>
      </c>
      <c r="C178" s="4">
        <v>2017</v>
      </c>
      <c r="D178" s="7">
        <v>22</v>
      </c>
      <c r="E178" s="7">
        <v>9</v>
      </c>
      <c r="F178" s="7">
        <v>1</v>
      </c>
      <c r="G178" s="7">
        <v>12</v>
      </c>
      <c r="H178" s="8">
        <v>38808</v>
      </c>
      <c r="I178" s="7" t="s">
        <v>63</v>
      </c>
      <c r="J178" s="7" t="s">
        <v>669</v>
      </c>
      <c r="K178" s="7">
        <v>1944</v>
      </c>
      <c r="L178" s="7" t="s">
        <v>670</v>
      </c>
      <c r="M178" s="7">
        <v>1963</v>
      </c>
      <c r="N178" s="7">
        <v>99</v>
      </c>
      <c r="O178" s="7">
        <v>38</v>
      </c>
    </row>
    <row r="179" spans="1:15" ht="12.3">
      <c r="A179" s="7">
        <v>14</v>
      </c>
      <c r="B179" s="5" t="s">
        <v>671</v>
      </c>
      <c r="C179" s="4">
        <v>2017</v>
      </c>
      <c r="D179" s="7">
        <v>22</v>
      </c>
      <c r="E179" s="7">
        <v>8</v>
      </c>
      <c r="F179" s="7"/>
      <c r="G179" s="7">
        <v>14</v>
      </c>
      <c r="H179" s="7" t="s">
        <v>63</v>
      </c>
      <c r="I179" s="7" t="s">
        <v>178</v>
      </c>
      <c r="J179" s="7" t="s">
        <v>672</v>
      </c>
      <c r="K179" s="7">
        <v>1607</v>
      </c>
      <c r="L179" s="7" t="s">
        <v>673</v>
      </c>
      <c r="M179" s="7">
        <v>2160</v>
      </c>
      <c r="N179" s="7">
        <v>74.400000000000006</v>
      </c>
      <c r="O179" s="7">
        <v>32</v>
      </c>
    </row>
    <row r="180" spans="1:15" ht="12.3">
      <c r="A180" s="7">
        <v>15</v>
      </c>
      <c r="B180" s="5" t="s">
        <v>674</v>
      </c>
      <c r="C180" s="4">
        <v>2017</v>
      </c>
      <c r="D180" s="7">
        <v>22</v>
      </c>
      <c r="E180" s="7">
        <v>6</v>
      </c>
      <c r="F180" s="7"/>
      <c r="G180" s="7">
        <v>16</v>
      </c>
      <c r="H180" s="7" t="s">
        <v>178</v>
      </c>
      <c r="I180" s="7" t="s">
        <v>178</v>
      </c>
      <c r="J180" s="7" t="s">
        <v>675</v>
      </c>
      <c r="K180" s="7">
        <v>1983</v>
      </c>
      <c r="L180" s="7" t="s">
        <v>676</v>
      </c>
      <c r="M180" s="7">
        <v>2264</v>
      </c>
      <c r="N180" s="7">
        <v>87.6</v>
      </c>
      <c r="O180" s="7">
        <v>24</v>
      </c>
    </row>
    <row r="181" spans="1:15" ht="12.3">
      <c r="A181" s="7">
        <v>16</v>
      </c>
      <c r="B181" s="5" t="s">
        <v>677</v>
      </c>
      <c r="C181" s="4">
        <v>2017</v>
      </c>
      <c r="D181" s="7">
        <v>22</v>
      </c>
      <c r="E181" s="7">
        <v>6</v>
      </c>
      <c r="F181" s="7"/>
      <c r="G181" s="7">
        <v>16</v>
      </c>
      <c r="H181" s="7" t="s">
        <v>68</v>
      </c>
      <c r="I181" s="7" t="s">
        <v>77</v>
      </c>
      <c r="J181" s="7" t="s">
        <v>678</v>
      </c>
      <c r="K181" s="7">
        <v>1594</v>
      </c>
      <c r="L181" s="7" t="s">
        <v>679</v>
      </c>
      <c r="M181" s="7">
        <v>2038</v>
      </c>
      <c r="N181" s="7">
        <v>78.2</v>
      </c>
      <c r="O181" s="7">
        <v>24</v>
      </c>
    </row>
    <row r="182" spans="1:15" ht="12.3">
      <c r="A182" s="7">
        <v>17</v>
      </c>
      <c r="B182" s="5" t="s">
        <v>680</v>
      </c>
      <c r="C182" s="4">
        <v>2017</v>
      </c>
      <c r="D182" s="7">
        <v>22</v>
      </c>
      <c r="E182" s="7">
        <v>6</v>
      </c>
      <c r="F182" s="7"/>
      <c r="G182" s="7">
        <v>16</v>
      </c>
      <c r="H182" s="7" t="s">
        <v>68</v>
      </c>
      <c r="I182" s="7" t="s">
        <v>77</v>
      </c>
      <c r="J182" s="7" t="s">
        <v>681</v>
      </c>
      <c r="K182" s="7">
        <v>1756</v>
      </c>
      <c r="L182" s="7" t="s">
        <v>682</v>
      </c>
      <c r="M182" s="7">
        <v>2311</v>
      </c>
      <c r="N182" s="7">
        <v>76</v>
      </c>
      <c r="O182" s="7">
        <v>24</v>
      </c>
    </row>
    <row r="183" spans="1:15" ht="12.3">
      <c r="A183" s="7">
        <v>18</v>
      </c>
      <c r="B183" s="5" t="s">
        <v>683</v>
      </c>
      <c r="C183" s="4">
        <v>2017</v>
      </c>
      <c r="D183" s="7">
        <v>22</v>
      </c>
      <c r="E183" s="7">
        <v>5</v>
      </c>
      <c r="F183" s="7"/>
      <c r="G183" s="7">
        <v>17</v>
      </c>
      <c r="H183" s="7" t="s">
        <v>178</v>
      </c>
      <c r="I183" s="7" t="s">
        <v>77</v>
      </c>
      <c r="J183" s="7" t="s">
        <v>684</v>
      </c>
      <c r="K183" s="7">
        <v>1877</v>
      </c>
      <c r="L183" s="7" t="s">
        <v>685</v>
      </c>
      <c r="M183" s="7">
        <v>2526</v>
      </c>
      <c r="N183" s="7">
        <v>74.3</v>
      </c>
      <c r="O183" s="7">
        <v>20</v>
      </c>
    </row>
    <row r="184" spans="1:15" ht="12.3">
      <c r="A184" s="32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</row>
    <row r="185" spans="1:15" ht="12.3">
      <c r="A185" s="2" t="s">
        <v>686</v>
      </c>
      <c r="B185" s="2" t="s">
        <v>687</v>
      </c>
      <c r="C185" s="3" t="s">
        <v>2</v>
      </c>
      <c r="D185" s="1" t="s">
        <v>688</v>
      </c>
      <c r="E185" s="1" t="s">
        <v>689</v>
      </c>
      <c r="F185" s="1" t="s">
        <v>690</v>
      </c>
      <c r="G185" s="1" t="s">
        <v>691</v>
      </c>
      <c r="H185" s="1" t="s">
        <v>692</v>
      </c>
      <c r="I185" s="1" t="s">
        <v>693</v>
      </c>
      <c r="J185" s="1" t="s">
        <v>694</v>
      </c>
      <c r="K185" s="1" t="s">
        <v>695</v>
      </c>
      <c r="L185" s="1" t="s">
        <v>696</v>
      </c>
      <c r="M185" s="1" t="s">
        <v>697</v>
      </c>
      <c r="N185" s="1" t="s">
        <v>698</v>
      </c>
      <c r="O185" s="1" t="s">
        <v>699</v>
      </c>
    </row>
    <row r="186" spans="1:15" ht="12.3">
      <c r="A186" s="4">
        <v>1</v>
      </c>
      <c r="B186" s="5" t="s">
        <v>700</v>
      </c>
      <c r="C186" s="4">
        <v>2016</v>
      </c>
      <c r="D186" s="4">
        <v>22</v>
      </c>
      <c r="E186" s="4">
        <v>17</v>
      </c>
      <c r="F186" s="4"/>
      <c r="G186" s="4">
        <v>5</v>
      </c>
      <c r="H186" s="4" t="s">
        <v>23</v>
      </c>
      <c r="I186" s="4" t="s">
        <v>38</v>
      </c>
      <c r="J186" s="4" t="s">
        <v>701</v>
      </c>
      <c r="K186" s="4">
        <v>2221</v>
      </c>
      <c r="L186" s="4" t="s">
        <v>702</v>
      </c>
      <c r="M186" s="4">
        <v>1469</v>
      </c>
      <c r="N186" s="4">
        <v>151.19999999999999</v>
      </c>
      <c r="O186" s="4">
        <v>68</v>
      </c>
    </row>
    <row r="187" spans="1:15" ht="12.3">
      <c r="A187" s="4">
        <v>2</v>
      </c>
      <c r="B187" s="5" t="s">
        <v>703</v>
      </c>
      <c r="C187" s="4">
        <v>2016</v>
      </c>
      <c r="D187" s="4">
        <v>22</v>
      </c>
      <c r="E187" s="4">
        <v>17</v>
      </c>
      <c r="F187" s="4"/>
      <c r="G187" s="4">
        <v>5</v>
      </c>
      <c r="H187" s="4" t="s">
        <v>52</v>
      </c>
      <c r="I187" s="4" t="s">
        <v>18</v>
      </c>
      <c r="J187" s="4" t="s">
        <v>704</v>
      </c>
      <c r="K187" s="4">
        <v>2235</v>
      </c>
      <c r="L187" s="4" t="s">
        <v>705</v>
      </c>
      <c r="M187" s="4">
        <v>1554</v>
      </c>
      <c r="N187" s="4">
        <v>143.80000000000001</v>
      </c>
      <c r="O187" s="4">
        <v>68</v>
      </c>
    </row>
    <row r="188" spans="1:15" ht="12.3">
      <c r="A188" s="4">
        <v>3</v>
      </c>
      <c r="B188" s="5" t="s">
        <v>706</v>
      </c>
      <c r="C188" s="4">
        <v>2016</v>
      </c>
      <c r="D188" s="4">
        <v>22</v>
      </c>
      <c r="E188" s="4">
        <v>17</v>
      </c>
      <c r="F188" s="4"/>
      <c r="G188" s="4">
        <v>5</v>
      </c>
      <c r="H188" s="4" t="s">
        <v>52</v>
      </c>
      <c r="I188" s="4" t="s">
        <v>18</v>
      </c>
      <c r="J188" s="4" t="s">
        <v>707</v>
      </c>
      <c r="K188" s="4">
        <v>2134</v>
      </c>
      <c r="L188" s="4" t="s">
        <v>708</v>
      </c>
      <c r="M188" s="4">
        <v>1800</v>
      </c>
      <c r="N188" s="4">
        <v>118.6</v>
      </c>
      <c r="O188" s="4">
        <v>68</v>
      </c>
    </row>
    <row r="189" spans="1:15" ht="12.3">
      <c r="A189" s="4">
        <v>4</v>
      </c>
      <c r="B189" s="5" t="s">
        <v>709</v>
      </c>
      <c r="C189" s="4">
        <v>2016</v>
      </c>
      <c r="D189" s="4">
        <v>22</v>
      </c>
      <c r="E189" s="4">
        <v>16</v>
      </c>
      <c r="F189" s="4"/>
      <c r="G189" s="4">
        <v>6</v>
      </c>
      <c r="H189" s="4" t="s">
        <v>23</v>
      </c>
      <c r="I189" s="4" t="s">
        <v>18</v>
      </c>
      <c r="J189" s="4" t="s">
        <v>710</v>
      </c>
      <c r="K189" s="4">
        <v>2380</v>
      </c>
      <c r="L189" s="4" t="s">
        <v>711</v>
      </c>
      <c r="M189" s="4">
        <v>1663</v>
      </c>
      <c r="N189" s="4">
        <v>143.1</v>
      </c>
      <c r="O189" s="4">
        <v>64</v>
      </c>
    </row>
    <row r="190" spans="1:15" ht="12.3">
      <c r="A190" s="4">
        <v>5</v>
      </c>
      <c r="B190" s="5" t="s">
        <v>712</v>
      </c>
      <c r="C190" s="4">
        <v>2016</v>
      </c>
      <c r="D190" s="4">
        <v>22</v>
      </c>
      <c r="E190" s="4">
        <v>16</v>
      </c>
      <c r="F190" s="4"/>
      <c r="G190" s="4">
        <v>6</v>
      </c>
      <c r="H190" s="4" t="s">
        <v>23</v>
      </c>
      <c r="I190" s="4" t="s">
        <v>18</v>
      </c>
      <c r="J190" s="4" t="s">
        <v>713</v>
      </c>
      <c r="K190" s="4">
        <v>2483</v>
      </c>
      <c r="L190" s="4" t="s">
        <v>714</v>
      </c>
      <c r="M190" s="4">
        <v>1795</v>
      </c>
      <c r="N190" s="4">
        <v>138.30000000000001</v>
      </c>
      <c r="O190" s="4">
        <v>64</v>
      </c>
    </row>
    <row r="191" spans="1:15" ht="12.3">
      <c r="A191" s="4">
        <v>6</v>
      </c>
      <c r="B191" s="5" t="s">
        <v>715</v>
      </c>
      <c r="C191" s="4">
        <v>2016</v>
      </c>
      <c r="D191" s="4">
        <v>22</v>
      </c>
      <c r="E191" s="4">
        <v>16</v>
      </c>
      <c r="F191" s="4"/>
      <c r="G191" s="4">
        <v>6</v>
      </c>
      <c r="H191" s="4" t="s">
        <v>52</v>
      </c>
      <c r="I191" s="4" t="s">
        <v>149</v>
      </c>
      <c r="J191" s="4" t="s">
        <v>716</v>
      </c>
      <c r="K191" s="4">
        <v>2181</v>
      </c>
      <c r="L191" s="4" t="s">
        <v>717</v>
      </c>
      <c r="M191" s="4">
        <v>1678</v>
      </c>
      <c r="N191" s="4">
        <v>130</v>
      </c>
      <c r="O191" s="4">
        <v>64</v>
      </c>
    </row>
    <row r="192" spans="1:15" ht="12.3">
      <c r="A192" s="4">
        <v>7</v>
      </c>
      <c r="B192" s="5" t="s">
        <v>718</v>
      </c>
      <c r="C192" s="4">
        <v>2016</v>
      </c>
      <c r="D192" s="4">
        <v>22</v>
      </c>
      <c r="E192" s="4">
        <v>15</v>
      </c>
      <c r="F192" s="4"/>
      <c r="G192" s="4">
        <v>7</v>
      </c>
      <c r="H192" s="4" t="s">
        <v>38</v>
      </c>
      <c r="I192" s="4" t="s">
        <v>18</v>
      </c>
      <c r="J192" s="4" t="s">
        <v>303</v>
      </c>
      <c r="K192" s="4">
        <v>1857</v>
      </c>
      <c r="L192" s="4" t="s">
        <v>719</v>
      </c>
      <c r="M192" s="4">
        <v>1609</v>
      </c>
      <c r="N192" s="4">
        <v>115.4</v>
      </c>
      <c r="O192" s="4">
        <v>60</v>
      </c>
    </row>
    <row r="193" spans="1:15" ht="12.3">
      <c r="A193" s="4">
        <v>8</v>
      </c>
      <c r="B193" s="5" t="s">
        <v>720</v>
      </c>
      <c r="C193" s="4">
        <v>2016</v>
      </c>
      <c r="D193" s="4">
        <v>22</v>
      </c>
      <c r="E193" s="4">
        <v>12</v>
      </c>
      <c r="F193" s="4"/>
      <c r="G193" s="4">
        <v>10</v>
      </c>
      <c r="H193" s="4" t="s">
        <v>18</v>
      </c>
      <c r="I193" s="4" t="s">
        <v>63</v>
      </c>
      <c r="J193" s="4" t="s">
        <v>721</v>
      </c>
      <c r="K193" s="4">
        <v>1956</v>
      </c>
      <c r="L193" s="4" t="s">
        <v>722</v>
      </c>
      <c r="M193" s="4">
        <v>1859</v>
      </c>
      <c r="N193" s="4">
        <v>105.2</v>
      </c>
      <c r="O193" s="4">
        <v>48</v>
      </c>
    </row>
    <row r="194" spans="1:15" ht="12.3">
      <c r="A194" s="7">
        <v>9</v>
      </c>
      <c r="B194" s="5" t="s">
        <v>723</v>
      </c>
      <c r="C194" s="4">
        <v>2016</v>
      </c>
      <c r="D194" s="7">
        <v>22</v>
      </c>
      <c r="E194" s="7">
        <v>12</v>
      </c>
      <c r="F194" s="7"/>
      <c r="G194" s="7">
        <v>10</v>
      </c>
      <c r="H194" s="7" t="s">
        <v>18</v>
      </c>
      <c r="I194" s="7" t="s">
        <v>63</v>
      </c>
      <c r="J194" s="7" t="s">
        <v>724</v>
      </c>
      <c r="K194" s="7">
        <v>1953</v>
      </c>
      <c r="L194" s="7" t="s">
        <v>725</v>
      </c>
      <c r="M194" s="7">
        <v>2041</v>
      </c>
      <c r="N194" s="7">
        <v>95.7</v>
      </c>
      <c r="O194" s="7">
        <v>48</v>
      </c>
    </row>
    <row r="195" spans="1:15" ht="12.3">
      <c r="A195" s="7">
        <v>10</v>
      </c>
      <c r="B195" s="5" t="s">
        <v>726</v>
      </c>
      <c r="C195" s="4">
        <v>2016</v>
      </c>
      <c r="D195" s="7">
        <v>22</v>
      </c>
      <c r="E195" s="7">
        <v>10</v>
      </c>
      <c r="F195" s="7"/>
      <c r="G195" s="7">
        <v>12</v>
      </c>
      <c r="H195" s="7" t="s">
        <v>68</v>
      </c>
      <c r="I195" s="7" t="s">
        <v>149</v>
      </c>
      <c r="J195" s="7" t="s">
        <v>727</v>
      </c>
      <c r="K195" s="7">
        <v>2055</v>
      </c>
      <c r="L195" s="7" t="s">
        <v>728</v>
      </c>
      <c r="M195" s="7">
        <v>1939</v>
      </c>
      <c r="N195" s="7">
        <v>106</v>
      </c>
      <c r="O195" s="7">
        <v>40</v>
      </c>
    </row>
    <row r="196" spans="1:15" ht="12.3">
      <c r="A196" s="7">
        <v>11</v>
      </c>
      <c r="B196" s="5" t="s">
        <v>729</v>
      </c>
      <c r="C196" s="4">
        <v>2016</v>
      </c>
      <c r="D196" s="7">
        <v>22</v>
      </c>
      <c r="E196" s="7">
        <v>10</v>
      </c>
      <c r="F196" s="7"/>
      <c r="G196" s="7">
        <v>12</v>
      </c>
      <c r="H196" s="7" t="s">
        <v>18</v>
      </c>
      <c r="I196" s="7" t="s">
        <v>178</v>
      </c>
      <c r="J196" s="7" t="s">
        <v>730</v>
      </c>
      <c r="K196" s="7">
        <v>1944</v>
      </c>
      <c r="L196" s="7" t="s">
        <v>154</v>
      </c>
      <c r="M196" s="7">
        <v>1991</v>
      </c>
      <c r="N196" s="7">
        <v>97.6</v>
      </c>
      <c r="O196" s="7">
        <v>40</v>
      </c>
    </row>
    <row r="197" spans="1:15" ht="12.3">
      <c r="A197" s="7">
        <v>12</v>
      </c>
      <c r="B197" s="5" t="s">
        <v>731</v>
      </c>
      <c r="C197" s="4">
        <v>2016</v>
      </c>
      <c r="D197" s="7">
        <v>22</v>
      </c>
      <c r="E197" s="7">
        <v>9</v>
      </c>
      <c r="F197" s="7"/>
      <c r="G197" s="7">
        <v>13</v>
      </c>
      <c r="H197" s="7" t="s">
        <v>149</v>
      </c>
      <c r="I197" s="7" t="s">
        <v>178</v>
      </c>
      <c r="J197" s="7" t="s">
        <v>732</v>
      </c>
      <c r="K197" s="7">
        <v>1910</v>
      </c>
      <c r="L197" s="7" t="s">
        <v>733</v>
      </c>
      <c r="M197" s="7">
        <v>1998</v>
      </c>
      <c r="N197" s="7">
        <v>95.6</v>
      </c>
      <c r="O197" s="7">
        <v>36</v>
      </c>
    </row>
    <row r="198" spans="1:15" ht="12.3">
      <c r="A198" s="7">
        <v>13</v>
      </c>
      <c r="B198" s="5" t="s">
        <v>734</v>
      </c>
      <c r="C198" s="4">
        <v>2016</v>
      </c>
      <c r="D198" s="7">
        <v>22</v>
      </c>
      <c r="E198" s="7">
        <v>8</v>
      </c>
      <c r="F198" s="7"/>
      <c r="G198" s="7">
        <v>14</v>
      </c>
      <c r="H198" s="7" t="s">
        <v>149</v>
      </c>
      <c r="I198" s="7" t="s">
        <v>77</v>
      </c>
      <c r="J198" s="7" t="s">
        <v>735</v>
      </c>
      <c r="K198" s="7">
        <v>1713</v>
      </c>
      <c r="L198" s="7" t="s">
        <v>736</v>
      </c>
      <c r="M198" s="7">
        <v>2155</v>
      </c>
      <c r="N198" s="7">
        <v>79.5</v>
      </c>
      <c r="O198" s="7">
        <v>32</v>
      </c>
    </row>
    <row r="199" spans="1:15" ht="12.3">
      <c r="A199" s="7">
        <v>14</v>
      </c>
      <c r="B199" s="5" t="s">
        <v>737</v>
      </c>
      <c r="C199" s="4">
        <v>2016</v>
      </c>
      <c r="D199" s="7">
        <v>22</v>
      </c>
      <c r="E199" s="7">
        <v>7</v>
      </c>
      <c r="F199" s="7"/>
      <c r="G199" s="7">
        <v>15</v>
      </c>
      <c r="H199" s="7" t="s">
        <v>63</v>
      </c>
      <c r="I199" s="7" t="s">
        <v>77</v>
      </c>
      <c r="J199" s="7" t="s">
        <v>738</v>
      </c>
      <c r="K199" s="7">
        <v>1568</v>
      </c>
      <c r="L199" s="7" t="s">
        <v>739</v>
      </c>
      <c r="M199" s="7">
        <v>1978</v>
      </c>
      <c r="N199" s="7">
        <v>79.3</v>
      </c>
      <c r="O199" s="7">
        <v>28</v>
      </c>
    </row>
    <row r="200" spans="1:15" ht="12.3">
      <c r="A200" s="7">
        <v>15</v>
      </c>
      <c r="B200" s="5" t="s">
        <v>740</v>
      </c>
      <c r="C200" s="4">
        <v>2016</v>
      </c>
      <c r="D200" s="7">
        <v>22</v>
      </c>
      <c r="E200" s="7">
        <v>6</v>
      </c>
      <c r="F200" s="7"/>
      <c r="G200" s="7">
        <v>16</v>
      </c>
      <c r="H200" s="7" t="s">
        <v>63</v>
      </c>
      <c r="I200" s="7" t="s">
        <v>96</v>
      </c>
      <c r="J200" s="7" t="s">
        <v>741</v>
      </c>
      <c r="K200" s="7">
        <v>1778</v>
      </c>
      <c r="L200" s="7" t="s">
        <v>742</v>
      </c>
      <c r="M200" s="7">
        <v>2273</v>
      </c>
      <c r="N200" s="7">
        <v>78.2</v>
      </c>
      <c r="O200" s="7">
        <v>24</v>
      </c>
    </row>
    <row r="201" spans="1:15" ht="12.3">
      <c r="A201" s="7">
        <v>16</v>
      </c>
      <c r="B201" s="5" t="s">
        <v>743</v>
      </c>
      <c r="C201" s="4">
        <v>2016</v>
      </c>
      <c r="D201" s="7">
        <v>22</v>
      </c>
      <c r="E201" s="7">
        <v>4</v>
      </c>
      <c r="F201" s="7"/>
      <c r="G201" s="7">
        <v>18</v>
      </c>
      <c r="H201" s="7" t="s">
        <v>178</v>
      </c>
      <c r="I201" s="7" t="s">
        <v>96</v>
      </c>
      <c r="J201" s="7" t="s">
        <v>744</v>
      </c>
      <c r="K201" s="7">
        <v>1574</v>
      </c>
      <c r="L201" s="7" t="s">
        <v>745</v>
      </c>
      <c r="M201" s="7">
        <v>2119</v>
      </c>
      <c r="N201" s="7">
        <v>74.3</v>
      </c>
      <c r="O201" s="7">
        <v>16</v>
      </c>
    </row>
    <row r="202" spans="1:15" ht="12.3">
      <c r="A202" s="7">
        <v>17</v>
      </c>
      <c r="B202" s="5" t="s">
        <v>746</v>
      </c>
      <c r="C202" s="4">
        <v>2016</v>
      </c>
      <c r="D202" s="7">
        <v>22</v>
      </c>
      <c r="E202" s="7">
        <v>3</v>
      </c>
      <c r="F202" s="7"/>
      <c r="G202" s="7">
        <v>19</v>
      </c>
      <c r="H202" s="7" t="s">
        <v>77</v>
      </c>
      <c r="I202" s="7" t="s">
        <v>96</v>
      </c>
      <c r="J202" s="7" t="s">
        <v>747</v>
      </c>
      <c r="K202" s="7">
        <v>1770</v>
      </c>
      <c r="L202" s="7" t="s">
        <v>748</v>
      </c>
      <c r="M202" s="7">
        <v>2872</v>
      </c>
      <c r="N202" s="7">
        <v>61.6</v>
      </c>
      <c r="O202" s="7">
        <v>12</v>
      </c>
    </row>
    <row r="203" spans="1:15" ht="12.3">
      <c r="A203" s="7">
        <v>18</v>
      </c>
      <c r="B203" s="5" t="s">
        <v>749</v>
      </c>
      <c r="C203" s="4">
        <v>2016</v>
      </c>
      <c r="D203" s="7">
        <v>22</v>
      </c>
      <c r="E203" s="7">
        <v>3</v>
      </c>
      <c r="F203" s="7"/>
      <c r="G203" s="7">
        <v>19</v>
      </c>
      <c r="H203" s="7" t="s">
        <v>178</v>
      </c>
      <c r="I203" s="7" t="s">
        <v>330</v>
      </c>
      <c r="J203" s="7" t="s">
        <v>750</v>
      </c>
      <c r="K203" s="7">
        <v>1437</v>
      </c>
      <c r="L203" s="7" t="s">
        <v>751</v>
      </c>
      <c r="M203" s="7">
        <v>2356</v>
      </c>
      <c r="N203" s="7">
        <v>61</v>
      </c>
      <c r="O203" s="7">
        <v>12</v>
      </c>
    </row>
    <row r="204" spans="1:15" ht="12.3">
      <c r="A204" s="32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</row>
    <row r="205" spans="1:15" ht="12.3">
      <c r="A205" s="2" t="s">
        <v>752</v>
      </c>
      <c r="B205" s="2" t="s">
        <v>753</v>
      </c>
      <c r="C205" s="3" t="s">
        <v>2</v>
      </c>
      <c r="D205" s="1" t="s">
        <v>754</v>
      </c>
      <c r="E205" s="1" t="s">
        <v>755</v>
      </c>
      <c r="F205" s="1" t="s">
        <v>756</v>
      </c>
      <c r="G205" s="1" t="s">
        <v>757</v>
      </c>
      <c r="H205" s="1" t="s">
        <v>758</v>
      </c>
      <c r="I205" s="1" t="s">
        <v>759</v>
      </c>
      <c r="J205" s="1" t="s">
        <v>760</v>
      </c>
      <c r="K205" s="1" t="s">
        <v>761</v>
      </c>
      <c r="L205" s="1" t="s">
        <v>762</v>
      </c>
      <c r="M205" s="1" t="s">
        <v>763</v>
      </c>
      <c r="N205" s="1" t="s">
        <v>764</v>
      </c>
      <c r="O205" s="1" t="s">
        <v>765</v>
      </c>
    </row>
    <row r="206" spans="1:15" ht="12.3">
      <c r="A206" s="4">
        <v>1</v>
      </c>
      <c r="B206" s="5" t="s">
        <v>766</v>
      </c>
      <c r="C206" s="4">
        <v>2015</v>
      </c>
      <c r="D206" s="4">
        <v>22</v>
      </c>
      <c r="E206" s="4">
        <v>17</v>
      </c>
      <c r="F206" s="4"/>
      <c r="G206" s="4">
        <v>5</v>
      </c>
      <c r="H206" s="4" t="s">
        <v>23</v>
      </c>
      <c r="I206" s="4" t="s">
        <v>38</v>
      </c>
      <c r="J206" s="4" t="s">
        <v>767</v>
      </c>
      <c r="K206" s="4">
        <v>1857</v>
      </c>
      <c r="L206" s="4" t="s">
        <v>768</v>
      </c>
      <c r="M206" s="4">
        <v>1564</v>
      </c>
      <c r="N206" s="4">
        <v>118.7</v>
      </c>
      <c r="O206" s="4">
        <v>68</v>
      </c>
    </row>
    <row r="207" spans="1:15" ht="12.3">
      <c r="A207" s="4">
        <v>2</v>
      </c>
      <c r="B207" s="5" t="s">
        <v>769</v>
      </c>
      <c r="C207" s="4">
        <v>2015</v>
      </c>
      <c r="D207" s="4">
        <v>22</v>
      </c>
      <c r="E207" s="4">
        <v>16</v>
      </c>
      <c r="F207" s="4">
        <v>1</v>
      </c>
      <c r="G207" s="4">
        <v>5</v>
      </c>
      <c r="H207" s="4" t="s">
        <v>23</v>
      </c>
      <c r="I207" s="6">
        <v>37803</v>
      </c>
      <c r="J207" s="4" t="s">
        <v>770</v>
      </c>
      <c r="K207" s="4">
        <v>2330</v>
      </c>
      <c r="L207" s="4" t="s">
        <v>771</v>
      </c>
      <c r="M207" s="4">
        <v>1572</v>
      </c>
      <c r="N207" s="4">
        <v>148.19999999999999</v>
      </c>
      <c r="O207" s="4">
        <v>66</v>
      </c>
    </row>
    <row r="208" spans="1:15" ht="12.3">
      <c r="A208" s="4">
        <v>3</v>
      </c>
      <c r="B208" s="5" t="s">
        <v>772</v>
      </c>
      <c r="C208" s="4">
        <v>2015</v>
      </c>
      <c r="D208" s="4">
        <v>22</v>
      </c>
      <c r="E208" s="4">
        <v>16</v>
      </c>
      <c r="F208" s="4"/>
      <c r="G208" s="4">
        <v>6</v>
      </c>
      <c r="H208" s="4" t="s">
        <v>38</v>
      </c>
      <c r="I208" s="4" t="s">
        <v>38</v>
      </c>
      <c r="J208" s="4" t="s">
        <v>773</v>
      </c>
      <c r="K208" s="4">
        <v>2452</v>
      </c>
      <c r="L208" s="4" t="s">
        <v>774</v>
      </c>
      <c r="M208" s="4">
        <v>1548</v>
      </c>
      <c r="N208" s="4">
        <v>158.4</v>
      </c>
      <c r="O208" s="4">
        <v>64</v>
      </c>
    </row>
    <row r="209" spans="1:15" ht="12.3">
      <c r="A209" s="4">
        <v>4</v>
      </c>
      <c r="B209" s="5" t="s">
        <v>775</v>
      </c>
      <c r="C209" s="4">
        <v>2015</v>
      </c>
      <c r="D209" s="4">
        <v>22</v>
      </c>
      <c r="E209" s="4">
        <v>16</v>
      </c>
      <c r="F209" s="4"/>
      <c r="G209" s="4">
        <v>6</v>
      </c>
      <c r="H209" s="4" t="s">
        <v>38</v>
      </c>
      <c r="I209" s="4" t="s">
        <v>38</v>
      </c>
      <c r="J209" s="4" t="s">
        <v>776</v>
      </c>
      <c r="K209" s="4">
        <v>2006</v>
      </c>
      <c r="L209" s="4" t="s">
        <v>777</v>
      </c>
      <c r="M209" s="4">
        <v>1578</v>
      </c>
      <c r="N209" s="4">
        <v>127.1</v>
      </c>
      <c r="O209" s="4">
        <v>64</v>
      </c>
    </row>
    <row r="210" spans="1:15" ht="12.3">
      <c r="A210" s="4">
        <v>5</v>
      </c>
      <c r="B210" s="5" t="s">
        <v>778</v>
      </c>
      <c r="C210" s="4">
        <v>2015</v>
      </c>
      <c r="D210" s="4">
        <v>22</v>
      </c>
      <c r="E210" s="4">
        <v>15</v>
      </c>
      <c r="F210" s="4"/>
      <c r="G210" s="4">
        <v>7</v>
      </c>
      <c r="H210" s="4" t="s">
        <v>149</v>
      </c>
      <c r="I210" s="4" t="s">
        <v>23</v>
      </c>
      <c r="J210" s="4" t="s">
        <v>779</v>
      </c>
      <c r="K210" s="4">
        <v>1930</v>
      </c>
      <c r="L210" s="4" t="s">
        <v>780</v>
      </c>
      <c r="M210" s="4">
        <v>1568</v>
      </c>
      <c r="N210" s="4">
        <v>123.1</v>
      </c>
      <c r="O210" s="4">
        <v>60</v>
      </c>
    </row>
    <row r="211" spans="1:15" ht="12.3">
      <c r="A211" s="4">
        <v>6</v>
      </c>
      <c r="B211" s="5" t="s">
        <v>781</v>
      </c>
      <c r="C211" s="4">
        <v>2015</v>
      </c>
      <c r="D211" s="4">
        <v>22</v>
      </c>
      <c r="E211" s="4">
        <v>14</v>
      </c>
      <c r="F211" s="4"/>
      <c r="G211" s="4">
        <v>8</v>
      </c>
      <c r="H211" s="4" t="s">
        <v>23</v>
      </c>
      <c r="I211" s="4" t="s">
        <v>63</v>
      </c>
      <c r="J211" s="4" t="s">
        <v>782</v>
      </c>
      <c r="K211" s="4">
        <v>2101</v>
      </c>
      <c r="L211" s="4" t="s">
        <v>783</v>
      </c>
      <c r="M211" s="4">
        <v>1825</v>
      </c>
      <c r="N211" s="4">
        <v>115.1</v>
      </c>
      <c r="O211" s="4">
        <v>56</v>
      </c>
    </row>
    <row r="212" spans="1:15" ht="12.3">
      <c r="A212" s="4">
        <v>7</v>
      </c>
      <c r="B212" s="5" t="s">
        <v>784</v>
      </c>
      <c r="C212" s="4">
        <v>2015</v>
      </c>
      <c r="D212" s="4">
        <v>21</v>
      </c>
      <c r="E212" s="4">
        <v>13</v>
      </c>
      <c r="F212" s="4"/>
      <c r="G212" s="4">
        <v>8</v>
      </c>
      <c r="H212" s="4" t="s">
        <v>785</v>
      </c>
      <c r="I212" s="4" t="s">
        <v>149</v>
      </c>
      <c r="J212" s="4" t="s">
        <v>786</v>
      </c>
      <c r="K212" s="4">
        <v>2107</v>
      </c>
      <c r="L212" s="4" t="s">
        <v>787</v>
      </c>
      <c r="M212" s="4">
        <v>1821</v>
      </c>
      <c r="N212" s="4">
        <v>115.7</v>
      </c>
      <c r="O212" s="4">
        <v>54</v>
      </c>
    </row>
    <row r="213" spans="1:15" ht="12.3">
      <c r="A213" s="4">
        <v>8</v>
      </c>
      <c r="B213" s="5" t="s">
        <v>788</v>
      </c>
      <c r="C213" s="4">
        <v>2015</v>
      </c>
      <c r="D213" s="4">
        <v>22</v>
      </c>
      <c r="E213" s="4">
        <v>13</v>
      </c>
      <c r="F213" s="4"/>
      <c r="G213" s="4">
        <v>9</v>
      </c>
      <c r="H213" s="4" t="s">
        <v>18</v>
      </c>
      <c r="I213" s="4" t="s">
        <v>149</v>
      </c>
      <c r="J213" s="4" t="s">
        <v>789</v>
      </c>
      <c r="K213" s="4">
        <v>2062</v>
      </c>
      <c r="L213" s="4" t="s">
        <v>790</v>
      </c>
      <c r="M213" s="4">
        <v>1937</v>
      </c>
      <c r="N213" s="4">
        <v>106.5</v>
      </c>
      <c r="O213" s="4">
        <v>52</v>
      </c>
    </row>
    <row r="214" spans="1:15" ht="12.3">
      <c r="A214" s="7">
        <v>9</v>
      </c>
      <c r="B214" s="5" t="s">
        <v>791</v>
      </c>
      <c r="C214" s="4">
        <v>2015</v>
      </c>
      <c r="D214" s="7">
        <v>22</v>
      </c>
      <c r="E214" s="7">
        <v>12</v>
      </c>
      <c r="F214" s="7"/>
      <c r="G214" s="7">
        <v>10</v>
      </c>
      <c r="H214" s="7" t="s">
        <v>149</v>
      </c>
      <c r="I214" s="7" t="s">
        <v>149</v>
      </c>
      <c r="J214" s="7" t="s">
        <v>792</v>
      </c>
      <c r="K214" s="7">
        <v>2002</v>
      </c>
      <c r="L214" s="7" t="s">
        <v>793</v>
      </c>
      <c r="M214" s="7">
        <v>1874</v>
      </c>
      <c r="N214" s="7">
        <v>106.8</v>
      </c>
      <c r="O214" s="7">
        <v>48</v>
      </c>
    </row>
    <row r="215" spans="1:15" ht="12.3">
      <c r="A215" s="7">
        <v>10</v>
      </c>
      <c r="B215" s="5" t="s">
        <v>794</v>
      </c>
      <c r="C215" s="4">
        <v>2015</v>
      </c>
      <c r="D215" s="7">
        <v>21</v>
      </c>
      <c r="E215" s="7">
        <v>11</v>
      </c>
      <c r="F215" s="7">
        <v>1</v>
      </c>
      <c r="G215" s="7">
        <v>9</v>
      </c>
      <c r="H215" s="7" t="s">
        <v>149</v>
      </c>
      <c r="I215" s="8">
        <v>38108</v>
      </c>
      <c r="J215" s="7" t="s">
        <v>795</v>
      </c>
      <c r="K215" s="7">
        <v>1853</v>
      </c>
      <c r="L215" s="7" t="s">
        <v>796</v>
      </c>
      <c r="M215" s="7">
        <v>1833</v>
      </c>
      <c r="N215" s="7">
        <v>101.1</v>
      </c>
      <c r="O215" s="7">
        <v>48</v>
      </c>
    </row>
    <row r="216" spans="1:15" ht="12.3">
      <c r="A216" s="7">
        <v>11</v>
      </c>
      <c r="B216" s="5" t="s">
        <v>797</v>
      </c>
      <c r="C216" s="4">
        <v>2015</v>
      </c>
      <c r="D216" s="7">
        <v>22</v>
      </c>
      <c r="E216" s="7">
        <v>11</v>
      </c>
      <c r="F216" s="7"/>
      <c r="G216" s="7">
        <v>11</v>
      </c>
      <c r="H216" s="7" t="s">
        <v>38</v>
      </c>
      <c r="I216" s="7" t="s">
        <v>178</v>
      </c>
      <c r="J216" s="7" t="s">
        <v>798</v>
      </c>
      <c r="K216" s="7">
        <v>1872</v>
      </c>
      <c r="L216" s="7" t="s">
        <v>799</v>
      </c>
      <c r="M216" s="7">
        <v>1891</v>
      </c>
      <c r="N216" s="7">
        <v>99</v>
      </c>
      <c r="O216" s="7">
        <v>44</v>
      </c>
    </row>
    <row r="217" spans="1:15" ht="12.3">
      <c r="A217" s="7">
        <v>12</v>
      </c>
      <c r="B217" s="5" t="s">
        <v>800</v>
      </c>
      <c r="C217" s="4">
        <v>2015</v>
      </c>
      <c r="D217" s="7">
        <v>22</v>
      </c>
      <c r="E217" s="7">
        <v>10</v>
      </c>
      <c r="F217" s="7"/>
      <c r="G217" s="7">
        <v>12</v>
      </c>
      <c r="H217" s="7" t="s">
        <v>68</v>
      </c>
      <c r="I217" s="7" t="s">
        <v>149</v>
      </c>
      <c r="J217" s="7" t="s">
        <v>801</v>
      </c>
      <c r="K217" s="7">
        <v>1972</v>
      </c>
      <c r="L217" s="7" t="s">
        <v>802</v>
      </c>
      <c r="M217" s="7">
        <v>1856</v>
      </c>
      <c r="N217" s="7">
        <v>106.3</v>
      </c>
      <c r="O217" s="7">
        <v>40</v>
      </c>
    </row>
    <row r="218" spans="1:15" ht="12.3">
      <c r="A218" s="7">
        <v>13</v>
      </c>
      <c r="B218" s="5" t="s">
        <v>803</v>
      </c>
      <c r="C218" s="4">
        <v>2015</v>
      </c>
      <c r="D218" s="7">
        <v>22</v>
      </c>
      <c r="E218" s="7">
        <v>7</v>
      </c>
      <c r="F218" s="7"/>
      <c r="G218" s="7">
        <v>15</v>
      </c>
      <c r="H218" s="7" t="s">
        <v>68</v>
      </c>
      <c r="I218" s="7" t="s">
        <v>178</v>
      </c>
      <c r="J218" s="7" t="s">
        <v>804</v>
      </c>
      <c r="K218" s="7">
        <v>1573</v>
      </c>
      <c r="L218" s="7" t="s">
        <v>805</v>
      </c>
      <c r="M218" s="7">
        <v>2044</v>
      </c>
      <c r="N218" s="7">
        <v>77</v>
      </c>
      <c r="O218" s="7">
        <v>28</v>
      </c>
    </row>
    <row r="219" spans="1:15" ht="12.3">
      <c r="A219" s="7">
        <v>14</v>
      </c>
      <c r="B219" s="5" t="s">
        <v>806</v>
      </c>
      <c r="C219" s="4">
        <v>2015</v>
      </c>
      <c r="D219" s="7">
        <v>22</v>
      </c>
      <c r="E219" s="7">
        <v>6</v>
      </c>
      <c r="F219" s="7">
        <v>1</v>
      </c>
      <c r="G219" s="7">
        <v>15</v>
      </c>
      <c r="H219" s="8">
        <v>39814</v>
      </c>
      <c r="I219" s="7" t="s">
        <v>63</v>
      </c>
      <c r="J219" s="7" t="s">
        <v>807</v>
      </c>
      <c r="K219" s="7">
        <v>1695</v>
      </c>
      <c r="L219" s="7" t="s">
        <v>808</v>
      </c>
      <c r="M219" s="7">
        <v>2162</v>
      </c>
      <c r="N219" s="7">
        <v>78.400000000000006</v>
      </c>
      <c r="O219" s="7">
        <v>26</v>
      </c>
    </row>
    <row r="220" spans="1:15" ht="12.3">
      <c r="A220" s="7">
        <v>15</v>
      </c>
      <c r="B220" s="5" t="s">
        <v>809</v>
      </c>
      <c r="C220" s="4">
        <v>2015</v>
      </c>
      <c r="D220" s="7">
        <v>22</v>
      </c>
      <c r="E220" s="7">
        <v>6</v>
      </c>
      <c r="F220" s="7"/>
      <c r="G220" s="7">
        <v>16</v>
      </c>
      <c r="H220" s="7" t="s">
        <v>178</v>
      </c>
      <c r="I220" s="7" t="s">
        <v>178</v>
      </c>
      <c r="J220" s="7" t="s">
        <v>810</v>
      </c>
      <c r="K220" s="7">
        <v>1580</v>
      </c>
      <c r="L220" s="7" t="s">
        <v>707</v>
      </c>
      <c r="M220" s="7">
        <v>2134</v>
      </c>
      <c r="N220" s="7">
        <v>74</v>
      </c>
      <c r="O220" s="7">
        <v>24</v>
      </c>
    </row>
    <row r="221" spans="1:15" ht="12.3">
      <c r="A221" s="7">
        <v>16</v>
      </c>
      <c r="B221" s="5" t="s">
        <v>811</v>
      </c>
      <c r="C221" s="4">
        <v>2015</v>
      </c>
      <c r="D221" s="7">
        <v>22</v>
      </c>
      <c r="E221" s="7">
        <v>4</v>
      </c>
      <c r="F221" s="7">
        <v>1</v>
      </c>
      <c r="G221" s="7">
        <v>17</v>
      </c>
      <c r="H221" s="8">
        <v>39142</v>
      </c>
      <c r="I221" s="7" t="s">
        <v>96</v>
      </c>
      <c r="J221" s="7" t="s">
        <v>812</v>
      </c>
      <c r="K221" s="7">
        <v>1633</v>
      </c>
      <c r="L221" s="7" t="s">
        <v>813</v>
      </c>
      <c r="M221" s="7">
        <v>2240</v>
      </c>
      <c r="N221" s="7">
        <v>72.900000000000006</v>
      </c>
      <c r="O221" s="7">
        <v>18</v>
      </c>
    </row>
    <row r="222" spans="1:15" ht="12.3">
      <c r="A222" s="7">
        <v>17</v>
      </c>
      <c r="B222" s="5" t="s">
        <v>814</v>
      </c>
      <c r="C222" s="4">
        <v>2015</v>
      </c>
      <c r="D222" s="7">
        <v>22</v>
      </c>
      <c r="E222" s="7">
        <v>4</v>
      </c>
      <c r="F222" s="7"/>
      <c r="G222" s="7">
        <v>18</v>
      </c>
      <c r="H222" s="7" t="s">
        <v>178</v>
      </c>
      <c r="I222" s="7" t="s">
        <v>96</v>
      </c>
      <c r="J222" s="7" t="s">
        <v>815</v>
      </c>
      <c r="K222" s="7">
        <v>1557</v>
      </c>
      <c r="L222" s="7" t="s">
        <v>816</v>
      </c>
      <c r="M222" s="7">
        <v>2306</v>
      </c>
      <c r="N222" s="7">
        <v>67.5</v>
      </c>
      <c r="O222" s="7">
        <v>16</v>
      </c>
    </row>
    <row r="223" spans="1:15" ht="12.3">
      <c r="A223" s="7">
        <v>18</v>
      </c>
      <c r="B223" s="5" t="s">
        <v>817</v>
      </c>
      <c r="C223" s="4">
        <v>2015</v>
      </c>
      <c r="D223" s="7">
        <v>22</v>
      </c>
      <c r="E223" s="7">
        <v>4</v>
      </c>
      <c r="F223" s="7"/>
      <c r="G223" s="7">
        <v>18</v>
      </c>
      <c r="H223" s="7" t="s">
        <v>178</v>
      </c>
      <c r="I223" s="7" t="s">
        <v>96</v>
      </c>
      <c r="J223" s="7" t="s">
        <v>818</v>
      </c>
      <c r="K223" s="7">
        <v>1525</v>
      </c>
      <c r="L223" s="7" t="s">
        <v>819</v>
      </c>
      <c r="M223" s="7">
        <v>2354</v>
      </c>
      <c r="N223" s="7">
        <v>64.8</v>
      </c>
      <c r="O223" s="7">
        <v>16</v>
      </c>
    </row>
    <row r="225" spans="1:15" ht="15.75" customHeight="1">
      <c r="A225" t="s">
        <v>2105</v>
      </c>
      <c r="B225" t="s">
        <v>2106</v>
      </c>
      <c r="C225" s="31" t="s">
        <v>2</v>
      </c>
      <c r="D225" t="s">
        <v>2107</v>
      </c>
      <c r="E225" t="s">
        <v>2108</v>
      </c>
      <c r="F225" t="s">
        <v>2109</v>
      </c>
      <c r="G225" t="s">
        <v>2110</v>
      </c>
      <c r="H225" t="s">
        <v>2111</v>
      </c>
      <c r="I225" t="s">
        <v>2112</v>
      </c>
      <c r="J225" t="s">
        <v>2113</v>
      </c>
      <c r="K225" t="s">
        <v>2114</v>
      </c>
      <c r="L225" t="s">
        <v>2115</v>
      </c>
      <c r="M225" t="s">
        <v>2116</v>
      </c>
      <c r="N225" t="s">
        <v>2117</v>
      </c>
      <c r="O225" t="s">
        <v>2118</v>
      </c>
    </row>
    <row r="226" spans="1:15" ht="15.75" customHeight="1">
      <c r="A226">
        <v>1</v>
      </c>
      <c r="B226" t="s">
        <v>2119</v>
      </c>
      <c r="C226" s="36">
        <v>2014</v>
      </c>
      <c r="D226">
        <v>22</v>
      </c>
      <c r="E226">
        <v>17</v>
      </c>
      <c r="G226">
        <v>5</v>
      </c>
      <c r="H226" t="s">
        <v>38</v>
      </c>
      <c r="I226" t="s">
        <v>23</v>
      </c>
      <c r="J226" t="s">
        <v>2120</v>
      </c>
      <c r="K226">
        <v>2126</v>
      </c>
      <c r="L226" t="s">
        <v>2121</v>
      </c>
      <c r="M226">
        <v>1488</v>
      </c>
      <c r="N226">
        <v>142.9</v>
      </c>
      <c r="O226">
        <v>68</v>
      </c>
    </row>
    <row r="227" spans="1:15" ht="15.75" customHeight="1">
      <c r="A227">
        <v>2</v>
      </c>
      <c r="B227" t="s">
        <v>2122</v>
      </c>
      <c r="C227" s="36">
        <v>2014</v>
      </c>
      <c r="D227">
        <v>22</v>
      </c>
      <c r="E227">
        <v>17</v>
      </c>
      <c r="G227">
        <v>5</v>
      </c>
      <c r="H227" t="s">
        <v>566</v>
      </c>
      <c r="I227" t="s">
        <v>149</v>
      </c>
      <c r="J227" t="s">
        <v>2123</v>
      </c>
      <c r="K227">
        <v>2458</v>
      </c>
      <c r="L227" t="s">
        <v>2124</v>
      </c>
      <c r="M227">
        <v>1746</v>
      </c>
      <c r="N227">
        <v>140.80000000000001</v>
      </c>
      <c r="O227">
        <v>68</v>
      </c>
    </row>
    <row r="228" spans="1:15" ht="15.75" customHeight="1">
      <c r="A228">
        <v>3</v>
      </c>
      <c r="B228" t="s">
        <v>2125</v>
      </c>
      <c r="C228" s="36">
        <v>2014</v>
      </c>
      <c r="D228">
        <v>22</v>
      </c>
      <c r="E228">
        <v>17</v>
      </c>
      <c r="G228">
        <v>5</v>
      </c>
      <c r="H228" t="s">
        <v>566</v>
      </c>
      <c r="I228" t="s">
        <v>149</v>
      </c>
      <c r="J228" t="s">
        <v>2126</v>
      </c>
      <c r="K228">
        <v>2033</v>
      </c>
      <c r="L228" t="s">
        <v>2127</v>
      </c>
      <c r="M228">
        <v>1787</v>
      </c>
      <c r="N228">
        <v>113.8</v>
      </c>
      <c r="O228">
        <v>68</v>
      </c>
    </row>
    <row r="229" spans="1:15" ht="15.75" customHeight="1">
      <c r="A229">
        <v>4</v>
      </c>
      <c r="B229" t="s">
        <v>2128</v>
      </c>
      <c r="C229" s="36">
        <v>2014</v>
      </c>
      <c r="D229">
        <v>22</v>
      </c>
      <c r="E229">
        <v>16</v>
      </c>
      <c r="G229">
        <v>6</v>
      </c>
      <c r="H229" t="s">
        <v>52</v>
      </c>
      <c r="I229" t="s">
        <v>149</v>
      </c>
      <c r="J229" t="s">
        <v>2129</v>
      </c>
      <c r="K229">
        <v>2029</v>
      </c>
      <c r="L229" t="s">
        <v>2130</v>
      </c>
      <c r="M229">
        <v>1556</v>
      </c>
      <c r="N229">
        <v>130.4</v>
      </c>
      <c r="O229">
        <v>64</v>
      </c>
    </row>
    <row r="230" spans="1:15" ht="15.75" customHeight="1">
      <c r="A230">
        <v>5</v>
      </c>
      <c r="B230" t="s">
        <v>2131</v>
      </c>
      <c r="C230" s="36">
        <v>2014</v>
      </c>
      <c r="D230">
        <v>22</v>
      </c>
      <c r="E230">
        <v>14</v>
      </c>
      <c r="G230">
        <v>8</v>
      </c>
      <c r="H230" t="s">
        <v>23</v>
      </c>
      <c r="I230" t="s">
        <v>63</v>
      </c>
      <c r="J230" t="s">
        <v>2132</v>
      </c>
      <c r="K230">
        <v>2180</v>
      </c>
      <c r="L230" t="s">
        <v>2133</v>
      </c>
      <c r="M230">
        <v>1678</v>
      </c>
      <c r="N230">
        <v>129.9</v>
      </c>
      <c r="O230">
        <v>56</v>
      </c>
    </row>
    <row r="231" spans="1:15" ht="15.75" customHeight="1">
      <c r="A231">
        <v>6</v>
      </c>
      <c r="B231" t="s">
        <v>2134</v>
      </c>
      <c r="C231" s="36">
        <v>2014</v>
      </c>
      <c r="D231">
        <v>22</v>
      </c>
      <c r="E231">
        <v>14</v>
      </c>
      <c r="G231">
        <v>8</v>
      </c>
      <c r="H231" t="s">
        <v>38</v>
      </c>
      <c r="I231" t="s">
        <v>149</v>
      </c>
      <c r="J231" t="s">
        <v>2135</v>
      </c>
      <c r="K231">
        <v>2026</v>
      </c>
      <c r="L231" t="s">
        <v>2136</v>
      </c>
      <c r="M231">
        <v>1731</v>
      </c>
      <c r="N231">
        <v>117</v>
      </c>
      <c r="O231">
        <v>56</v>
      </c>
    </row>
    <row r="232" spans="1:15" ht="15.75" customHeight="1">
      <c r="A232">
        <v>7</v>
      </c>
      <c r="B232" t="s">
        <v>2137</v>
      </c>
      <c r="C232" s="36">
        <v>2014</v>
      </c>
      <c r="D232">
        <v>22</v>
      </c>
      <c r="E232">
        <v>12</v>
      </c>
      <c r="F232">
        <v>1</v>
      </c>
      <c r="G232">
        <v>9</v>
      </c>
      <c r="H232" t="s">
        <v>18</v>
      </c>
      <c r="I232" s="30">
        <v>38473</v>
      </c>
      <c r="J232" t="s">
        <v>2138</v>
      </c>
      <c r="K232">
        <v>1828</v>
      </c>
      <c r="L232" t="s">
        <v>2139</v>
      </c>
      <c r="M232">
        <v>1719</v>
      </c>
      <c r="N232">
        <v>106.3</v>
      </c>
      <c r="O232">
        <v>50</v>
      </c>
    </row>
    <row r="233" spans="1:15" ht="15.75" customHeight="1">
      <c r="A233">
        <v>8</v>
      </c>
      <c r="B233" t="s">
        <v>2140</v>
      </c>
      <c r="C233" s="36">
        <v>2014</v>
      </c>
      <c r="D233">
        <v>22</v>
      </c>
      <c r="E233">
        <v>12</v>
      </c>
      <c r="G233">
        <v>10</v>
      </c>
      <c r="H233" t="s">
        <v>149</v>
      </c>
      <c r="I233" t="s">
        <v>149</v>
      </c>
      <c r="J233" t="s">
        <v>2141</v>
      </c>
      <c r="K233">
        <v>1887</v>
      </c>
      <c r="L233" t="s">
        <v>2142</v>
      </c>
      <c r="M233">
        <v>1784</v>
      </c>
      <c r="N233">
        <v>105.8</v>
      </c>
      <c r="O233">
        <v>48</v>
      </c>
    </row>
    <row r="234" spans="1:15" ht="15.75" customHeight="1">
      <c r="A234">
        <v>9</v>
      </c>
      <c r="B234" t="s">
        <v>2143</v>
      </c>
      <c r="C234" s="36">
        <v>2014</v>
      </c>
      <c r="D234">
        <v>22</v>
      </c>
      <c r="E234">
        <v>11</v>
      </c>
      <c r="G234">
        <v>11</v>
      </c>
      <c r="H234" t="s">
        <v>149</v>
      </c>
      <c r="I234" t="s">
        <v>63</v>
      </c>
      <c r="J234" t="s">
        <v>54</v>
      </c>
      <c r="K234">
        <v>2045</v>
      </c>
      <c r="L234" t="s">
        <v>2144</v>
      </c>
      <c r="M234">
        <v>1750</v>
      </c>
      <c r="N234">
        <v>116.9</v>
      </c>
      <c r="O234">
        <v>44</v>
      </c>
    </row>
    <row r="235" spans="1:15" ht="15.75" customHeight="1">
      <c r="A235">
        <v>10</v>
      </c>
      <c r="B235" t="s">
        <v>2145</v>
      </c>
      <c r="C235" s="36">
        <v>2014</v>
      </c>
      <c r="D235">
        <v>22</v>
      </c>
      <c r="E235">
        <v>11</v>
      </c>
      <c r="G235">
        <v>11</v>
      </c>
      <c r="H235" t="s">
        <v>149</v>
      </c>
      <c r="I235" t="s">
        <v>63</v>
      </c>
      <c r="J235" t="s">
        <v>2146</v>
      </c>
      <c r="K235">
        <v>2175</v>
      </c>
      <c r="L235" t="s">
        <v>2147</v>
      </c>
      <c r="M235">
        <v>1907</v>
      </c>
      <c r="N235">
        <v>114.1</v>
      </c>
      <c r="O235">
        <v>44</v>
      </c>
    </row>
    <row r="236" spans="1:15" ht="15.75" customHeight="1">
      <c r="A236">
        <v>11</v>
      </c>
      <c r="B236" t="s">
        <v>2148</v>
      </c>
      <c r="C236" s="36">
        <v>2014</v>
      </c>
      <c r="D236">
        <v>22</v>
      </c>
      <c r="E236">
        <v>11</v>
      </c>
      <c r="G236">
        <v>11</v>
      </c>
      <c r="H236" t="s">
        <v>63</v>
      </c>
      <c r="I236" t="s">
        <v>149</v>
      </c>
      <c r="J236" t="s">
        <v>2149</v>
      </c>
      <c r="K236">
        <v>1766</v>
      </c>
      <c r="L236" t="s">
        <v>2150</v>
      </c>
      <c r="M236">
        <v>1876</v>
      </c>
      <c r="N236">
        <v>94.1</v>
      </c>
      <c r="O236">
        <v>44</v>
      </c>
    </row>
    <row r="237" spans="1:15" ht="15.75" customHeight="1">
      <c r="A237">
        <v>12</v>
      </c>
      <c r="B237" t="s">
        <v>2151</v>
      </c>
      <c r="C237" s="36">
        <v>2014</v>
      </c>
      <c r="D237">
        <v>22</v>
      </c>
      <c r="E237">
        <v>10</v>
      </c>
      <c r="G237">
        <v>12</v>
      </c>
      <c r="H237" t="s">
        <v>18</v>
      </c>
      <c r="I237" t="s">
        <v>178</v>
      </c>
      <c r="J237" t="s">
        <v>2152</v>
      </c>
      <c r="K237">
        <v>1917</v>
      </c>
      <c r="L237" t="s">
        <v>2153</v>
      </c>
      <c r="M237">
        <v>2045</v>
      </c>
      <c r="N237">
        <v>93.7</v>
      </c>
      <c r="O237">
        <v>40</v>
      </c>
    </row>
    <row r="238" spans="1:15" ht="15.75" customHeight="1">
      <c r="A238">
        <v>13</v>
      </c>
      <c r="B238" t="s">
        <v>2154</v>
      </c>
      <c r="C238" s="36">
        <v>2014</v>
      </c>
      <c r="D238">
        <v>22</v>
      </c>
      <c r="E238">
        <v>7</v>
      </c>
      <c r="F238">
        <v>1</v>
      </c>
      <c r="G238">
        <v>14</v>
      </c>
      <c r="H238" s="30">
        <v>38473</v>
      </c>
      <c r="I238" t="s">
        <v>77</v>
      </c>
      <c r="J238" t="s">
        <v>2155</v>
      </c>
      <c r="K238">
        <v>1891</v>
      </c>
      <c r="L238" t="s">
        <v>2156</v>
      </c>
      <c r="M238">
        <v>2107</v>
      </c>
      <c r="N238">
        <v>89.7</v>
      </c>
      <c r="O238">
        <v>30</v>
      </c>
    </row>
    <row r="239" spans="1:15" ht="15.75" customHeight="1">
      <c r="A239">
        <v>14</v>
      </c>
      <c r="B239" t="s">
        <v>2157</v>
      </c>
      <c r="C239" s="36">
        <v>2014</v>
      </c>
      <c r="D239">
        <v>22</v>
      </c>
      <c r="E239">
        <v>7</v>
      </c>
      <c r="G239">
        <v>15</v>
      </c>
      <c r="H239" t="s">
        <v>178</v>
      </c>
      <c r="I239" t="s">
        <v>68</v>
      </c>
      <c r="J239" t="s">
        <v>2158</v>
      </c>
      <c r="K239">
        <v>1784</v>
      </c>
      <c r="L239" t="s">
        <v>2159</v>
      </c>
      <c r="M239">
        <v>2177</v>
      </c>
      <c r="N239">
        <v>81.900000000000006</v>
      </c>
      <c r="O239">
        <v>28</v>
      </c>
    </row>
    <row r="240" spans="1:15" ht="15.75" customHeight="1">
      <c r="A240">
        <v>15</v>
      </c>
      <c r="B240" t="s">
        <v>2160</v>
      </c>
      <c r="C240" s="36">
        <v>2014</v>
      </c>
      <c r="D240">
        <v>22</v>
      </c>
      <c r="E240">
        <v>7</v>
      </c>
      <c r="G240">
        <v>15</v>
      </c>
      <c r="H240" t="s">
        <v>178</v>
      </c>
      <c r="I240" t="s">
        <v>68</v>
      </c>
      <c r="J240" t="s">
        <v>2161</v>
      </c>
      <c r="K240">
        <v>1532</v>
      </c>
      <c r="L240" t="s">
        <v>2162</v>
      </c>
      <c r="M240">
        <v>2212</v>
      </c>
      <c r="N240">
        <v>69.3</v>
      </c>
      <c r="O240">
        <v>28</v>
      </c>
    </row>
    <row r="241" spans="1:15" ht="15.75" customHeight="1">
      <c r="A241">
        <v>16</v>
      </c>
      <c r="B241" t="s">
        <v>2163</v>
      </c>
      <c r="C241" s="36">
        <v>2014</v>
      </c>
      <c r="D241">
        <v>22</v>
      </c>
      <c r="E241">
        <v>6</v>
      </c>
      <c r="G241">
        <v>16</v>
      </c>
      <c r="H241" t="s">
        <v>178</v>
      </c>
      <c r="I241" t="s">
        <v>178</v>
      </c>
      <c r="J241" t="s">
        <v>2164</v>
      </c>
      <c r="K241">
        <v>1780</v>
      </c>
      <c r="L241" t="s">
        <v>2165</v>
      </c>
      <c r="M241">
        <v>2320</v>
      </c>
      <c r="N241">
        <v>76.7</v>
      </c>
      <c r="O241">
        <v>24</v>
      </c>
    </row>
    <row r="242" spans="1:15" ht="15.75" customHeight="1">
      <c r="A242">
        <v>17</v>
      </c>
      <c r="B242" t="s">
        <v>2166</v>
      </c>
      <c r="C242" s="36">
        <v>2014</v>
      </c>
      <c r="D242">
        <v>22</v>
      </c>
      <c r="E242">
        <v>4</v>
      </c>
      <c r="G242">
        <v>18</v>
      </c>
      <c r="H242" t="s">
        <v>330</v>
      </c>
      <c r="I242" t="s">
        <v>68</v>
      </c>
      <c r="J242" t="s">
        <v>2167</v>
      </c>
      <c r="K242">
        <v>1336</v>
      </c>
      <c r="L242" t="s">
        <v>2168</v>
      </c>
      <c r="M242">
        <v>1954</v>
      </c>
      <c r="N242">
        <v>68.400000000000006</v>
      </c>
      <c r="O242">
        <v>16</v>
      </c>
    </row>
    <row r="243" spans="1:15" ht="15.75" customHeight="1">
      <c r="A243">
        <v>18</v>
      </c>
      <c r="B243" t="s">
        <v>2169</v>
      </c>
      <c r="C243" s="36">
        <v>2014</v>
      </c>
      <c r="D243">
        <v>22</v>
      </c>
      <c r="E243">
        <v>4</v>
      </c>
      <c r="G243">
        <v>18</v>
      </c>
      <c r="H243" t="s">
        <v>178</v>
      </c>
      <c r="I243" t="s">
        <v>96</v>
      </c>
      <c r="J243" t="s">
        <v>2170</v>
      </c>
      <c r="K243">
        <v>1480</v>
      </c>
      <c r="L243" t="s">
        <v>2171</v>
      </c>
      <c r="M243">
        <v>2436</v>
      </c>
      <c r="N243">
        <v>60.8</v>
      </c>
      <c r="O243">
        <v>16</v>
      </c>
    </row>
    <row r="245" spans="1:15" ht="15.75" customHeight="1">
      <c r="A245" t="s">
        <v>2105</v>
      </c>
      <c r="B245" t="s">
        <v>2106</v>
      </c>
      <c r="C245" s="31" t="s">
        <v>2626</v>
      </c>
      <c r="D245" t="s">
        <v>2107</v>
      </c>
      <c r="E245" t="s">
        <v>2108</v>
      </c>
      <c r="F245" t="s">
        <v>2109</v>
      </c>
      <c r="G245" t="s">
        <v>2110</v>
      </c>
      <c r="H245" t="s">
        <v>2111</v>
      </c>
      <c r="I245" t="s">
        <v>2112</v>
      </c>
      <c r="J245" t="s">
        <v>2113</v>
      </c>
      <c r="K245" t="s">
        <v>2114</v>
      </c>
      <c r="L245" t="s">
        <v>2115</v>
      </c>
      <c r="M245" t="s">
        <v>2116</v>
      </c>
      <c r="N245" t="s">
        <v>2117</v>
      </c>
      <c r="O245" t="s">
        <v>2118</v>
      </c>
    </row>
    <row r="246" spans="1:15" ht="15.75" customHeight="1">
      <c r="A246">
        <v>1</v>
      </c>
      <c r="B246" t="s">
        <v>2122</v>
      </c>
      <c r="C246" s="36">
        <v>2013</v>
      </c>
      <c r="D246">
        <v>22</v>
      </c>
      <c r="E246">
        <v>19</v>
      </c>
      <c r="G246">
        <v>3</v>
      </c>
      <c r="H246" t="s">
        <v>23</v>
      </c>
      <c r="I246" t="s">
        <v>52</v>
      </c>
      <c r="J246" t="s">
        <v>2173</v>
      </c>
      <c r="K246">
        <v>2523</v>
      </c>
      <c r="L246" t="s">
        <v>2174</v>
      </c>
      <c r="M246">
        <v>1859</v>
      </c>
      <c r="N246">
        <v>135.69999999999999</v>
      </c>
      <c r="O246">
        <v>76</v>
      </c>
    </row>
    <row r="247" spans="1:15" ht="15.75" customHeight="1">
      <c r="A247">
        <v>2</v>
      </c>
      <c r="B247" t="s">
        <v>2125</v>
      </c>
      <c r="C247" s="36">
        <v>2013</v>
      </c>
      <c r="D247">
        <v>22</v>
      </c>
      <c r="E247">
        <v>18</v>
      </c>
      <c r="G247">
        <v>4</v>
      </c>
      <c r="H247" t="s">
        <v>566</v>
      </c>
      <c r="I247" t="s">
        <v>18</v>
      </c>
      <c r="J247" t="s">
        <v>2175</v>
      </c>
      <c r="K247">
        <v>2409</v>
      </c>
      <c r="L247" t="s">
        <v>2176</v>
      </c>
      <c r="M247">
        <v>1776</v>
      </c>
      <c r="N247">
        <v>135.6</v>
      </c>
      <c r="O247">
        <v>72</v>
      </c>
    </row>
    <row r="248" spans="1:15" ht="15.75" customHeight="1">
      <c r="A248">
        <v>3</v>
      </c>
      <c r="B248" t="s">
        <v>2128</v>
      </c>
      <c r="C248" s="36">
        <v>2013</v>
      </c>
      <c r="D248">
        <v>22</v>
      </c>
      <c r="E248">
        <v>16</v>
      </c>
      <c r="F248">
        <v>1</v>
      </c>
      <c r="G248">
        <v>5</v>
      </c>
      <c r="H248" t="s">
        <v>52</v>
      </c>
      <c r="I248" s="30">
        <v>38139</v>
      </c>
      <c r="J248" t="s">
        <v>657</v>
      </c>
      <c r="K248">
        <v>2035</v>
      </c>
      <c r="L248" t="s">
        <v>2177</v>
      </c>
      <c r="M248">
        <v>1518</v>
      </c>
      <c r="N248">
        <v>134.1</v>
      </c>
      <c r="O248">
        <v>66</v>
      </c>
    </row>
    <row r="249" spans="1:15" ht="15.75" customHeight="1">
      <c r="A249">
        <v>4</v>
      </c>
      <c r="B249" t="s">
        <v>2119</v>
      </c>
      <c r="C249" s="36">
        <v>2013</v>
      </c>
      <c r="D249">
        <v>22</v>
      </c>
      <c r="E249">
        <v>15</v>
      </c>
      <c r="F249">
        <v>1</v>
      </c>
      <c r="G249">
        <v>6</v>
      </c>
      <c r="H249" s="30">
        <v>37803</v>
      </c>
      <c r="I249" t="s">
        <v>38</v>
      </c>
      <c r="J249" t="s">
        <v>2178</v>
      </c>
      <c r="K249">
        <v>2244</v>
      </c>
      <c r="L249" t="s">
        <v>2179</v>
      </c>
      <c r="M249">
        <v>1694</v>
      </c>
      <c r="N249">
        <v>132.5</v>
      </c>
      <c r="O249">
        <v>62</v>
      </c>
    </row>
    <row r="250" spans="1:15" ht="15.75" customHeight="1">
      <c r="A250">
        <v>5</v>
      </c>
      <c r="B250" t="s">
        <v>2140</v>
      </c>
      <c r="C250" s="36">
        <v>2013</v>
      </c>
      <c r="D250">
        <v>22</v>
      </c>
      <c r="E250">
        <v>15</v>
      </c>
      <c r="G250">
        <v>7</v>
      </c>
      <c r="H250" t="s">
        <v>18</v>
      </c>
      <c r="I250" t="s">
        <v>38</v>
      </c>
      <c r="J250" t="s">
        <v>2180</v>
      </c>
      <c r="K250">
        <v>2154</v>
      </c>
      <c r="L250" t="s">
        <v>2181</v>
      </c>
      <c r="M250">
        <v>1754</v>
      </c>
      <c r="N250">
        <v>122.8</v>
      </c>
      <c r="O250">
        <v>60</v>
      </c>
    </row>
    <row r="251" spans="1:15" ht="15.75" customHeight="1">
      <c r="A251">
        <v>6</v>
      </c>
      <c r="B251" t="s">
        <v>2148</v>
      </c>
      <c r="C251" s="36">
        <v>2013</v>
      </c>
      <c r="D251">
        <v>22</v>
      </c>
      <c r="E251">
        <v>14</v>
      </c>
      <c r="G251">
        <v>8</v>
      </c>
      <c r="H251" t="s">
        <v>38</v>
      </c>
      <c r="I251" t="s">
        <v>149</v>
      </c>
      <c r="J251" t="s">
        <v>2182</v>
      </c>
      <c r="K251">
        <v>2148</v>
      </c>
      <c r="L251" t="s">
        <v>2183</v>
      </c>
      <c r="M251">
        <v>1868</v>
      </c>
      <c r="N251">
        <v>115</v>
      </c>
      <c r="O251">
        <v>56</v>
      </c>
    </row>
    <row r="252" spans="1:15" ht="15.75" customHeight="1">
      <c r="A252">
        <v>7</v>
      </c>
      <c r="B252" t="s">
        <v>2131</v>
      </c>
      <c r="C252" s="36">
        <v>2013</v>
      </c>
      <c r="D252">
        <v>22</v>
      </c>
      <c r="E252">
        <v>12</v>
      </c>
      <c r="G252">
        <v>10</v>
      </c>
      <c r="H252" t="s">
        <v>18</v>
      </c>
      <c r="I252" t="s">
        <v>63</v>
      </c>
      <c r="J252" t="s">
        <v>2184</v>
      </c>
      <c r="K252">
        <v>2051</v>
      </c>
      <c r="L252" t="s">
        <v>2185</v>
      </c>
      <c r="M252">
        <v>2002</v>
      </c>
      <c r="N252">
        <v>102.4</v>
      </c>
      <c r="O252">
        <v>48</v>
      </c>
    </row>
    <row r="253" spans="1:15" ht="15.75" customHeight="1">
      <c r="A253">
        <v>8</v>
      </c>
      <c r="B253" t="s">
        <v>2154</v>
      </c>
      <c r="C253" s="36">
        <v>2013</v>
      </c>
      <c r="D253">
        <v>22</v>
      </c>
      <c r="E253">
        <v>11</v>
      </c>
      <c r="G253">
        <v>11</v>
      </c>
      <c r="H253" t="s">
        <v>63</v>
      </c>
      <c r="I253" t="s">
        <v>149</v>
      </c>
      <c r="J253" t="s">
        <v>2186</v>
      </c>
      <c r="K253">
        <v>2125</v>
      </c>
      <c r="L253" t="s">
        <v>2187</v>
      </c>
      <c r="M253">
        <v>1992</v>
      </c>
      <c r="N253">
        <v>106.7</v>
      </c>
      <c r="O253">
        <v>44</v>
      </c>
    </row>
    <row r="254" spans="1:15" ht="15.75" customHeight="1">
      <c r="A254">
        <v>9</v>
      </c>
      <c r="B254" t="s">
        <v>2137</v>
      </c>
      <c r="C254" s="36">
        <v>2013</v>
      </c>
      <c r="D254">
        <v>22</v>
      </c>
      <c r="E254">
        <v>14</v>
      </c>
      <c r="G254">
        <v>8</v>
      </c>
      <c r="H254" t="s">
        <v>149</v>
      </c>
      <c r="I254" t="s">
        <v>38</v>
      </c>
      <c r="J254" t="s">
        <v>2188</v>
      </c>
      <c r="K254">
        <v>2145</v>
      </c>
      <c r="L254" t="s">
        <v>2189</v>
      </c>
      <c r="M254">
        <v>2000</v>
      </c>
      <c r="N254">
        <v>107.3</v>
      </c>
      <c r="O254" t="s">
        <v>2190</v>
      </c>
    </row>
    <row r="255" spans="1:15" ht="15.75" customHeight="1">
      <c r="A255">
        <v>10</v>
      </c>
      <c r="B255" t="s">
        <v>2134</v>
      </c>
      <c r="C255" s="36">
        <v>2013</v>
      </c>
      <c r="D255">
        <v>22</v>
      </c>
      <c r="E255">
        <v>10</v>
      </c>
      <c r="G255">
        <v>12</v>
      </c>
      <c r="H255" t="s">
        <v>149</v>
      </c>
      <c r="I255" t="s">
        <v>68</v>
      </c>
      <c r="J255" t="s">
        <v>2191</v>
      </c>
      <c r="K255">
        <v>2307</v>
      </c>
      <c r="L255" t="s">
        <v>2192</v>
      </c>
      <c r="M255">
        <v>1930</v>
      </c>
      <c r="N255">
        <v>119.5</v>
      </c>
      <c r="O255">
        <v>40</v>
      </c>
    </row>
    <row r="256" spans="1:15" ht="15.75" customHeight="1">
      <c r="A256">
        <v>11</v>
      </c>
      <c r="B256" t="s">
        <v>2145</v>
      </c>
      <c r="C256" s="36">
        <v>2013</v>
      </c>
      <c r="D256">
        <v>22</v>
      </c>
      <c r="E256">
        <v>10</v>
      </c>
      <c r="G256">
        <v>12</v>
      </c>
      <c r="H256" t="s">
        <v>63</v>
      </c>
      <c r="I256" t="s">
        <v>63</v>
      </c>
      <c r="J256" t="s">
        <v>2193</v>
      </c>
      <c r="K256">
        <v>2064</v>
      </c>
      <c r="L256" t="s">
        <v>2194</v>
      </c>
      <c r="M256">
        <v>1909</v>
      </c>
      <c r="N256">
        <v>108.1</v>
      </c>
      <c r="O256">
        <v>40</v>
      </c>
    </row>
    <row r="257" spans="1:15" ht="15.75" customHeight="1">
      <c r="A257">
        <v>12</v>
      </c>
      <c r="B257" t="s">
        <v>2160</v>
      </c>
      <c r="C257" s="36">
        <v>2013</v>
      </c>
      <c r="D257">
        <v>22</v>
      </c>
      <c r="E257">
        <v>10</v>
      </c>
      <c r="G257">
        <v>12</v>
      </c>
      <c r="H257" t="s">
        <v>18</v>
      </c>
      <c r="I257" t="s">
        <v>178</v>
      </c>
      <c r="J257" t="s">
        <v>2195</v>
      </c>
      <c r="K257">
        <v>1922</v>
      </c>
      <c r="L257" t="s">
        <v>2196</v>
      </c>
      <c r="M257">
        <v>2144</v>
      </c>
      <c r="N257">
        <v>89.6</v>
      </c>
      <c r="O257">
        <v>40</v>
      </c>
    </row>
    <row r="258" spans="1:15" ht="15.75" customHeight="1">
      <c r="A258">
        <v>13</v>
      </c>
      <c r="B258" t="s">
        <v>2143</v>
      </c>
      <c r="C258" s="36">
        <v>2013</v>
      </c>
      <c r="D258">
        <v>22</v>
      </c>
      <c r="E258">
        <v>9</v>
      </c>
      <c r="G258">
        <v>13</v>
      </c>
      <c r="H258" t="s">
        <v>178</v>
      </c>
      <c r="I258" t="s">
        <v>149</v>
      </c>
      <c r="J258" t="s">
        <v>2197</v>
      </c>
      <c r="K258">
        <v>2038</v>
      </c>
      <c r="L258" t="s">
        <v>2198</v>
      </c>
      <c r="M258">
        <v>2139</v>
      </c>
      <c r="N258">
        <v>95.3</v>
      </c>
      <c r="O258">
        <v>36</v>
      </c>
    </row>
    <row r="259" spans="1:15" ht="15.75" customHeight="1">
      <c r="A259">
        <v>14</v>
      </c>
      <c r="B259" t="s">
        <v>2151</v>
      </c>
      <c r="C259" s="36">
        <v>2013</v>
      </c>
      <c r="D259">
        <v>22</v>
      </c>
      <c r="E259">
        <v>8</v>
      </c>
      <c r="G259">
        <v>14</v>
      </c>
      <c r="H259" t="s">
        <v>149</v>
      </c>
      <c r="I259" t="s">
        <v>77</v>
      </c>
      <c r="J259" t="s">
        <v>2199</v>
      </c>
      <c r="K259">
        <v>1918</v>
      </c>
      <c r="L259" t="s">
        <v>2200</v>
      </c>
      <c r="M259">
        <v>2091</v>
      </c>
      <c r="N259">
        <v>91.7</v>
      </c>
      <c r="O259">
        <v>32</v>
      </c>
    </row>
    <row r="260" spans="1:15" ht="15.75" customHeight="1">
      <c r="A260">
        <v>15</v>
      </c>
      <c r="B260" t="s">
        <v>2157</v>
      </c>
      <c r="C260" s="36">
        <v>2013</v>
      </c>
      <c r="D260">
        <v>22</v>
      </c>
      <c r="E260">
        <v>8</v>
      </c>
      <c r="G260">
        <v>14</v>
      </c>
      <c r="H260" t="s">
        <v>63</v>
      </c>
      <c r="I260" t="s">
        <v>178</v>
      </c>
      <c r="J260" t="s">
        <v>514</v>
      </c>
      <c r="K260">
        <v>1926</v>
      </c>
      <c r="L260" t="s">
        <v>2201</v>
      </c>
      <c r="M260">
        <v>2262</v>
      </c>
      <c r="N260">
        <v>85.1</v>
      </c>
      <c r="O260">
        <v>32</v>
      </c>
    </row>
    <row r="261" spans="1:15" ht="15.75" customHeight="1">
      <c r="A261">
        <v>16</v>
      </c>
      <c r="B261" t="s">
        <v>2169</v>
      </c>
      <c r="C261" s="36">
        <v>2013</v>
      </c>
      <c r="D261">
        <v>22</v>
      </c>
      <c r="E261">
        <v>5</v>
      </c>
      <c r="G261">
        <v>17</v>
      </c>
      <c r="H261" t="s">
        <v>68</v>
      </c>
      <c r="I261" t="s">
        <v>96</v>
      </c>
      <c r="J261" t="s">
        <v>2202</v>
      </c>
      <c r="K261">
        <v>1751</v>
      </c>
      <c r="L261" t="s">
        <v>2203</v>
      </c>
      <c r="M261">
        <v>2120</v>
      </c>
      <c r="N261">
        <v>82.6</v>
      </c>
      <c r="O261">
        <v>20</v>
      </c>
    </row>
    <row r="262" spans="1:15" ht="15.75" customHeight="1">
      <c r="A262">
        <v>17</v>
      </c>
      <c r="B262" t="s">
        <v>2166</v>
      </c>
      <c r="C262" s="36">
        <v>2013</v>
      </c>
      <c r="D262">
        <v>22</v>
      </c>
      <c r="E262">
        <v>2</v>
      </c>
      <c r="G262">
        <v>20</v>
      </c>
      <c r="H262" t="s">
        <v>77</v>
      </c>
      <c r="I262" t="s">
        <v>330</v>
      </c>
      <c r="J262" t="s">
        <v>2204</v>
      </c>
      <c r="K262">
        <v>1455</v>
      </c>
      <c r="L262" t="s">
        <v>2205</v>
      </c>
      <c r="M262">
        <v>2691</v>
      </c>
      <c r="N262">
        <v>54.1</v>
      </c>
      <c r="O262">
        <v>8</v>
      </c>
    </row>
    <row r="263" spans="1:15" ht="15.75" customHeight="1">
      <c r="A263">
        <v>18</v>
      </c>
      <c r="B263" t="s">
        <v>2163</v>
      </c>
      <c r="C263" s="36">
        <v>2013</v>
      </c>
      <c r="D263">
        <v>22</v>
      </c>
      <c r="E263">
        <v>1</v>
      </c>
      <c r="G263">
        <v>21</v>
      </c>
      <c r="H263" t="s">
        <v>96</v>
      </c>
      <c r="I263" t="s">
        <v>330</v>
      </c>
      <c r="J263" t="s">
        <v>2206</v>
      </c>
      <c r="K263">
        <v>1524</v>
      </c>
      <c r="L263" t="s">
        <v>2207</v>
      </c>
      <c r="M263">
        <v>2990</v>
      </c>
      <c r="N263">
        <v>51</v>
      </c>
      <c r="O263">
        <v>4</v>
      </c>
    </row>
    <row r="265" spans="1:15" ht="15.75" customHeight="1">
      <c r="A265" t="s">
        <v>2105</v>
      </c>
      <c r="B265" t="s">
        <v>2106</v>
      </c>
      <c r="C265" s="31" t="s">
        <v>2</v>
      </c>
      <c r="D265" t="s">
        <v>2107</v>
      </c>
      <c r="E265" t="s">
        <v>2108</v>
      </c>
      <c r="F265" t="s">
        <v>2109</v>
      </c>
      <c r="G265" t="s">
        <v>2110</v>
      </c>
      <c r="H265" t="s">
        <v>2111</v>
      </c>
      <c r="I265" t="s">
        <v>2112</v>
      </c>
      <c r="J265" t="s">
        <v>2113</v>
      </c>
      <c r="K265" t="s">
        <v>2114</v>
      </c>
      <c r="L265" t="s">
        <v>2115</v>
      </c>
      <c r="M265" t="s">
        <v>2116</v>
      </c>
      <c r="N265" t="s">
        <v>2117</v>
      </c>
      <c r="O265" t="s">
        <v>2118</v>
      </c>
    </row>
    <row r="266" spans="1:15" ht="15.75" customHeight="1">
      <c r="A266">
        <v>1</v>
      </c>
      <c r="B266" t="s">
        <v>2122</v>
      </c>
      <c r="C266">
        <v>2012</v>
      </c>
      <c r="D266">
        <v>22</v>
      </c>
      <c r="E266">
        <v>17</v>
      </c>
      <c r="G266">
        <v>5</v>
      </c>
      <c r="H266" t="s">
        <v>23</v>
      </c>
      <c r="I266" t="s">
        <v>38</v>
      </c>
      <c r="J266" t="s">
        <v>2208</v>
      </c>
      <c r="K266">
        <v>2679</v>
      </c>
      <c r="L266" t="s">
        <v>2209</v>
      </c>
      <c r="M266">
        <v>1733</v>
      </c>
      <c r="N266">
        <v>154.6</v>
      </c>
      <c r="O266">
        <v>68</v>
      </c>
    </row>
    <row r="267" spans="1:15" ht="15.75" customHeight="1">
      <c r="A267">
        <v>2</v>
      </c>
      <c r="B267" t="s">
        <v>2145</v>
      </c>
      <c r="C267">
        <v>2012</v>
      </c>
      <c r="D267">
        <v>22</v>
      </c>
      <c r="E267">
        <v>17</v>
      </c>
      <c r="G267">
        <v>5</v>
      </c>
      <c r="H267" t="s">
        <v>52</v>
      </c>
      <c r="I267" t="s">
        <v>18</v>
      </c>
      <c r="J267" t="s">
        <v>2210</v>
      </c>
      <c r="K267">
        <v>2428</v>
      </c>
      <c r="L267" t="s">
        <v>2211</v>
      </c>
      <c r="M267">
        <v>1833</v>
      </c>
      <c r="N267">
        <v>132.5</v>
      </c>
      <c r="O267">
        <v>68</v>
      </c>
    </row>
    <row r="268" spans="1:15" ht="15.75" customHeight="1">
      <c r="A268">
        <v>3</v>
      </c>
      <c r="B268" t="s">
        <v>2119</v>
      </c>
      <c r="C268">
        <v>2012</v>
      </c>
      <c r="D268">
        <v>22</v>
      </c>
      <c r="E268">
        <v>16</v>
      </c>
      <c r="G268">
        <v>6</v>
      </c>
      <c r="H268" t="s">
        <v>38</v>
      </c>
      <c r="I268" t="s">
        <v>38</v>
      </c>
      <c r="J268" t="s">
        <v>2212</v>
      </c>
      <c r="K268">
        <v>2290</v>
      </c>
      <c r="L268" t="s">
        <v>2213</v>
      </c>
      <c r="M268">
        <v>1629</v>
      </c>
      <c r="N268">
        <v>140.6</v>
      </c>
      <c r="O268">
        <v>64</v>
      </c>
    </row>
    <row r="269" spans="1:15" ht="15.75" customHeight="1">
      <c r="A269">
        <v>4</v>
      </c>
      <c r="B269" t="s">
        <v>2148</v>
      </c>
      <c r="C269">
        <v>2012</v>
      </c>
      <c r="D269">
        <v>22</v>
      </c>
      <c r="E269">
        <v>16</v>
      </c>
      <c r="G269">
        <v>6</v>
      </c>
      <c r="H269" t="s">
        <v>38</v>
      </c>
      <c r="I269" t="s">
        <v>38</v>
      </c>
      <c r="J269" t="s">
        <v>2214</v>
      </c>
      <c r="K269">
        <v>2123</v>
      </c>
      <c r="L269" t="s">
        <v>2215</v>
      </c>
      <c r="M269">
        <v>1823</v>
      </c>
      <c r="N269">
        <v>116.5</v>
      </c>
      <c r="O269">
        <v>64</v>
      </c>
    </row>
    <row r="270" spans="1:15" ht="15.75" customHeight="1">
      <c r="A270">
        <v>5</v>
      </c>
      <c r="B270" t="s">
        <v>2143</v>
      </c>
      <c r="C270">
        <v>2012</v>
      </c>
      <c r="D270">
        <v>22</v>
      </c>
      <c r="E270">
        <v>15</v>
      </c>
      <c r="G270">
        <v>7</v>
      </c>
      <c r="H270" t="s">
        <v>52</v>
      </c>
      <c r="I270" t="s">
        <v>63</v>
      </c>
      <c r="J270" t="s">
        <v>2216</v>
      </c>
      <c r="K270">
        <v>2244</v>
      </c>
      <c r="L270" t="s">
        <v>2217</v>
      </c>
      <c r="M270">
        <v>1807</v>
      </c>
      <c r="N270">
        <v>124.2</v>
      </c>
      <c r="O270">
        <v>60</v>
      </c>
    </row>
    <row r="271" spans="1:15" ht="15.75" customHeight="1">
      <c r="A271">
        <v>6</v>
      </c>
      <c r="B271" t="s">
        <v>2125</v>
      </c>
      <c r="C271">
        <v>2012</v>
      </c>
      <c r="D271">
        <v>22</v>
      </c>
      <c r="E271">
        <v>15</v>
      </c>
      <c r="G271">
        <v>7</v>
      </c>
      <c r="H271" t="s">
        <v>52</v>
      </c>
      <c r="I271" t="s">
        <v>63</v>
      </c>
      <c r="J271" t="s">
        <v>2218</v>
      </c>
      <c r="K271">
        <v>2209</v>
      </c>
      <c r="L271" t="s">
        <v>2219</v>
      </c>
      <c r="M271">
        <v>1886</v>
      </c>
      <c r="N271">
        <v>117.1</v>
      </c>
      <c r="O271">
        <v>60</v>
      </c>
    </row>
    <row r="272" spans="1:15" ht="15.75" customHeight="1">
      <c r="A272">
        <v>7</v>
      </c>
      <c r="B272" t="s">
        <v>2128</v>
      </c>
      <c r="C272">
        <v>2012</v>
      </c>
      <c r="D272">
        <v>22</v>
      </c>
      <c r="E272">
        <v>14</v>
      </c>
      <c r="G272">
        <v>8</v>
      </c>
      <c r="H272" t="s">
        <v>38</v>
      </c>
      <c r="I272" t="s">
        <v>149</v>
      </c>
      <c r="J272" t="s">
        <v>2220</v>
      </c>
      <c r="K272">
        <v>1956</v>
      </c>
      <c r="L272" t="s">
        <v>2221</v>
      </c>
      <c r="M272">
        <v>1691</v>
      </c>
      <c r="N272">
        <v>115.7</v>
      </c>
      <c r="O272">
        <v>56</v>
      </c>
    </row>
    <row r="273" spans="1:16" ht="15.75" customHeight="1">
      <c r="A273">
        <v>8</v>
      </c>
      <c r="B273" t="s">
        <v>2134</v>
      </c>
      <c r="C273">
        <v>2012</v>
      </c>
      <c r="D273">
        <v>22</v>
      </c>
      <c r="E273">
        <v>14</v>
      </c>
      <c r="G273">
        <v>8</v>
      </c>
      <c r="H273" t="s">
        <v>18</v>
      </c>
      <c r="I273" t="s">
        <v>18</v>
      </c>
      <c r="J273" t="s">
        <v>2222</v>
      </c>
      <c r="K273">
        <v>2359</v>
      </c>
      <c r="L273" t="s">
        <v>2223</v>
      </c>
      <c r="M273">
        <v>2097</v>
      </c>
      <c r="N273">
        <v>112.5</v>
      </c>
      <c r="O273">
        <v>56</v>
      </c>
    </row>
    <row r="274" spans="1:16" ht="15.75" customHeight="1">
      <c r="A274">
        <v>9</v>
      </c>
      <c r="B274" t="s">
        <v>2169</v>
      </c>
      <c r="C274">
        <v>2012</v>
      </c>
      <c r="D274">
        <v>22</v>
      </c>
      <c r="E274">
        <v>12</v>
      </c>
      <c r="G274">
        <v>10</v>
      </c>
      <c r="H274" t="s">
        <v>18</v>
      </c>
      <c r="I274" t="s">
        <v>63</v>
      </c>
      <c r="J274" t="s">
        <v>2224</v>
      </c>
      <c r="K274">
        <v>2347</v>
      </c>
      <c r="L274" t="s">
        <v>2225</v>
      </c>
      <c r="M274">
        <v>1903</v>
      </c>
      <c r="N274">
        <v>123.3</v>
      </c>
      <c r="O274">
        <v>48</v>
      </c>
    </row>
    <row r="275" spans="1:16" ht="15.75" customHeight="1">
      <c r="A275">
        <v>10</v>
      </c>
      <c r="B275" t="s">
        <v>2154</v>
      </c>
      <c r="C275">
        <v>2012</v>
      </c>
      <c r="D275">
        <v>22</v>
      </c>
      <c r="E275">
        <v>11</v>
      </c>
      <c r="G275">
        <v>11</v>
      </c>
      <c r="H275" t="s">
        <v>63</v>
      </c>
      <c r="I275" t="s">
        <v>149</v>
      </c>
      <c r="J275" t="s">
        <v>2226</v>
      </c>
      <c r="K275">
        <v>2079</v>
      </c>
      <c r="L275" t="s">
        <v>2227</v>
      </c>
      <c r="M275">
        <v>1925</v>
      </c>
      <c r="N275">
        <v>108</v>
      </c>
      <c r="O275">
        <v>44</v>
      </c>
    </row>
    <row r="276" spans="1:16" ht="15.75" customHeight="1">
      <c r="A276">
        <v>11</v>
      </c>
      <c r="B276" t="s">
        <v>2137</v>
      </c>
      <c r="C276">
        <v>2012</v>
      </c>
      <c r="D276">
        <v>22</v>
      </c>
      <c r="E276">
        <v>11</v>
      </c>
      <c r="G276">
        <v>11</v>
      </c>
      <c r="H276" t="s">
        <v>63</v>
      </c>
      <c r="I276" t="s">
        <v>149</v>
      </c>
      <c r="J276" t="s">
        <v>2228</v>
      </c>
      <c r="K276">
        <v>2091</v>
      </c>
      <c r="L276" t="s">
        <v>2229</v>
      </c>
      <c r="M276">
        <v>2090</v>
      </c>
      <c r="N276">
        <v>100</v>
      </c>
      <c r="O276">
        <v>44</v>
      </c>
    </row>
    <row r="277" spans="1:16" ht="15.75" customHeight="1">
      <c r="A277">
        <v>12</v>
      </c>
      <c r="B277" t="s">
        <v>2140</v>
      </c>
      <c r="C277">
        <v>2012</v>
      </c>
      <c r="D277">
        <v>22</v>
      </c>
      <c r="E277">
        <v>10</v>
      </c>
      <c r="F277">
        <v>1</v>
      </c>
      <c r="G277">
        <v>11</v>
      </c>
      <c r="H277" s="30">
        <v>38473</v>
      </c>
      <c r="I277" t="s">
        <v>63</v>
      </c>
      <c r="J277" t="s">
        <v>2230</v>
      </c>
      <c r="K277">
        <v>2169</v>
      </c>
      <c r="L277" t="s">
        <v>2231</v>
      </c>
      <c r="M277">
        <v>1943</v>
      </c>
      <c r="N277">
        <v>111.6</v>
      </c>
      <c r="O277">
        <v>42</v>
      </c>
    </row>
    <row r="278" spans="1:16" ht="15.75" customHeight="1">
      <c r="A278">
        <v>13</v>
      </c>
      <c r="B278" t="s">
        <v>2160</v>
      </c>
      <c r="C278">
        <v>2012</v>
      </c>
      <c r="D278">
        <v>22</v>
      </c>
      <c r="E278">
        <v>10</v>
      </c>
      <c r="G278">
        <v>12</v>
      </c>
      <c r="H278" t="s">
        <v>149</v>
      </c>
      <c r="I278" t="s">
        <v>68</v>
      </c>
      <c r="J278" t="s">
        <v>2232</v>
      </c>
      <c r="K278">
        <v>1904</v>
      </c>
      <c r="L278" t="s">
        <v>2233</v>
      </c>
      <c r="M278">
        <v>2092</v>
      </c>
      <c r="N278">
        <v>91</v>
      </c>
      <c r="O278">
        <v>40</v>
      </c>
    </row>
    <row r="279" spans="1:16" ht="15.75" customHeight="1">
      <c r="A279">
        <v>14</v>
      </c>
      <c r="B279" t="s">
        <v>2131</v>
      </c>
      <c r="C279">
        <v>2012</v>
      </c>
      <c r="D279">
        <v>22</v>
      </c>
      <c r="E279">
        <v>5</v>
      </c>
      <c r="F279">
        <v>1</v>
      </c>
      <c r="G279">
        <v>16</v>
      </c>
      <c r="H279" t="s">
        <v>178</v>
      </c>
      <c r="I279" s="30">
        <v>39479</v>
      </c>
      <c r="J279" t="s">
        <v>2234</v>
      </c>
      <c r="K279">
        <v>1691</v>
      </c>
      <c r="L279" t="s">
        <v>2235</v>
      </c>
      <c r="M279">
        <v>2144</v>
      </c>
      <c r="N279">
        <v>78.900000000000006</v>
      </c>
      <c r="O279">
        <v>22</v>
      </c>
    </row>
    <row r="280" spans="1:16" ht="15.75" customHeight="1">
      <c r="A280">
        <v>15</v>
      </c>
      <c r="B280" t="s">
        <v>2157</v>
      </c>
      <c r="C280">
        <v>2012</v>
      </c>
      <c r="D280">
        <v>22</v>
      </c>
      <c r="E280">
        <v>5</v>
      </c>
      <c r="G280">
        <v>17</v>
      </c>
      <c r="H280" t="s">
        <v>77</v>
      </c>
      <c r="I280" t="s">
        <v>178</v>
      </c>
      <c r="J280" t="s">
        <v>2236</v>
      </c>
      <c r="K280">
        <v>1542</v>
      </c>
      <c r="L280" t="s">
        <v>2237</v>
      </c>
      <c r="M280">
        <v>2301</v>
      </c>
      <c r="N280">
        <v>67</v>
      </c>
      <c r="O280">
        <v>20</v>
      </c>
    </row>
    <row r="281" spans="1:16" ht="15.75" customHeight="1">
      <c r="A281">
        <v>16</v>
      </c>
      <c r="B281" t="s">
        <v>2166</v>
      </c>
      <c r="C281">
        <v>2012</v>
      </c>
      <c r="D281">
        <v>22</v>
      </c>
      <c r="E281">
        <v>4</v>
      </c>
      <c r="G281">
        <v>18</v>
      </c>
      <c r="H281" t="s">
        <v>77</v>
      </c>
      <c r="I281" t="s">
        <v>77</v>
      </c>
      <c r="J281" t="s">
        <v>2238</v>
      </c>
      <c r="K281">
        <v>1580</v>
      </c>
      <c r="L281" t="s">
        <v>2239</v>
      </c>
      <c r="M281">
        <v>2341</v>
      </c>
      <c r="N281">
        <v>67.5</v>
      </c>
      <c r="O281">
        <v>16</v>
      </c>
    </row>
    <row r="282" spans="1:16" ht="15.75" customHeight="1">
      <c r="A282">
        <v>17</v>
      </c>
      <c r="B282" t="s">
        <v>2151</v>
      </c>
      <c r="C282">
        <v>2012</v>
      </c>
      <c r="D282">
        <v>22</v>
      </c>
      <c r="E282">
        <v>3</v>
      </c>
      <c r="G282">
        <v>19</v>
      </c>
      <c r="H282" t="s">
        <v>77</v>
      </c>
      <c r="I282" t="s">
        <v>96</v>
      </c>
      <c r="J282" t="s">
        <v>2240</v>
      </c>
      <c r="K282">
        <v>1509</v>
      </c>
      <c r="L282" t="s">
        <v>2241</v>
      </c>
      <c r="M282">
        <v>2481</v>
      </c>
      <c r="N282">
        <v>60.8</v>
      </c>
      <c r="O282">
        <v>12</v>
      </c>
    </row>
    <row r="283" spans="1:16" ht="15.75" customHeight="1">
      <c r="A283">
        <v>18</v>
      </c>
      <c r="B283" t="s">
        <v>2163</v>
      </c>
      <c r="C283">
        <v>2012</v>
      </c>
      <c r="D283">
        <v>22</v>
      </c>
      <c r="E283">
        <v>2</v>
      </c>
      <c r="G283">
        <v>20</v>
      </c>
      <c r="H283" t="s">
        <v>77</v>
      </c>
      <c r="I283" t="s">
        <v>330</v>
      </c>
      <c r="J283" t="s">
        <v>2242</v>
      </c>
      <c r="K283">
        <v>1270</v>
      </c>
      <c r="L283" t="s">
        <v>2243</v>
      </c>
      <c r="M283">
        <v>2751</v>
      </c>
      <c r="N283">
        <v>46.2</v>
      </c>
      <c r="O283">
        <v>8</v>
      </c>
    </row>
    <row r="285" spans="1:16" ht="15.75" customHeight="1">
      <c r="A285" t="s">
        <v>2105</v>
      </c>
      <c r="B285" t="s">
        <v>2106</v>
      </c>
      <c r="C285" s="31" t="s">
        <v>2626</v>
      </c>
      <c r="D285" t="s">
        <v>2107</v>
      </c>
      <c r="E285" t="s">
        <v>2108</v>
      </c>
      <c r="F285" t="s">
        <v>2109</v>
      </c>
      <c r="G285" t="s">
        <v>2110</v>
      </c>
      <c r="H285" t="s">
        <v>2111</v>
      </c>
      <c r="I285" t="s">
        <v>2112</v>
      </c>
      <c r="J285" t="s">
        <v>2113</v>
      </c>
      <c r="K285" t="s">
        <v>2114</v>
      </c>
      <c r="L285" t="s">
        <v>2115</v>
      </c>
      <c r="M285" t="s">
        <v>2116</v>
      </c>
      <c r="N285" t="s">
        <v>2117</v>
      </c>
      <c r="O285" t="s">
        <v>2118</v>
      </c>
      <c r="P285" t="s">
        <v>2244</v>
      </c>
    </row>
    <row r="286" spans="1:16" ht="15.75" customHeight="1">
      <c r="A286">
        <v>1</v>
      </c>
      <c r="B286" t="s">
        <v>2148</v>
      </c>
      <c r="C286">
        <v>2011</v>
      </c>
      <c r="D286">
        <v>22</v>
      </c>
      <c r="E286">
        <v>20</v>
      </c>
      <c r="G286">
        <v>2</v>
      </c>
      <c r="H286" t="s">
        <v>52</v>
      </c>
      <c r="I286" t="s">
        <v>52</v>
      </c>
      <c r="J286" t="s">
        <v>2245</v>
      </c>
      <c r="K286">
        <v>2592</v>
      </c>
      <c r="L286" t="s">
        <v>2246</v>
      </c>
      <c r="M286">
        <v>1546</v>
      </c>
      <c r="N286">
        <v>167.7</v>
      </c>
      <c r="O286">
        <v>80</v>
      </c>
      <c r="P286" t="s">
        <v>2247</v>
      </c>
    </row>
    <row r="287" spans="1:16" ht="15.75" customHeight="1">
      <c r="A287">
        <v>2</v>
      </c>
      <c r="B287" t="s">
        <v>2125</v>
      </c>
      <c r="C287">
        <v>2011</v>
      </c>
      <c r="D287">
        <v>22</v>
      </c>
      <c r="E287">
        <v>19</v>
      </c>
      <c r="G287">
        <v>3</v>
      </c>
      <c r="H287" t="s">
        <v>52</v>
      </c>
      <c r="I287" t="s">
        <v>23</v>
      </c>
      <c r="J287" t="s">
        <v>2248</v>
      </c>
      <c r="K287">
        <v>2548</v>
      </c>
      <c r="L287" t="s">
        <v>2249</v>
      </c>
      <c r="M287">
        <v>1619</v>
      </c>
      <c r="N287">
        <v>157.4</v>
      </c>
      <c r="O287">
        <v>76</v>
      </c>
      <c r="P287" t="s">
        <v>2250</v>
      </c>
    </row>
    <row r="288" spans="1:16" ht="15.75" customHeight="1">
      <c r="A288">
        <v>3</v>
      </c>
      <c r="B288" t="s">
        <v>2122</v>
      </c>
      <c r="C288">
        <v>2011</v>
      </c>
      <c r="D288">
        <v>22</v>
      </c>
      <c r="E288">
        <v>18</v>
      </c>
      <c r="G288">
        <v>4</v>
      </c>
      <c r="H288" t="s">
        <v>52</v>
      </c>
      <c r="I288" t="s">
        <v>38</v>
      </c>
      <c r="J288" t="s">
        <v>2251</v>
      </c>
      <c r="K288">
        <v>2355</v>
      </c>
      <c r="L288" t="s">
        <v>2252</v>
      </c>
      <c r="M288">
        <v>1634</v>
      </c>
      <c r="N288">
        <v>144.1</v>
      </c>
      <c r="O288">
        <v>72</v>
      </c>
      <c r="P288" t="s">
        <v>2253</v>
      </c>
    </row>
    <row r="289" spans="1:16" ht="15.75" customHeight="1">
      <c r="A289">
        <v>4</v>
      </c>
      <c r="B289" t="s">
        <v>2143</v>
      </c>
      <c r="C289">
        <v>2011</v>
      </c>
      <c r="D289">
        <v>22</v>
      </c>
      <c r="E289">
        <v>17</v>
      </c>
      <c r="G289">
        <v>5</v>
      </c>
      <c r="H289" t="s">
        <v>52</v>
      </c>
      <c r="I289" t="s">
        <v>18</v>
      </c>
      <c r="J289" t="s">
        <v>2254</v>
      </c>
      <c r="K289">
        <v>2235</v>
      </c>
      <c r="L289" t="s">
        <v>2255</v>
      </c>
      <c r="M289">
        <v>1715</v>
      </c>
      <c r="N289">
        <v>130.30000000000001</v>
      </c>
      <c r="O289">
        <v>68</v>
      </c>
      <c r="P289" t="s">
        <v>2256</v>
      </c>
    </row>
    <row r="290" spans="1:16" ht="15.75" customHeight="1">
      <c r="A290">
        <v>5</v>
      </c>
      <c r="B290" t="s">
        <v>2154</v>
      </c>
      <c r="C290">
        <v>2011</v>
      </c>
      <c r="D290">
        <v>22</v>
      </c>
      <c r="E290">
        <v>14</v>
      </c>
      <c r="F290">
        <v>1</v>
      </c>
      <c r="G290">
        <v>7</v>
      </c>
      <c r="H290" s="30">
        <v>38473</v>
      </c>
      <c r="I290" t="s">
        <v>23</v>
      </c>
      <c r="J290" t="s">
        <v>2257</v>
      </c>
      <c r="K290">
        <v>2225</v>
      </c>
      <c r="L290" t="s">
        <v>2258</v>
      </c>
      <c r="M290">
        <v>1700</v>
      </c>
      <c r="N290">
        <v>130.9</v>
      </c>
      <c r="O290">
        <v>58</v>
      </c>
      <c r="P290" t="s">
        <v>2259</v>
      </c>
    </row>
    <row r="291" spans="1:16" ht="15.75" customHeight="1">
      <c r="A291">
        <v>6</v>
      </c>
      <c r="B291" t="s">
        <v>2169</v>
      </c>
      <c r="C291">
        <v>2011</v>
      </c>
      <c r="D291">
        <v>22</v>
      </c>
      <c r="E291">
        <v>12</v>
      </c>
      <c r="F291">
        <v>1</v>
      </c>
      <c r="G291">
        <v>9</v>
      </c>
      <c r="H291" s="30">
        <v>38139</v>
      </c>
      <c r="I291" t="s">
        <v>149</v>
      </c>
      <c r="J291" t="s">
        <v>2260</v>
      </c>
      <c r="K291">
        <v>1891</v>
      </c>
      <c r="L291" t="s">
        <v>2261</v>
      </c>
      <c r="M291">
        <v>1677</v>
      </c>
      <c r="N291">
        <v>112.8</v>
      </c>
      <c r="O291">
        <v>50</v>
      </c>
      <c r="P291" t="s">
        <v>2262</v>
      </c>
    </row>
    <row r="292" spans="1:16" ht="15.75" customHeight="1">
      <c r="A292">
        <v>7</v>
      </c>
      <c r="B292" t="s">
        <v>2119</v>
      </c>
      <c r="C292">
        <v>2011</v>
      </c>
      <c r="D292">
        <v>22</v>
      </c>
      <c r="E292">
        <v>12</v>
      </c>
      <c r="F292">
        <v>1</v>
      </c>
      <c r="G292">
        <v>9</v>
      </c>
      <c r="H292" t="s">
        <v>149</v>
      </c>
      <c r="I292" s="30">
        <v>38139</v>
      </c>
      <c r="J292" t="s">
        <v>2263</v>
      </c>
      <c r="K292">
        <v>1897</v>
      </c>
      <c r="L292" t="s">
        <v>2264</v>
      </c>
      <c r="M292">
        <v>1735</v>
      </c>
      <c r="N292">
        <v>109.3</v>
      </c>
      <c r="O292">
        <v>50</v>
      </c>
      <c r="P292" t="s">
        <v>2265</v>
      </c>
    </row>
    <row r="293" spans="1:16" ht="15.75" customHeight="1">
      <c r="A293">
        <v>8</v>
      </c>
      <c r="B293" t="s">
        <v>2137</v>
      </c>
      <c r="C293">
        <v>2011</v>
      </c>
      <c r="D293">
        <v>22</v>
      </c>
      <c r="E293">
        <v>11</v>
      </c>
      <c r="F293">
        <v>1</v>
      </c>
      <c r="G293">
        <v>10</v>
      </c>
      <c r="H293" t="s">
        <v>18</v>
      </c>
      <c r="I293" s="30">
        <v>38808</v>
      </c>
      <c r="J293" t="s">
        <v>2266</v>
      </c>
      <c r="K293">
        <v>2217</v>
      </c>
      <c r="L293" t="s">
        <v>2267</v>
      </c>
      <c r="M293">
        <v>2217</v>
      </c>
      <c r="N293">
        <v>100</v>
      </c>
      <c r="O293">
        <v>46</v>
      </c>
      <c r="P293" t="s">
        <v>2268</v>
      </c>
    </row>
    <row r="294" spans="1:16" ht="15.75" customHeight="1">
      <c r="A294">
        <v>9</v>
      </c>
      <c r="B294" t="s">
        <v>2134</v>
      </c>
      <c r="C294">
        <v>2011</v>
      </c>
      <c r="D294">
        <v>22</v>
      </c>
      <c r="E294">
        <v>10</v>
      </c>
      <c r="G294">
        <v>12</v>
      </c>
      <c r="H294" t="s">
        <v>149</v>
      </c>
      <c r="I294" t="s">
        <v>68</v>
      </c>
      <c r="J294" t="s">
        <v>2269</v>
      </c>
      <c r="K294">
        <v>2106</v>
      </c>
      <c r="L294" t="s">
        <v>2270</v>
      </c>
      <c r="M294">
        <v>2082</v>
      </c>
      <c r="N294">
        <v>101.2</v>
      </c>
      <c r="O294">
        <v>40</v>
      </c>
      <c r="P294" t="s">
        <v>2271</v>
      </c>
    </row>
    <row r="295" spans="1:16" ht="15.75" customHeight="1">
      <c r="A295">
        <v>10</v>
      </c>
      <c r="B295" t="s">
        <v>2157</v>
      </c>
      <c r="C295">
        <v>2011</v>
      </c>
      <c r="D295">
        <v>22</v>
      </c>
      <c r="E295">
        <v>9</v>
      </c>
      <c r="G295">
        <v>13</v>
      </c>
      <c r="H295" t="s">
        <v>18</v>
      </c>
      <c r="I295" t="s">
        <v>77</v>
      </c>
      <c r="J295" t="s">
        <v>2272</v>
      </c>
      <c r="K295">
        <v>2060</v>
      </c>
      <c r="L295" t="s">
        <v>2273</v>
      </c>
      <c r="M295">
        <v>2155</v>
      </c>
      <c r="N295">
        <v>95.6</v>
      </c>
      <c r="O295">
        <v>36</v>
      </c>
      <c r="P295" t="s">
        <v>2274</v>
      </c>
    </row>
    <row r="296" spans="1:16" ht="15.75" customHeight="1">
      <c r="A296">
        <v>11</v>
      </c>
      <c r="B296" t="s">
        <v>2128</v>
      </c>
      <c r="C296">
        <v>2011</v>
      </c>
      <c r="D296">
        <v>22</v>
      </c>
      <c r="E296">
        <v>9</v>
      </c>
      <c r="G296">
        <v>13</v>
      </c>
      <c r="H296" t="s">
        <v>63</v>
      </c>
      <c r="I296" t="s">
        <v>68</v>
      </c>
      <c r="J296" t="s">
        <v>2275</v>
      </c>
      <c r="K296">
        <v>1791</v>
      </c>
      <c r="L296" t="s">
        <v>736</v>
      </c>
      <c r="M296">
        <v>2155</v>
      </c>
      <c r="N296">
        <v>83.1</v>
      </c>
      <c r="O296">
        <v>36</v>
      </c>
      <c r="P296" t="s">
        <v>2276</v>
      </c>
    </row>
    <row r="297" spans="1:16" ht="15.75" customHeight="1">
      <c r="A297">
        <v>12</v>
      </c>
      <c r="B297" t="s">
        <v>2140</v>
      </c>
      <c r="C297">
        <v>2011</v>
      </c>
      <c r="D297">
        <v>22</v>
      </c>
      <c r="E297">
        <v>8</v>
      </c>
      <c r="F297">
        <v>1</v>
      </c>
      <c r="G297">
        <v>13</v>
      </c>
      <c r="H297" t="s">
        <v>68</v>
      </c>
      <c r="I297" s="30">
        <v>38808</v>
      </c>
      <c r="J297" t="s">
        <v>2277</v>
      </c>
      <c r="K297">
        <v>2069</v>
      </c>
      <c r="L297" t="s">
        <v>2278</v>
      </c>
      <c r="M297">
        <v>2396</v>
      </c>
      <c r="N297">
        <v>86.4</v>
      </c>
      <c r="O297">
        <v>34</v>
      </c>
      <c r="P297" t="s">
        <v>2279</v>
      </c>
    </row>
    <row r="298" spans="1:16" ht="15.75" customHeight="1">
      <c r="A298">
        <v>13</v>
      </c>
      <c r="B298" t="s">
        <v>2166</v>
      </c>
      <c r="C298">
        <v>2011</v>
      </c>
      <c r="D298">
        <v>22</v>
      </c>
      <c r="E298">
        <v>8</v>
      </c>
      <c r="F298">
        <v>1</v>
      </c>
      <c r="G298">
        <v>13</v>
      </c>
      <c r="H298" s="30">
        <v>38473</v>
      </c>
      <c r="I298" t="s">
        <v>178</v>
      </c>
      <c r="J298" t="s">
        <v>2280</v>
      </c>
      <c r="K298">
        <v>1974</v>
      </c>
      <c r="L298" t="s">
        <v>2281</v>
      </c>
      <c r="M298">
        <v>2315</v>
      </c>
      <c r="N298">
        <v>85.3</v>
      </c>
      <c r="O298">
        <v>34</v>
      </c>
      <c r="P298" t="s">
        <v>2282</v>
      </c>
    </row>
    <row r="299" spans="1:16" ht="15.75" customHeight="1">
      <c r="A299">
        <v>14</v>
      </c>
      <c r="B299" t="s">
        <v>2145</v>
      </c>
      <c r="C299">
        <v>2011</v>
      </c>
      <c r="D299">
        <v>22</v>
      </c>
      <c r="E299">
        <v>7</v>
      </c>
      <c r="G299">
        <v>15</v>
      </c>
      <c r="H299" t="s">
        <v>63</v>
      </c>
      <c r="I299" t="s">
        <v>77</v>
      </c>
      <c r="J299" t="s">
        <v>2283</v>
      </c>
      <c r="K299">
        <v>1742</v>
      </c>
      <c r="L299" t="s">
        <v>2284</v>
      </c>
      <c r="M299">
        <v>2193</v>
      </c>
      <c r="N299">
        <v>79.400000000000006</v>
      </c>
      <c r="O299">
        <v>28</v>
      </c>
      <c r="P299" t="s">
        <v>2285</v>
      </c>
    </row>
    <row r="300" spans="1:16" ht="15.75" customHeight="1">
      <c r="A300">
        <v>15</v>
      </c>
      <c r="B300" t="s">
        <v>2160</v>
      </c>
      <c r="C300">
        <v>2011</v>
      </c>
      <c r="D300">
        <v>22</v>
      </c>
      <c r="E300">
        <v>4</v>
      </c>
      <c r="G300">
        <v>18</v>
      </c>
      <c r="H300" t="s">
        <v>178</v>
      </c>
      <c r="I300" t="s">
        <v>96</v>
      </c>
      <c r="J300" t="s">
        <v>2286</v>
      </c>
      <c r="K300">
        <v>1814</v>
      </c>
      <c r="L300" t="s">
        <v>2287</v>
      </c>
      <c r="M300">
        <v>2240</v>
      </c>
      <c r="N300">
        <v>81</v>
      </c>
      <c r="O300">
        <v>16</v>
      </c>
      <c r="P300" t="s">
        <v>2288</v>
      </c>
    </row>
    <row r="301" spans="1:16" ht="15.75" customHeight="1">
      <c r="A301">
        <v>16</v>
      </c>
      <c r="B301" t="s">
        <v>2131</v>
      </c>
      <c r="C301">
        <v>2011</v>
      </c>
      <c r="D301">
        <v>22</v>
      </c>
      <c r="E301">
        <v>3</v>
      </c>
      <c r="G301">
        <v>19</v>
      </c>
      <c r="H301" t="s">
        <v>77</v>
      </c>
      <c r="I301" t="s">
        <v>96</v>
      </c>
      <c r="J301" t="s">
        <v>2289</v>
      </c>
      <c r="K301">
        <v>1718</v>
      </c>
      <c r="L301" t="s">
        <v>2290</v>
      </c>
      <c r="M301">
        <v>2663</v>
      </c>
      <c r="N301">
        <v>64.5</v>
      </c>
      <c r="O301">
        <v>12</v>
      </c>
      <c r="P301" t="s">
        <v>2291</v>
      </c>
    </row>
    <row r="302" spans="1:16" ht="15.75" customHeight="1">
      <c r="A302">
        <v>17</v>
      </c>
      <c r="B302" t="s">
        <v>2151</v>
      </c>
      <c r="C302">
        <v>2011</v>
      </c>
      <c r="D302">
        <v>22</v>
      </c>
      <c r="E302">
        <v>3</v>
      </c>
      <c r="G302">
        <v>19</v>
      </c>
      <c r="H302" t="s">
        <v>96</v>
      </c>
      <c r="I302" t="s">
        <v>77</v>
      </c>
      <c r="J302" t="s">
        <v>2292</v>
      </c>
      <c r="K302">
        <v>1534</v>
      </c>
      <c r="L302" t="s">
        <v>2293</v>
      </c>
      <c r="M302">
        <v>2726</v>
      </c>
      <c r="N302">
        <v>56.3</v>
      </c>
      <c r="O302">
        <v>12</v>
      </c>
      <c r="P302" t="s">
        <v>2294</v>
      </c>
    </row>
    <row r="304" spans="1:16" ht="15.75" customHeight="1">
      <c r="A304" t="s">
        <v>2105</v>
      </c>
      <c r="B304" t="s">
        <v>2106</v>
      </c>
      <c r="C304" s="31" t="s">
        <v>2</v>
      </c>
      <c r="D304" t="s">
        <v>2107</v>
      </c>
      <c r="E304" t="s">
        <v>2108</v>
      </c>
      <c r="F304" t="s">
        <v>2109</v>
      </c>
      <c r="G304" t="s">
        <v>2110</v>
      </c>
      <c r="H304" t="s">
        <v>2111</v>
      </c>
      <c r="I304" t="s">
        <v>2112</v>
      </c>
      <c r="J304" t="s">
        <v>2113</v>
      </c>
      <c r="K304" t="s">
        <v>2114</v>
      </c>
      <c r="L304" t="s">
        <v>2115</v>
      </c>
      <c r="M304" t="s">
        <v>2116</v>
      </c>
      <c r="N304" t="s">
        <v>2117</v>
      </c>
      <c r="O304" t="s">
        <v>2118</v>
      </c>
    </row>
    <row r="305" spans="1:15" ht="15.75" customHeight="1">
      <c r="A305">
        <v>1</v>
      </c>
      <c r="B305" t="s">
        <v>2148</v>
      </c>
      <c r="C305">
        <v>2010</v>
      </c>
      <c r="D305">
        <v>22</v>
      </c>
      <c r="E305">
        <v>17</v>
      </c>
      <c r="F305">
        <v>1</v>
      </c>
      <c r="G305">
        <v>4</v>
      </c>
      <c r="H305" t="s">
        <v>52</v>
      </c>
      <c r="I305" s="30">
        <v>37803</v>
      </c>
      <c r="J305" t="s">
        <v>2295</v>
      </c>
      <c r="K305">
        <v>2349</v>
      </c>
      <c r="L305" t="s">
        <v>2296</v>
      </c>
      <c r="M305">
        <v>1658</v>
      </c>
      <c r="N305">
        <v>141.69999999999999</v>
      </c>
      <c r="O305">
        <v>70</v>
      </c>
    </row>
    <row r="306" spans="1:15" ht="15.75" customHeight="1">
      <c r="A306">
        <v>2</v>
      </c>
      <c r="B306" t="s">
        <v>2125</v>
      </c>
      <c r="C306">
        <v>2010</v>
      </c>
      <c r="D306">
        <v>22</v>
      </c>
      <c r="E306">
        <v>17</v>
      </c>
      <c r="G306">
        <v>5</v>
      </c>
      <c r="H306" t="s">
        <v>52</v>
      </c>
      <c r="I306" t="s">
        <v>18</v>
      </c>
      <c r="J306" t="s">
        <v>2297</v>
      </c>
      <c r="K306">
        <v>2518</v>
      </c>
      <c r="L306" t="s">
        <v>2298</v>
      </c>
      <c r="M306">
        <v>1702</v>
      </c>
      <c r="N306">
        <v>147.9</v>
      </c>
      <c r="O306">
        <v>68</v>
      </c>
    </row>
    <row r="307" spans="1:15" ht="15.75" customHeight="1">
      <c r="A307">
        <v>3</v>
      </c>
      <c r="B307" t="s">
        <v>2169</v>
      </c>
      <c r="C307">
        <v>2010</v>
      </c>
      <c r="D307">
        <v>22</v>
      </c>
      <c r="E307">
        <v>15</v>
      </c>
      <c r="F307">
        <v>1</v>
      </c>
      <c r="G307">
        <v>6</v>
      </c>
      <c r="H307" s="30">
        <v>37469</v>
      </c>
      <c r="I307" t="s">
        <v>18</v>
      </c>
      <c r="J307" t="s">
        <v>2299</v>
      </c>
      <c r="K307">
        <v>1935</v>
      </c>
      <c r="L307" t="s">
        <v>2300</v>
      </c>
      <c r="M307">
        <v>1591</v>
      </c>
      <c r="N307">
        <v>121.6</v>
      </c>
      <c r="O307">
        <v>62</v>
      </c>
    </row>
    <row r="308" spans="1:15" ht="15.75" customHeight="1">
      <c r="A308">
        <v>4</v>
      </c>
      <c r="B308" t="s">
        <v>2157</v>
      </c>
      <c r="C308">
        <v>2010</v>
      </c>
      <c r="D308">
        <v>22</v>
      </c>
      <c r="E308">
        <v>14</v>
      </c>
      <c r="G308">
        <v>8</v>
      </c>
      <c r="H308" t="s">
        <v>38</v>
      </c>
      <c r="I308" t="s">
        <v>149</v>
      </c>
      <c r="J308" t="s">
        <v>2301</v>
      </c>
      <c r="K308">
        <v>2174</v>
      </c>
      <c r="L308" t="s">
        <v>2302</v>
      </c>
      <c r="M308">
        <v>1734</v>
      </c>
      <c r="N308">
        <v>125.4</v>
      </c>
      <c r="O308">
        <v>56</v>
      </c>
    </row>
    <row r="309" spans="1:15" ht="15.75" customHeight="1">
      <c r="A309">
        <v>5</v>
      </c>
      <c r="B309" t="s">
        <v>2119</v>
      </c>
      <c r="C309">
        <v>2010</v>
      </c>
      <c r="D309">
        <v>22</v>
      </c>
      <c r="E309">
        <v>13</v>
      </c>
      <c r="G309">
        <v>9</v>
      </c>
      <c r="H309" t="s">
        <v>18</v>
      </c>
      <c r="I309" t="s">
        <v>149</v>
      </c>
      <c r="J309" t="s">
        <v>2303</v>
      </c>
      <c r="K309">
        <v>2017</v>
      </c>
      <c r="L309" t="s">
        <v>2304</v>
      </c>
      <c r="M309">
        <v>1863</v>
      </c>
      <c r="N309">
        <v>108.3</v>
      </c>
      <c r="O309">
        <v>52</v>
      </c>
    </row>
    <row r="310" spans="1:15" ht="15.75" customHeight="1">
      <c r="A310">
        <v>6</v>
      </c>
      <c r="B310" t="s">
        <v>2128</v>
      </c>
      <c r="C310">
        <v>2010</v>
      </c>
      <c r="D310">
        <v>22</v>
      </c>
      <c r="E310">
        <v>13</v>
      </c>
      <c r="G310">
        <v>9</v>
      </c>
      <c r="H310" t="s">
        <v>38</v>
      </c>
      <c r="I310" t="s">
        <v>63</v>
      </c>
      <c r="J310" t="s">
        <v>2305</v>
      </c>
      <c r="K310">
        <v>2168</v>
      </c>
      <c r="L310" t="s">
        <v>322</v>
      </c>
      <c r="M310">
        <v>2087</v>
      </c>
      <c r="N310">
        <v>103.9</v>
      </c>
      <c r="O310">
        <v>52</v>
      </c>
    </row>
    <row r="311" spans="1:15" ht="15.75" customHeight="1">
      <c r="A311">
        <v>7</v>
      </c>
      <c r="B311" t="s">
        <v>2122</v>
      </c>
      <c r="C311">
        <v>2010</v>
      </c>
      <c r="D311">
        <v>22</v>
      </c>
      <c r="E311">
        <v>12</v>
      </c>
      <c r="F311">
        <v>1</v>
      </c>
      <c r="G311">
        <v>9</v>
      </c>
      <c r="H311" t="s">
        <v>23</v>
      </c>
      <c r="I311" s="30">
        <v>39142</v>
      </c>
      <c r="J311" t="s">
        <v>2306</v>
      </c>
      <c r="K311">
        <v>2044</v>
      </c>
      <c r="L311" t="s">
        <v>2307</v>
      </c>
      <c r="M311">
        <v>1847</v>
      </c>
      <c r="N311">
        <v>110.7</v>
      </c>
      <c r="O311">
        <v>50</v>
      </c>
    </row>
    <row r="312" spans="1:15" ht="15.75" customHeight="1">
      <c r="A312">
        <v>8</v>
      </c>
      <c r="B312" t="s">
        <v>2154</v>
      </c>
      <c r="C312">
        <v>2010</v>
      </c>
      <c r="D312">
        <v>22</v>
      </c>
      <c r="E312">
        <v>11</v>
      </c>
      <c r="G312">
        <v>11</v>
      </c>
      <c r="H312" t="s">
        <v>63</v>
      </c>
      <c r="I312" t="s">
        <v>149</v>
      </c>
      <c r="J312" t="s">
        <v>2308</v>
      </c>
      <c r="K312">
        <v>2143</v>
      </c>
      <c r="L312" t="s">
        <v>2309</v>
      </c>
      <c r="M312">
        <v>1983</v>
      </c>
      <c r="N312">
        <v>108.1</v>
      </c>
      <c r="O312">
        <v>44</v>
      </c>
    </row>
    <row r="313" spans="1:15" ht="15.75" customHeight="1">
      <c r="A313">
        <v>9</v>
      </c>
      <c r="B313" t="s">
        <v>2134</v>
      </c>
      <c r="C313">
        <v>2010</v>
      </c>
      <c r="D313">
        <v>22</v>
      </c>
      <c r="E313">
        <v>11</v>
      </c>
      <c r="G313">
        <v>11</v>
      </c>
      <c r="H313" t="s">
        <v>18</v>
      </c>
      <c r="I313" t="s">
        <v>68</v>
      </c>
      <c r="J313" t="s">
        <v>2192</v>
      </c>
      <c r="K313">
        <v>1930</v>
      </c>
      <c r="L313" t="s">
        <v>2310</v>
      </c>
      <c r="M313">
        <v>2208</v>
      </c>
      <c r="N313">
        <v>87.4</v>
      </c>
      <c r="O313">
        <v>44</v>
      </c>
    </row>
    <row r="314" spans="1:15" ht="15.75" customHeight="1">
      <c r="A314">
        <v>10</v>
      </c>
      <c r="B314" t="s">
        <v>2131</v>
      </c>
      <c r="C314">
        <v>2010</v>
      </c>
      <c r="D314">
        <v>22</v>
      </c>
      <c r="E314">
        <v>10</v>
      </c>
      <c r="G314">
        <v>12</v>
      </c>
      <c r="H314" t="s">
        <v>149</v>
      </c>
      <c r="I314" t="s">
        <v>68</v>
      </c>
      <c r="J314" t="s">
        <v>2311</v>
      </c>
      <c r="K314">
        <v>1749</v>
      </c>
      <c r="L314" t="s">
        <v>2312</v>
      </c>
      <c r="M314">
        <v>2123</v>
      </c>
      <c r="N314">
        <v>82.4</v>
      </c>
      <c r="O314">
        <v>40</v>
      </c>
    </row>
    <row r="315" spans="1:15" ht="15.75" customHeight="1">
      <c r="A315">
        <v>11</v>
      </c>
      <c r="B315" t="s">
        <v>2145</v>
      </c>
      <c r="C315">
        <v>2010</v>
      </c>
      <c r="D315">
        <v>22</v>
      </c>
      <c r="E315">
        <v>9</v>
      </c>
      <c r="G315">
        <v>13</v>
      </c>
      <c r="H315" t="s">
        <v>18</v>
      </c>
      <c r="I315" t="s">
        <v>77</v>
      </c>
      <c r="J315" t="s">
        <v>2313</v>
      </c>
      <c r="K315">
        <v>1763</v>
      </c>
      <c r="L315" t="s">
        <v>2314</v>
      </c>
      <c r="M315">
        <v>1870</v>
      </c>
      <c r="N315">
        <v>94.3</v>
      </c>
      <c r="O315">
        <v>36</v>
      </c>
    </row>
    <row r="316" spans="1:15" ht="15.75" customHeight="1">
      <c r="A316">
        <v>12</v>
      </c>
      <c r="B316" t="s">
        <v>2166</v>
      </c>
      <c r="C316">
        <v>2010</v>
      </c>
      <c r="D316">
        <v>22</v>
      </c>
      <c r="E316">
        <v>8</v>
      </c>
      <c r="F316">
        <v>1</v>
      </c>
      <c r="G316">
        <v>13</v>
      </c>
      <c r="H316" s="30">
        <v>38139</v>
      </c>
      <c r="I316" t="s">
        <v>77</v>
      </c>
      <c r="J316" t="s">
        <v>2304</v>
      </c>
      <c r="K316">
        <v>1863</v>
      </c>
      <c r="L316" t="s">
        <v>2315</v>
      </c>
      <c r="M316">
        <v>1971</v>
      </c>
      <c r="N316">
        <v>94.5</v>
      </c>
      <c r="O316">
        <v>34</v>
      </c>
    </row>
    <row r="317" spans="1:15" ht="15.75" customHeight="1">
      <c r="A317">
        <v>13</v>
      </c>
      <c r="B317" t="s">
        <v>2160</v>
      </c>
      <c r="C317">
        <v>2010</v>
      </c>
      <c r="D317">
        <v>22</v>
      </c>
      <c r="E317">
        <v>7</v>
      </c>
      <c r="G317">
        <v>15</v>
      </c>
      <c r="H317" t="s">
        <v>68</v>
      </c>
      <c r="I317" t="s">
        <v>178</v>
      </c>
      <c r="J317" t="s">
        <v>2316</v>
      </c>
      <c r="K317">
        <v>1775</v>
      </c>
      <c r="L317" t="s">
        <v>2317</v>
      </c>
      <c r="M317">
        <v>2158</v>
      </c>
      <c r="N317">
        <v>82.3</v>
      </c>
      <c r="O317">
        <v>28</v>
      </c>
    </row>
    <row r="318" spans="1:15" ht="15.75" customHeight="1">
      <c r="A318">
        <v>14</v>
      </c>
      <c r="B318" t="s">
        <v>2137</v>
      </c>
      <c r="C318">
        <v>2010</v>
      </c>
      <c r="D318">
        <v>22</v>
      </c>
      <c r="E318">
        <v>7</v>
      </c>
      <c r="G318">
        <v>15</v>
      </c>
      <c r="H318" t="s">
        <v>68</v>
      </c>
      <c r="I318" t="s">
        <v>178</v>
      </c>
      <c r="J318" t="s">
        <v>2318</v>
      </c>
      <c r="K318">
        <v>1930</v>
      </c>
      <c r="L318" t="s">
        <v>2319</v>
      </c>
      <c r="M318">
        <v>2402</v>
      </c>
      <c r="N318">
        <v>80.3</v>
      </c>
      <c r="O318">
        <v>28</v>
      </c>
    </row>
    <row r="319" spans="1:15" ht="15.75" customHeight="1">
      <c r="A319">
        <v>15</v>
      </c>
      <c r="B319" t="s">
        <v>2140</v>
      </c>
      <c r="C319">
        <v>2010</v>
      </c>
      <c r="D319">
        <v>22</v>
      </c>
      <c r="E319">
        <v>6</v>
      </c>
      <c r="G319">
        <v>16</v>
      </c>
      <c r="H319" t="s">
        <v>68</v>
      </c>
      <c r="I319" t="s">
        <v>77</v>
      </c>
      <c r="J319" t="s">
        <v>2320</v>
      </c>
      <c r="K319">
        <v>1714</v>
      </c>
      <c r="L319" t="s">
        <v>2321</v>
      </c>
      <c r="M319">
        <v>2348</v>
      </c>
      <c r="N319">
        <v>73</v>
      </c>
      <c r="O319">
        <v>24</v>
      </c>
    </row>
    <row r="320" spans="1:15" ht="15.75" customHeight="1">
      <c r="A320">
        <v>16</v>
      </c>
      <c r="B320" t="s">
        <v>2143</v>
      </c>
      <c r="C320">
        <v>2010</v>
      </c>
      <c r="D320">
        <v>22</v>
      </c>
      <c r="E320">
        <v>4</v>
      </c>
      <c r="G320">
        <v>18</v>
      </c>
      <c r="H320" t="s">
        <v>77</v>
      </c>
      <c r="I320" t="s">
        <v>77</v>
      </c>
      <c r="J320" t="s">
        <v>366</v>
      </c>
      <c r="K320">
        <v>1773</v>
      </c>
      <c r="L320" t="s">
        <v>2322</v>
      </c>
      <c r="M320">
        <v>2300</v>
      </c>
      <c r="N320">
        <v>77.099999999999994</v>
      </c>
      <c r="O320">
        <v>16</v>
      </c>
    </row>
    <row r="322" spans="1:15" ht="15.75" customHeight="1">
      <c r="A322" t="s">
        <v>2105</v>
      </c>
      <c r="B322" t="s">
        <v>2106</v>
      </c>
      <c r="C322" s="31" t="s">
        <v>2</v>
      </c>
      <c r="D322" t="s">
        <v>2107</v>
      </c>
      <c r="E322" t="s">
        <v>2108</v>
      </c>
      <c r="F322" t="s">
        <v>2109</v>
      </c>
      <c r="G322" t="s">
        <v>2110</v>
      </c>
      <c r="H322" t="s">
        <v>2111</v>
      </c>
      <c r="I322" t="s">
        <v>2112</v>
      </c>
      <c r="J322" t="s">
        <v>2113</v>
      </c>
      <c r="K322" t="s">
        <v>2114</v>
      </c>
      <c r="L322" t="s">
        <v>2115</v>
      </c>
      <c r="M322" t="s">
        <v>2116</v>
      </c>
      <c r="N322" t="s">
        <v>2117</v>
      </c>
      <c r="O322" t="s">
        <v>2118</v>
      </c>
    </row>
    <row r="323" spans="1:15" ht="15.75" customHeight="1">
      <c r="A323">
        <v>1</v>
      </c>
      <c r="B323" t="s">
        <v>2169</v>
      </c>
      <c r="C323">
        <v>2009</v>
      </c>
      <c r="D323">
        <v>22</v>
      </c>
      <c r="E323">
        <v>20</v>
      </c>
      <c r="G323">
        <v>2</v>
      </c>
      <c r="H323" t="s">
        <v>52</v>
      </c>
      <c r="I323" t="s">
        <v>52</v>
      </c>
      <c r="J323" t="s">
        <v>2323</v>
      </c>
      <c r="K323">
        <v>2197</v>
      </c>
      <c r="L323" t="s">
        <v>2324</v>
      </c>
      <c r="M323">
        <v>1411</v>
      </c>
      <c r="N323">
        <v>155.69999999999999</v>
      </c>
      <c r="O323">
        <v>80</v>
      </c>
    </row>
    <row r="324" spans="1:15" ht="15.75" customHeight="1">
      <c r="A324">
        <v>2</v>
      </c>
      <c r="B324" t="s">
        <v>2125</v>
      </c>
      <c r="C324">
        <v>2009</v>
      </c>
      <c r="D324">
        <v>22</v>
      </c>
      <c r="E324">
        <v>18</v>
      </c>
      <c r="G324">
        <v>4</v>
      </c>
      <c r="H324" t="s">
        <v>566</v>
      </c>
      <c r="I324" t="s">
        <v>18</v>
      </c>
      <c r="J324" t="s">
        <v>2325</v>
      </c>
      <c r="K324">
        <v>2312</v>
      </c>
      <c r="L324" t="s">
        <v>2326</v>
      </c>
      <c r="M324">
        <v>1815</v>
      </c>
      <c r="N324">
        <v>127.4</v>
      </c>
      <c r="O324">
        <v>72</v>
      </c>
    </row>
    <row r="325" spans="1:15" ht="15.75" customHeight="1">
      <c r="A325">
        <v>3</v>
      </c>
      <c r="B325" t="s">
        <v>2157</v>
      </c>
      <c r="C325">
        <v>2009</v>
      </c>
      <c r="D325">
        <v>22</v>
      </c>
      <c r="E325">
        <v>15</v>
      </c>
      <c r="G325">
        <v>7</v>
      </c>
      <c r="H325" t="s">
        <v>18</v>
      </c>
      <c r="I325" t="s">
        <v>38</v>
      </c>
      <c r="J325" t="s">
        <v>2327</v>
      </c>
      <c r="K325">
        <v>2378</v>
      </c>
      <c r="L325" t="s">
        <v>2328</v>
      </c>
      <c r="M325">
        <v>1940</v>
      </c>
      <c r="N325">
        <v>122.6</v>
      </c>
      <c r="O325">
        <v>60</v>
      </c>
    </row>
    <row r="326" spans="1:15" ht="15.75" customHeight="1">
      <c r="A326">
        <v>4</v>
      </c>
      <c r="B326" t="s">
        <v>2148</v>
      </c>
      <c r="C326">
        <v>2009</v>
      </c>
      <c r="D326">
        <v>22</v>
      </c>
      <c r="E326">
        <v>15</v>
      </c>
      <c r="G326">
        <v>7</v>
      </c>
      <c r="H326" t="s">
        <v>149</v>
      </c>
      <c r="I326" t="s">
        <v>23</v>
      </c>
      <c r="J326" t="s">
        <v>2329</v>
      </c>
      <c r="K326">
        <v>2174</v>
      </c>
      <c r="L326" t="s">
        <v>2330</v>
      </c>
      <c r="M326">
        <v>1778</v>
      </c>
      <c r="N326">
        <v>122.3</v>
      </c>
      <c r="O326">
        <v>60</v>
      </c>
    </row>
    <row r="327" spans="1:15" ht="15.75" customHeight="1">
      <c r="A327">
        <v>5</v>
      </c>
      <c r="B327" t="s">
        <v>2145</v>
      </c>
      <c r="C327">
        <v>2009</v>
      </c>
      <c r="D327">
        <v>22</v>
      </c>
      <c r="E327">
        <v>14</v>
      </c>
      <c r="G327">
        <v>8</v>
      </c>
      <c r="H327" t="s">
        <v>18</v>
      </c>
      <c r="I327" t="s">
        <v>18</v>
      </c>
      <c r="J327" t="s">
        <v>2331</v>
      </c>
      <c r="K327">
        <v>2104</v>
      </c>
      <c r="L327" t="s">
        <v>2332</v>
      </c>
      <c r="M327">
        <v>1789</v>
      </c>
      <c r="N327">
        <v>117.6</v>
      </c>
      <c r="O327">
        <v>56</v>
      </c>
    </row>
    <row r="328" spans="1:15" ht="15.75" customHeight="1">
      <c r="A328">
        <v>6</v>
      </c>
      <c r="B328" t="s">
        <v>2160</v>
      </c>
      <c r="C328">
        <v>2009</v>
      </c>
      <c r="D328">
        <v>22</v>
      </c>
      <c r="E328">
        <v>13</v>
      </c>
      <c r="F328">
        <v>1</v>
      </c>
      <c r="G328">
        <v>8</v>
      </c>
      <c r="H328" t="s">
        <v>38</v>
      </c>
      <c r="I328" s="30">
        <v>38473</v>
      </c>
      <c r="J328" t="s">
        <v>2333</v>
      </c>
      <c r="K328">
        <v>2017</v>
      </c>
      <c r="L328" t="s">
        <v>2334</v>
      </c>
      <c r="M328">
        <v>1890</v>
      </c>
      <c r="N328">
        <v>106.7</v>
      </c>
      <c r="O328">
        <v>54</v>
      </c>
    </row>
    <row r="329" spans="1:15" ht="15.75" customHeight="1">
      <c r="A329">
        <v>7</v>
      </c>
      <c r="B329" t="s">
        <v>2154</v>
      </c>
      <c r="C329">
        <v>2009</v>
      </c>
      <c r="D329">
        <v>22</v>
      </c>
      <c r="E329">
        <v>13</v>
      </c>
      <c r="G329">
        <v>9</v>
      </c>
      <c r="H329" t="s">
        <v>149</v>
      </c>
      <c r="I329" t="s">
        <v>18</v>
      </c>
      <c r="J329" t="s">
        <v>2335</v>
      </c>
      <c r="K329">
        <v>2270</v>
      </c>
      <c r="L329" t="s">
        <v>727</v>
      </c>
      <c r="M329">
        <v>2055</v>
      </c>
      <c r="N329">
        <v>110.5</v>
      </c>
      <c r="O329">
        <v>52</v>
      </c>
    </row>
    <row r="330" spans="1:15" ht="15.75" customHeight="1">
      <c r="A330">
        <v>8</v>
      </c>
      <c r="B330" t="s">
        <v>2137</v>
      </c>
      <c r="C330">
        <v>2009</v>
      </c>
      <c r="D330">
        <v>22</v>
      </c>
      <c r="E330">
        <v>10</v>
      </c>
      <c r="F330">
        <v>1</v>
      </c>
      <c r="G330">
        <v>11</v>
      </c>
      <c r="H330" s="30">
        <v>38139</v>
      </c>
      <c r="I330" t="s">
        <v>68</v>
      </c>
      <c r="J330" t="s">
        <v>2336</v>
      </c>
      <c r="K330">
        <v>2080</v>
      </c>
      <c r="L330" t="s">
        <v>2337</v>
      </c>
      <c r="M330">
        <v>2127</v>
      </c>
      <c r="N330">
        <v>97.8</v>
      </c>
      <c r="O330">
        <v>42</v>
      </c>
    </row>
    <row r="331" spans="1:15" ht="15.75" customHeight="1">
      <c r="A331">
        <v>9</v>
      </c>
      <c r="B331" t="s">
        <v>2122</v>
      </c>
      <c r="C331">
        <v>2009</v>
      </c>
      <c r="D331">
        <v>22</v>
      </c>
      <c r="E331">
        <v>9</v>
      </c>
      <c r="G331">
        <v>13</v>
      </c>
      <c r="H331" t="s">
        <v>63</v>
      </c>
      <c r="I331" t="s">
        <v>68</v>
      </c>
      <c r="J331" t="s">
        <v>2338</v>
      </c>
      <c r="K331">
        <v>1962</v>
      </c>
      <c r="L331" t="s">
        <v>2339</v>
      </c>
      <c r="M331">
        <v>2120</v>
      </c>
      <c r="N331">
        <v>92.5</v>
      </c>
      <c r="O331">
        <v>36</v>
      </c>
    </row>
    <row r="332" spans="1:15" ht="15.75" customHeight="1">
      <c r="A332">
        <v>10</v>
      </c>
      <c r="B332" t="s">
        <v>2131</v>
      </c>
      <c r="C332">
        <v>2009</v>
      </c>
      <c r="D332">
        <v>22</v>
      </c>
      <c r="E332">
        <v>9</v>
      </c>
      <c r="G332">
        <v>13</v>
      </c>
      <c r="H332" t="s">
        <v>38</v>
      </c>
      <c r="I332" t="s">
        <v>96</v>
      </c>
      <c r="J332" t="s">
        <v>2340</v>
      </c>
      <c r="K332">
        <v>1990</v>
      </c>
      <c r="L332" t="s">
        <v>2178</v>
      </c>
      <c r="M332">
        <v>2244</v>
      </c>
      <c r="N332">
        <v>88.7</v>
      </c>
      <c r="O332">
        <v>36</v>
      </c>
    </row>
    <row r="333" spans="1:15" ht="15.75" customHeight="1">
      <c r="A333">
        <v>11</v>
      </c>
      <c r="B333" t="s">
        <v>2143</v>
      </c>
      <c r="C333">
        <v>2009</v>
      </c>
      <c r="D333">
        <v>22</v>
      </c>
      <c r="E333">
        <v>8</v>
      </c>
      <c r="G333">
        <v>14</v>
      </c>
      <c r="H333" t="s">
        <v>18</v>
      </c>
      <c r="I333" t="s">
        <v>96</v>
      </c>
      <c r="J333" t="s">
        <v>2341</v>
      </c>
      <c r="K333">
        <v>1893</v>
      </c>
      <c r="L333" t="s">
        <v>2129</v>
      </c>
      <c r="M333">
        <v>2029</v>
      </c>
      <c r="N333">
        <v>93.3</v>
      </c>
      <c r="O333">
        <v>32</v>
      </c>
    </row>
    <row r="334" spans="1:15" ht="15.75" customHeight="1">
      <c r="A334">
        <v>12</v>
      </c>
      <c r="B334" t="s">
        <v>2119</v>
      </c>
      <c r="C334">
        <v>2009</v>
      </c>
      <c r="D334">
        <v>22</v>
      </c>
      <c r="E334">
        <v>8</v>
      </c>
      <c r="G334">
        <v>14</v>
      </c>
      <c r="H334" t="s">
        <v>149</v>
      </c>
      <c r="I334" t="s">
        <v>77</v>
      </c>
      <c r="J334" t="s">
        <v>2342</v>
      </c>
      <c r="K334">
        <v>1888</v>
      </c>
      <c r="L334" t="s">
        <v>2343</v>
      </c>
      <c r="M334">
        <v>2027</v>
      </c>
      <c r="N334">
        <v>93.1</v>
      </c>
      <c r="O334">
        <v>32</v>
      </c>
    </row>
    <row r="335" spans="1:15" ht="15.75" customHeight="1">
      <c r="A335">
        <v>13</v>
      </c>
      <c r="B335" t="s">
        <v>2134</v>
      </c>
      <c r="C335">
        <v>2009</v>
      </c>
      <c r="D335">
        <v>22</v>
      </c>
      <c r="E335">
        <v>7</v>
      </c>
      <c r="F335">
        <v>1</v>
      </c>
      <c r="G335">
        <v>14</v>
      </c>
      <c r="H335" t="s">
        <v>68</v>
      </c>
      <c r="I335" s="30">
        <v>39142</v>
      </c>
      <c r="J335" t="s">
        <v>2344</v>
      </c>
      <c r="K335">
        <v>1680</v>
      </c>
      <c r="L335" t="s">
        <v>2345</v>
      </c>
      <c r="M335">
        <v>2015</v>
      </c>
      <c r="N335">
        <v>83.4</v>
      </c>
      <c r="O335">
        <v>30</v>
      </c>
    </row>
    <row r="336" spans="1:15" ht="15.75" customHeight="1">
      <c r="A336">
        <v>14</v>
      </c>
      <c r="B336" t="s">
        <v>2128</v>
      </c>
      <c r="C336">
        <v>2009</v>
      </c>
      <c r="D336">
        <v>22</v>
      </c>
      <c r="E336">
        <v>6</v>
      </c>
      <c r="G336">
        <v>16</v>
      </c>
      <c r="H336" t="s">
        <v>68</v>
      </c>
      <c r="I336" t="s">
        <v>77</v>
      </c>
      <c r="J336" t="s">
        <v>138</v>
      </c>
      <c r="K336">
        <v>1747</v>
      </c>
      <c r="L336" t="s">
        <v>2346</v>
      </c>
      <c r="M336">
        <v>2259</v>
      </c>
      <c r="N336">
        <v>77.3</v>
      </c>
      <c r="O336">
        <v>24</v>
      </c>
    </row>
    <row r="337" spans="1:15" ht="15.75" customHeight="1">
      <c r="A337">
        <v>15</v>
      </c>
      <c r="B337" t="s">
        <v>2140</v>
      </c>
      <c r="C337">
        <v>2009</v>
      </c>
      <c r="D337">
        <v>22</v>
      </c>
      <c r="E337">
        <v>5</v>
      </c>
      <c r="F337">
        <v>1</v>
      </c>
      <c r="G337">
        <v>16</v>
      </c>
      <c r="H337" s="30">
        <v>39814</v>
      </c>
      <c r="I337" t="s">
        <v>68</v>
      </c>
      <c r="J337" t="s">
        <v>2347</v>
      </c>
      <c r="K337">
        <v>1774</v>
      </c>
      <c r="L337" t="s">
        <v>2348</v>
      </c>
      <c r="M337">
        <v>2388</v>
      </c>
      <c r="N337">
        <v>74.3</v>
      </c>
      <c r="O337">
        <v>22</v>
      </c>
    </row>
    <row r="338" spans="1:15" ht="15.75" customHeight="1">
      <c r="A338">
        <v>16</v>
      </c>
      <c r="B338" t="s">
        <v>2166</v>
      </c>
      <c r="C338">
        <v>2009</v>
      </c>
      <c r="D338">
        <v>22</v>
      </c>
      <c r="E338">
        <v>4</v>
      </c>
      <c r="G338">
        <v>18</v>
      </c>
      <c r="H338" t="s">
        <v>178</v>
      </c>
      <c r="I338" t="s">
        <v>96</v>
      </c>
      <c r="J338" t="s">
        <v>2349</v>
      </c>
      <c r="K338">
        <v>1706</v>
      </c>
      <c r="L338" t="s">
        <v>2350</v>
      </c>
      <c r="M338">
        <v>2285</v>
      </c>
      <c r="N338">
        <v>74.7</v>
      </c>
      <c r="O338">
        <v>16</v>
      </c>
    </row>
    <row r="340" spans="1:15" ht="15.75" customHeight="1">
      <c r="A340" t="s">
        <v>2105</v>
      </c>
      <c r="B340" t="s">
        <v>2106</v>
      </c>
      <c r="C340" s="31" t="s">
        <v>2</v>
      </c>
      <c r="D340" t="s">
        <v>2107</v>
      </c>
      <c r="E340" t="s">
        <v>2108</v>
      </c>
      <c r="F340" t="s">
        <v>2109</v>
      </c>
      <c r="G340" t="s">
        <v>2110</v>
      </c>
      <c r="H340" t="s">
        <v>2111</v>
      </c>
      <c r="I340" t="s">
        <v>2112</v>
      </c>
      <c r="J340" t="s">
        <v>2113</v>
      </c>
      <c r="K340" t="s">
        <v>2114</v>
      </c>
      <c r="L340" t="s">
        <v>2115</v>
      </c>
      <c r="M340" t="s">
        <v>2116</v>
      </c>
      <c r="N340" t="s">
        <v>2117</v>
      </c>
      <c r="O340" t="s">
        <v>2118</v>
      </c>
    </row>
    <row r="341" spans="1:15" ht="15.75" customHeight="1">
      <c r="A341">
        <v>1</v>
      </c>
      <c r="B341" t="s">
        <v>2125</v>
      </c>
      <c r="C341">
        <v>2008</v>
      </c>
      <c r="D341">
        <v>22</v>
      </c>
      <c r="E341">
        <v>21</v>
      </c>
      <c r="G341">
        <v>1</v>
      </c>
      <c r="H341" t="s">
        <v>566</v>
      </c>
      <c r="I341" t="s">
        <v>52</v>
      </c>
      <c r="J341" t="s">
        <v>2351</v>
      </c>
      <c r="K341">
        <v>2672</v>
      </c>
      <c r="L341" t="s">
        <v>650</v>
      </c>
      <c r="M341">
        <v>1651</v>
      </c>
      <c r="N341">
        <v>161.80000000000001</v>
      </c>
      <c r="O341">
        <v>84</v>
      </c>
    </row>
    <row r="342" spans="1:15" ht="15.75" customHeight="1">
      <c r="A342">
        <v>2</v>
      </c>
      <c r="B342" t="s">
        <v>2122</v>
      </c>
      <c r="C342">
        <v>2008</v>
      </c>
      <c r="D342">
        <v>22</v>
      </c>
      <c r="E342">
        <v>17</v>
      </c>
      <c r="G342">
        <v>5</v>
      </c>
      <c r="H342" t="s">
        <v>38</v>
      </c>
      <c r="I342" t="s">
        <v>23</v>
      </c>
      <c r="J342" t="s">
        <v>2352</v>
      </c>
      <c r="K342">
        <v>2434</v>
      </c>
      <c r="L342" t="s">
        <v>2353</v>
      </c>
      <c r="M342">
        <v>1846</v>
      </c>
      <c r="N342">
        <v>131.9</v>
      </c>
      <c r="O342">
        <v>68</v>
      </c>
    </row>
    <row r="343" spans="1:15" ht="15.75" customHeight="1">
      <c r="A343">
        <v>3</v>
      </c>
      <c r="B343" t="s">
        <v>2157</v>
      </c>
      <c r="C343">
        <v>2008</v>
      </c>
      <c r="D343">
        <v>22</v>
      </c>
      <c r="E343">
        <v>15</v>
      </c>
      <c r="F343">
        <v>1</v>
      </c>
      <c r="G343">
        <v>6</v>
      </c>
      <c r="H343" s="30">
        <v>37469</v>
      </c>
      <c r="I343" t="s">
        <v>18</v>
      </c>
      <c r="J343" t="s">
        <v>2354</v>
      </c>
      <c r="K343">
        <v>2506</v>
      </c>
      <c r="L343" t="s">
        <v>2355</v>
      </c>
      <c r="M343">
        <v>2112</v>
      </c>
      <c r="N343">
        <v>118.7</v>
      </c>
      <c r="O343">
        <v>62</v>
      </c>
    </row>
    <row r="344" spans="1:15" ht="15.75" customHeight="1">
      <c r="A344">
        <v>4</v>
      </c>
      <c r="B344" t="s">
        <v>2169</v>
      </c>
      <c r="C344">
        <v>2008</v>
      </c>
      <c r="D344">
        <v>22</v>
      </c>
      <c r="E344">
        <v>13</v>
      </c>
      <c r="G344">
        <v>9</v>
      </c>
      <c r="H344" t="s">
        <v>38</v>
      </c>
      <c r="I344" t="s">
        <v>63</v>
      </c>
      <c r="J344" t="s">
        <v>2356</v>
      </c>
      <c r="K344">
        <v>2126</v>
      </c>
      <c r="L344" t="s">
        <v>2357</v>
      </c>
      <c r="M344">
        <v>1923</v>
      </c>
      <c r="N344">
        <v>110.6</v>
      </c>
      <c r="O344">
        <v>52</v>
      </c>
    </row>
    <row r="345" spans="1:15" ht="15.75" customHeight="1">
      <c r="A345">
        <v>5</v>
      </c>
      <c r="B345" t="s">
        <v>2145</v>
      </c>
      <c r="C345">
        <v>2008</v>
      </c>
      <c r="D345">
        <v>22</v>
      </c>
      <c r="E345">
        <v>13</v>
      </c>
      <c r="G345">
        <v>9</v>
      </c>
      <c r="H345" t="s">
        <v>23</v>
      </c>
      <c r="I345" t="s">
        <v>68</v>
      </c>
      <c r="J345" t="s">
        <v>2358</v>
      </c>
      <c r="K345">
        <v>2017</v>
      </c>
      <c r="L345" t="s">
        <v>2359</v>
      </c>
      <c r="M345">
        <v>1838</v>
      </c>
      <c r="N345">
        <v>109.7</v>
      </c>
      <c r="O345">
        <v>52</v>
      </c>
    </row>
    <row r="346" spans="1:15" ht="15.75" customHeight="1">
      <c r="A346">
        <v>6</v>
      </c>
      <c r="B346" t="s">
        <v>2119</v>
      </c>
      <c r="C346">
        <v>2008</v>
      </c>
      <c r="D346">
        <v>22</v>
      </c>
      <c r="E346">
        <v>12</v>
      </c>
      <c r="F346">
        <v>1</v>
      </c>
      <c r="G346">
        <v>9</v>
      </c>
      <c r="H346" t="s">
        <v>18</v>
      </c>
      <c r="I346" s="30">
        <v>38473</v>
      </c>
      <c r="J346" t="s">
        <v>2360</v>
      </c>
      <c r="K346">
        <v>2095</v>
      </c>
      <c r="L346" t="s">
        <v>2361</v>
      </c>
      <c r="M346">
        <v>1863</v>
      </c>
      <c r="N346">
        <v>112.5</v>
      </c>
      <c r="O346">
        <v>50</v>
      </c>
    </row>
    <row r="347" spans="1:15" ht="15.75" customHeight="1">
      <c r="A347">
        <v>7</v>
      </c>
      <c r="B347" t="s">
        <v>2134</v>
      </c>
      <c r="C347">
        <v>2008</v>
      </c>
      <c r="D347">
        <v>22</v>
      </c>
      <c r="E347">
        <v>12</v>
      </c>
      <c r="F347">
        <v>1</v>
      </c>
      <c r="G347">
        <v>9</v>
      </c>
      <c r="H347" s="30">
        <v>38473</v>
      </c>
      <c r="I347" t="s">
        <v>18</v>
      </c>
      <c r="J347" t="s">
        <v>2362</v>
      </c>
      <c r="K347">
        <v>2121</v>
      </c>
      <c r="L347" t="s">
        <v>2363</v>
      </c>
      <c r="M347">
        <v>2187</v>
      </c>
      <c r="N347">
        <v>97</v>
      </c>
      <c r="O347">
        <v>50</v>
      </c>
    </row>
    <row r="348" spans="1:15" ht="15.75" customHeight="1">
      <c r="A348">
        <v>8</v>
      </c>
      <c r="B348" t="s">
        <v>2148</v>
      </c>
      <c r="C348">
        <v>2008</v>
      </c>
      <c r="D348">
        <v>22</v>
      </c>
      <c r="E348">
        <v>12</v>
      </c>
      <c r="G348">
        <v>10</v>
      </c>
      <c r="H348" t="s">
        <v>18</v>
      </c>
      <c r="I348" t="s">
        <v>63</v>
      </c>
      <c r="J348" t="s">
        <v>2364</v>
      </c>
      <c r="K348">
        <v>2267</v>
      </c>
      <c r="L348" t="s">
        <v>2365</v>
      </c>
      <c r="M348">
        <v>2038</v>
      </c>
      <c r="N348">
        <v>111.2</v>
      </c>
      <c r="O348">
        <v>48</v>
      </c>
    </row>
    <row r="349" spans="1:15" ht="15.75" customHeight="1">
      <c r="A349">
        <v>9</v>
      </c>
      <c r="B349" t="s">
        <v>2140</v>
      </c>
      <c r="C349">
        <v>2008</v>
      </c>
      <c r="D349">
        <v>22</v>
      </c>
      <c r="E349">
        <v>11</v>
      </c>
      <c r="F349">
        <v>1</v>
      </c>
      <c r="G349">
        <v>10</v>
      </c>
      <c r="H349" t="s">
        <v>63</v>
      </c>
      <c r="I349" s="30">
        <v>38139</v>
      </c>
      <c r="J349" t="s">
        <v>2366</v>
      </c>
      <c r="K349">
        <v>2228</v>
      </c>
      <c r="L349" t="s">
        <v>2367</v>
      </c>
      <c r="M349">
        <v>2288</v>
      </c>
      <c r="N349">
        <v>97.4</v>
      </c>
      <c r="O349">
        <v>46</v>
      </c>
    </row>
    <row r="350" spans="1:15" ht="15.75" customHeight="1">
      <c r="A350">
        <v>10</v>
      </c>
      <c r="B350" t="s">
        <v>2160</v>
      </c>
      <c r="C350">
        <v>2008</v>
      </c>
      <c r="D350">
        <v>22</v>
      </c>
      <c r="E350">
        <v>10</v>
      </c>
      <c r="G350">
        <v>12</v>
      </c>
      <c r="H350" t="s">
        <v>38</v>
      </c>
      <c r="I350" t="s">
        <v>77</v>
      </c>
      <c r="J350" t="s">
        <v>2368</v>
      </c>
      <c r="K350">
        <v>2156</v>
      </c>
      <c r="L350" t="s">
        <v>2369</v>
      </c>
      <c r="M350">
        <v>2200</v>
      </c>
      <c r="N350">
        <v>98</v>
      </c>
      <c r="O350">
        <v>40</v>
      </c>
    </row>
    <row r="351" spans="1:15" ht="15.75" customHeight="1">
      <c r="A351">
        <v>11</v>
      </c>
      <c r="B351" t="s">
        <v>2154</v>
      </c>
      <c r="C351">
        <v>2008</v>
      </c>
      <c r="D351">
        <v>22</v>
      </c>
      <c r="E351">
        <v>10</v>
      </c>
      <c r="G351">
        <v>12</v>
      </c>
      <c r="H351" t="s">
        <v>178</v>
      </c>
      <c r="I351" t="s">
        <v>18</v>
      </c>
      <c r="J351" t="s">
        <v>2370</v>
      </c>
      <c r="K351">
        <v>2217</v>
      </c>
      <c r="L351" t="s">
        <v>2371</v>
      </c>
      <c r="M351">
        <v>2354</v>
      </c>
      <c r="N351">
        <v>94.2</v>
      </c>
      <c r="O351">
        <v>40</v>
      </c>
    </row>
    <row r="352" spans="1:15" ht="15.75" customHeight="1">
      <c r="A352">
        <v>12</v>
      </c>
      <c r="B352" t="s">
        <v>2137</v>
      </c>
      <c r="C352">
        <v>2008</v>
      </c>
      <c r="D352">
        <v>22</v>
      </c>
      <c r="E352">
        <v>8</v>
      </c>
      <c r="G352">
        <v>14</v>
      </c>
      <c r="H352" t="s">
        <v>63</v>
      </c>
      <c r="I352" t="s">
        <v>178</v>
      </c>
      <c r="J352" t="s">
        <v>2372</v>
      </c>
      <c r="K352">
        <v>2130</v>
      </c>
      <c r="L352" t="s">
        <v>2373</v>
      </c>
      <c r="M352">
        <v>2608</v>
      </c>
      <c r="N352">
        <v>81.7</v>
      </c>
      <c r="O352">
        <v>32</v>
      </c>
    </row>
    <row r="353" spans="1:15" ht="15.75" customHeight="1">
      <c r="A353">
        <v>13</v>
      </c>
      <c r="B353" t="s">
        <v>2131</v>
      </c>
      <c r="C353">
        <v>2008</v>
      </c>
      <c r="D353">
        <v>22</v>
      </c>
      <c r="E353">
        <v>7</v>
      </c>
      <c r="G353">
        <v>15</v>
      </c>
      <c r="H353" t="s">
        <v>178</v>
      </c>
      <c r="I353" t="s">
        <v>68</v>
      </c>
      <c r="J353" t="s">
        <v>2374</v>
      </c>
      <c r="K353">
        <v>2118</v>
      </c>
      <c r="L353" t="s">
        <v>2375</v>
      </c>
      <c r="M353">
        <v>2208</v>
      </c>
      <c r="N353">
        <v>95.9</v>
      </c>
      <c r="O353">
        <v>28</v>
      </c>
    </row>
    <row r="354" spans="1:15" ht="15.75" customHeight="1">
      <c r="A354">
        <v>14</v>
      </c>
      <c r="B354" t="s">
        <v>2128</v>
      </c>
      <c r="C354">
        <v>2008</v>
      </c>
      <c r="D354">
        <v>22</v>
      </c>
      <c r="E354">
        <v>6</v>
      </c>
      <c r="G354">
        <v>16</v>
      </c>
      <c r="H354" t="s">
        <v>68</v>
      </c>
      <c r="I354" t="s">
        <v>77</v>
      </c>
      <c r="J354" t="s">
        <v>2376</v>
      </c>
      <c r="K354">
        <v>1988</v>
      </c>
      <c r="L354" t="s">
        <v>2362</v>
      </c>
      <c r="M354">
        <v>2121</v>
      </c>
      <c r="N354">
        <v>93.7</v>
      </c>
      <c r="O354">
        <v>24</v>
      </c>
    </row>
    <row r="355" spans="1:15" ht="15.75" customHeight="1">
      <c r="A355">
        <v>15</v>
      </c>
      <c r="B355" t="s">
        <v>2143</v>
      </c>
      <c r="C355">
        <v>2008</v>
      </c>
      <c r="D355">
        <v>22</v>
      </c>
      <c r="E355">
        <v>4</v>
      </c>
      <c r="G355">
        <v>18</v>
      </c>
      <c r="H355" t="s">
        <v>68</v>
      </c>
      <c r="I355" t="s">
        <v>330</v>
      </c>
      <c r="J355" t="s">
        <v>2377</v>
      </c>
      <c r="K355">
        <v>1670</v>
      </c>
      <c r="L355" t="s">
        <v>2378</v>
      </c>
      <c r="M355">
        <v>2535</v>
      </c>
      <c r="N355">
        <v>65.900000000000006</v>
      </c>
      <c r="O355">
        <v>16</v>
      </c>
    </row>
    <row r="356" spans="1:15" ht="15.75" customHeight="1">
      <c r="A356">
        <v>16</v>
      </c>
      <c r="B356" t="s">
        <v>2166</v>
      </c>
      <c r="C356">
        <v>2008</v>
      </c>
      <c r="D356">
        <v>22</v>
      </c>
      <c r="E356">
        <v>3</v>
      </c>
      <c r="G356">
        <v>19</v>
      </c>
      <c r="H356" t="s">
        <v>178</v>
      </c>
      <c r="I356" t="s">
        <v>330</v>
      </c>
      <c r="J356" t="s">
        <v>2213</v>
      </c>
      <c r="K356">
        <v>1629</v>
      </c>
      <c r="L356" t="s">
        <v>2379</v>
      </c>
      <c r="M356">
        <v>2602</v>
      </c>
      <c r="N356">
        <v>62.6</v>
      </c>
      <c r="O356">
        <v>12</v>
      </c>
    </row>
    <row r="359" spans="1:15" ht="15.75" customHeight="1">
      <c r="A359" t="s">
        <v>2105</v>
      </c>
      <c r="B359" t="s">
        <v>2106</v>
      </c>
      <c r="C359" s="31" t="s">
        <v>2</v>
      </c>
      <c r="D359" t="s">
        <v>2107</v>
      </c>
      <c r="E359" t="s">
        <v>2108</v>
      </c>
      <c r="F359" t="s">
        <v>2109</v>
      </c>
      <c r="G359" t="s">
        <v>2110</v>
      </c>
      <c r="H359" t="s">
        <v>2111</v>
      </c>
      <c r="I359" t="s">
        <v>2112</v>
      </c>
      <c r="J359" t="s">
        <v>2113</v>
      </c>
      <c r="K359" t="s">
        <v>2114</v>
      </c>
      <c r="L359" t="s">
        <v>2115</v>
      </c>
      <c r="M359" t="s">
        <v>2116</v>
      </c>
      <c r="N359" t="s">
        <v>2117</v>
      </c>
      <c r="O359" t="s">
        <v>2118</v>
      </c>
    </row>
    <row r="360" spans="1:15" ht="15.75" customHeight="1">
      <c r="A360">
        <v>1</v>
      </c>
      <c r="B360" t="s">
        <v>2125</v>
      </c>
      <c r="C360">
        <v>2007</v>
      </c>
      <c r="D360">
        <v>22</v>
      </c>
      <c r="E360">
        <v>18</v>
      </c>
      <c r="G360">
        <v>4</v>
      </c>
      <c r="H360" t="s">
        <v>23</v>
      </c>
      <c r="I360" t="s">
        <v>23</v>
      </c>
      <c r="J360" t="s">
        <v>2380</v>
      </c>
      <c r="K360">
        <v>2542</v>
      </c>
      <c r="L360" t="s">
        <v>2381</v>
      </c>
      <c r="M360">
        <v>1664</v>
      </c>
      <c r="N360">
        <v>152.80000000000001</v>
      </c>
      <c r="O360">
        <v>72</v>
      </c>
    </row>
    <row r="361" spans="1:15" ht="15.75" customHeight="1">
      <c r="A361">
        <v>2</v>
      </c>
      <c r="B361" t="s">
        <v>2131</v>
      </c>
      <c r="C361">
        <v>2007</v>
      </c>
      <c r="D361">
        <v>22</v>
      </c>
      <c r="E361">
        <v>15</v>
      </c>
      <c r="G361">
        <v>7</v>
      </c>
      <c r="H361" t="s">
        <v>38</v>
      </c>
      <c r="I361" t="s">
        <v>18</v>
      </c>
      <c r="J361" t="s">
        <v>2382</v>
      </c>
      <c r="K361">
        <v>2314</v>
      </c>
      <c r="L361" t="s">
        <v>2197</v>
      </c>
      <c r="M361">
        <v>2038</v>
      </c>
      <c r="N361">
        <v>113.5</v>
      </c>
      <c r="O361">
        <v>60</v>
      </c>
    </row>
    <row r="362" spans="1:15" ht="15.75" customHeight="1">
      <c r="A362">
        <v>3</v>
      </c>
      <c r="B362" t="s">
        <v>2143</v>
      </c>
      <c r="C362">
        <v>2007</v>
      </c>
      <c r="D362">
        <v>22</v>
      </c>
      <c r="E362">
        <v>15</v>
      </c>
      <c r="G362">
        <v>7</v>
      </c>
      <c r="H362" t="s">
        <v>38</v>
      </c>
      <c r="I362" t="s">
        <v>18</v>
      </c>
      <c r="J362" t="s">
        <v>2383</v>
      </c>
      <c r="K362">
        <v>2162</v>
      </c>
      <c r="L362" t="s">
        <v>2384</v>
      </c>
      <c r="M362">
        <v>1935</v>
      </c>
      <c r="N362">
        <v>111.7</v>
      </c>
      <c r="O362">
        <v>60</v>
      </c>
    </row>
    <row r="363" spans="1:15" ht="15.75" customHeight="1">
      <c r="A363">
        <v>4</v>
      </c>
      <c r="B363" t="s">
        <v>2385</v>
      </c>
      <c r="C363">
        <v>2007</v>
      </c>
      <c r="D363">
        <v>22</v>
      </c>
      <c r="E363">
        <v>14</v>
      </c>
      <c r="G363">
        <v>8</v>
      </c>
      <c r="H363" t="s">
        <v>149</v>
      </c>
      <c r="I363" t="s">
        <v>38</v>
      </c>
      <c r="J363" t="s">
        <v>2386</v>
      </c>
      <c r="K363">
        <v>2183</v>
      </c>
      <c r="L363" t="s">
        <v>2387</v>
      </c>
      <c r="M363">
        <v>1998</v>
      </c>
      <c r="N363">
        <v>109.3</v>
      </c>
      <c r="O363">
        <v>56</v>
      </c>
    </row>
    <row r="364" spans="1:15" ht="15.75" customHeight="1">
      <c r="A364">
        <v>5</v>
      </c>
      <c r="B364" t="s">
        <v>2122</v>
      </c>
      <c r="C364">
        <v>2007</v>
      </c>
      <c r="D364">
        <v>22</v>
      </c>
      <c r="E364">
        <v>13</v>
      </c>
      <c r="G364">
        <v>9</v>
      </c>
      <c r="H364" t="s">
        <v>18</v>
      </c>
      <c r="I364" t="s">
        <v>149</v>
      </c>
      <c r="J364" t="s">
        <v>2223</v>
      </c>
      <c r="K364">
        <v>2097</v>
      </c>
      <c r="L364" t="s">
        <v>2388</v>
      </c>
      <c r="M364">
        <v>1855</v>
      </c>
      <c r="N364">
        <v>113</v>
      </c>
      <c r="O364">
        <v>52</v>
      </c>
    </row>
    <row r="365" spans="1:15" ht="15.75" customHeight="1">
      <c r="A365">
        <v>6</v>
      </c>
      <c r="B365" t="s">
        <v>2148</v>
      </c>
      <c r="C365">
        <v>2007</v>
      </c>
      <c r="D365">
        <v>22</v>
      </c>
      <c r="E365">
        <v>13</v>
      </c>
      <c r="G365">
        <v>9</v>
      </c>
      <c r="H365" t="s">
        <v>18</v>
      </c>
      <c r="I365" t="s">
        <v>149</v>
      </c>
      <c r="J365" t="s">
        <v>125</v>
      </c>
      <c r="K365">
        <v>2011</v>
      </c>
      <c r="L365" t="s">
        <v>2389</v>
      </c>
      <c r="M365">
        <v>1992</v>
      </c>
      <c r="N365">
        <v>101</v>
      </c>
      <c r="O365">
        <v>52</v>
      </c>
    </row>
    <row r="366" spans="1:15" ht="15.75" customHeight="1">
      <c r="A366">
        <v>7</v>
      </c>
      <c r="B366" t="s">
        <v>2119</v>
      </c>
      <c r="C366">
        <v>2007</v>
      </c>
      <c r="D366">
        <v>22</v>
      </c>
      <c r="E366">
        <v>12</v>
      </c>
      <c r="F366">
        <v>1</v>
      </c>
      <c r="G366">
        <v>9</v>
      </c>
      <c r="H366" t="s">
        <v>38</v>
      </c>
      <c r="I366" s="30">
        <v>38808</v>
      </c>
      <c r="J366" t="s">
        <v>2390</v>
      </c>
      <c r="K366">
        <v>2031</v>
      </c>
      <c r="L366" t="s">
        <v>2391</v>
      </c>
      <c r="M366">
        <v>1698</v>
      </c>
      <c r="N366">
        <v>119.6</v>
      </c>
      <c r="O366">
        <v>50</v>
      </c>
    </row>
    <row r="367" spans="1:15" ht="15.75" customHeight="1">
      <c r="A367">
        <v>8</v>
      </c>
      <c r="B367" t="s">
        <v>2145</v>
      </c>
      <c r="C367">
        <v>2007</v>
      </c>
      <c r="D367">
        <v>22</v>
      </c>
      <c r="E367">
        <v>12</v>
      </c>
      <c r="G367">
        <v>10</v>
      </c>
      <c r="H367" t="s">
        <v>149</v>
      </c>
      <c r="I367" t="s">
        <v>149</v>
      </c>
      <c r="J367" t="s">
        <v>2392</v>
      </c>
      <c r="K367">
        <v>1881</v>
      </c>
      <c r="L367" t="s">
        <v>2393</v>
      </c>
      <c r="M367">
        <v>1712</v>
      </c>
      <c r="N367">
        <v>109.9</v>
      </c>
      <c r="O367">
        <v>48</v>
      </c>
    </row>
    <row r="368" spans="1:15" ht="15.75" customHeight="1">
      <c r="A368">
        <v>9</v>
      </c>
      <c r="B368" t="s">
        <v>2169</v>
      </c>
      <c r="C368">
        <v>2007</v>
      </c>
      <c r="D368">
        <v>22</v>
      </c>
      <c r="E368">
        <v>11</v>
      </c>
      <c r="F368">
        <v>1</v>
      </c>
      <c r="G368">
        <v>10</v>
      </c>
      <c r="H368" t="s">
        <v>18</v>
      </c>
      <c r="I368" s="30">
        <v>38808</v>
      </c>
      <c r="J368" t="s">
        <v>2394</v>
      </c>
      <c r="K368">
        <v>1874</v>
      </c>
      <c r="L368" t="s">
        <v>2395</v>
      </c>
      <c r="M368">
        <v>1941</v>
      </c>
      <c r="N368">
        <v>96.5</v>
      </c>
      <c r="O368">
        <v>46</v>
      </c>
    </row>
    <row r="369" spans="1:15" ht="15.75" customHeight="1">
      <c r="A369">
        <v>10</v>
      </c>
      <c r="B369" t="s">
        <v>2160</v>
      </c>
      <c r="C369">
        <v>2007</v>
      </c>
      <c r="D369">
        <v>22</v>
      </c>
      <c r="E369">
        <v>9</v>
      </c>
      <c r="F369">
        <v>2</v>
      </c>
      <c r="G369">
        <v>11</v>
      </c>
      <c r="H369" s="30">
        <v>38473</v>
      </c>
      <c r="I369" s="30">
        <v>38808</v>
      </c>
      <c r="J369" t="s">
        <v>2396</v>
      </c>
      <c r="K369">
        <v>1986</v>
      </c>
      <c r="L369" t="s">
        <v>2397</v>
      </c>
      <c r="M369">
        <v>1885</v>
      </c>
      <c r="N369">
        <v>105.4</v>
      </c>
      <c r="O369">
        <v>40</v>
      </c>
    </row>
    <row r="370" spans="1:15" ht="15.75" customHeight="1">
      <c r="A370">
        <v>11</v>
      </c>
      <c r="B370" t="s">
        <v>2128</v>
      </c>
      <c r="C370">
        <v>2007</v>
      </c>
      <c r="D370">
        <v>22</v>
      </c>
      <c r="E370">
        <v>10</v>
      </c>
      <c r="G370">
        <v>12</v>
      </c>
      <c r="H370" t="s">
        <v>18</v>
      </c>
      <c r="I370" t="s">
        <v>178</v>
      </c>
      <c r="J370" t="s">
        <v>2398</v>
      </c>
      <c r="K370">
        <v>2254</v>
      </c>
      <c r="L370" t="s">
        <v>2399</v>
      </c>
      <c r="M370">
        <v>2198</v>
      </c>
      <c r="N370">
        <v>102.5</v>
      </c>
      <c r="O370">
        <v>40</v>
      </c>
    </row>
    <row r="371" spans="1:15" ht="15.75" customHeight="1">
      <c r="A371">
        <v>12</v>
      </c>
      <c r="B371" t="s">
        <v>2137</v>
      </c>
      <c r="C371">
        <v>2007</v>
      </c>
      <c r="D371">
        <v>22</v>
      </c>
      <c r="E371">
        <v>10</v>
      </c>
      <c r="G371">
        <v>12</v>
      </c>
      <c r="H371" t="s">
        <v>149</v>
      </c>
      <c r="I371" t="s">
        <v>68</v>
      </c>
      <c r="J371" t="s">
        <v>2400</v>
      </c>
      <c r="K371">
        <v>2184</v>
      </c>
      <c r="L371" t="s">
        <v>2401</v>
      </c>
      <c r="M371">
        <v>2394</v>
      </c>
      <c r="N371">
        <v>91.2</v>
      </c>
      <c r="O371">
        <v>40</v>
      </c>
    </row>
    <row r="372" spans="1:15" ht="15.75" customHeight="1">
      <c r="A372">
        <v>13</v>
      </c>
      <c r="B372" t="s">
        <v>2157</v>
      </c>
      <c r="C372">
        <v>2007</v>
      </c>
      <c r="D372">
        <v>22</v>
      </c>
      <c r="E372">
        <v>9</v>
      </c>
      <c r="F372">
        <v>1</v>
      </c>
      <c r="G372">
        <v>12</v>
      </c>
      <c r="H372" s="30">
        <v>38473</v>
      </c>
      <c r="I372" t="s">
        <v>68</v>
      </c>
      <c r="J372" t="s">
        <v>2402</v>
      </c>
      <c r="K372">
        <v>2111</v>
      </c>
      <c r="L372" t="s">
        <v>2403</v>
      </c>
      <c r="M372">
        <v>2469</v>
      </c>
      <c r="N372">
        <v>85.5</v>
      </c>
      <c r="O372">
        <v>38</v>
      </c>
    </row>
    <row r="373" spans="1:15" ht="15.75" customHeight="1">
      <c r="A373">
        <v>14</v>
      </c>
      <c r="B373" t="s">
        <v>2166</v>
      </c>
      <c r="C373">
        <v>2007</v>
      </c>
      <c r="D373">
        <v>22</v>
      </c>
      <c r="E373">
        <v>5</v>
      </c>
      <c r="G373">
        <v>17</v>
      </c>
      <c r="H373" t="s">
        <v>68</v>
      </c>
      <c r="I373" t="s">
        <v>96</v>
      </c>
      <c r="J373" t="s">
        <v>2334</v>
      </c>
      <c r="K373">
        <v>1890</v>
      </c>
      <c r="L373" t="s">
        <v>2404</v>
      </c>
      <c r="M373">
        <v>2418</v>
      </c>
      <c r="N373">
        <v>78.2</v>
      </c>
      <c r="O373">
        <v>20</v>
      </c>
    </row>
    <row r="374" spans="1:15" ht="15.75" customHeight="1">
      <c r="A374">
        <v>15</v>
      </c>
      <c r="B374" t="s">
        <v>2154</v>
      </c>
      <c r="C374">
        <v>2007</v>
      </c>
      <c r="D374">
        <v>22</v>
      </c>
      <c r="E374">
        <v>4</v>
      </c>
      <c r="G374">
        <v>18</v>
      </c>
      <c r="H374" t="s">
        <v>68</v>
      </c>
      <c r="I374" t="s">
        <v>330</v>
      </c>
      <c r="J374" t="s">
        <v>2405</v>
      </c>
      <c r="K374">
        <v>2167</v>
      </c>
      <c r="L374" t="s">
        <v>2406</v>
      </c>
      <c r="M374">
        <v>2911</v>
      </c>
      <c r="N374">
        <v>74.400000000000006</v>
      </c>
      <c r="O374">
        <v>16</v>
      </c>
    </row>
    <row r="375" spans="1:15" ht="15.75" customHeight="1">
      <c r="A375">
        <v>16</v>
      </c>
      <c r="B375" t="s">
        <v>2140</v>
      </c>
      <c r="C375">
        <v>2007</v>
      </c>
      <c r="D375">
        <v>22</v>
      </c>
      <c r="E375">
        <v>3</v>
      </c>
      <c r="F375">
        <v>1</v>
      </c>
      <c r="G375">
        <v>18</v>
      </c>
      <c r="H375" s="30">
        <v>39479</v>
      </c>
      <c r="I375" t="s">
        <v>96</v>
      </c>
      <c r="J375" t="s">
        <v>2407</v>
      </c>
      <c r="K375">
        <v>1958</v>
      </c>
      <c r="L375" t="s">
        <v>2408</v>
      </c>
      <c r="M375">
        <v>2537</v>
      </c>
      <c r="N375">
        <v>77.2</v>
      </c>
      <c r="O375">
        <v>14</v>
      </c>
    </row>
    <row r="377" spans="1:15" ht="15.75" customHeight="1">
      <c r="A377" t="s">
        <v>2105</v>
      </c>
      <c r="B377" t="s">
        <v>2106</v>
      </c>
      <c r="C377" s="31" t="s">
        <v>2</v>
      </c>
      <c r="D377" t="s">
        <v>2107</v>
      </c>
      <c r="E377" t="s">
        <v>2108</v>
      </c>
      <c r="F377" t="s">
        <v>2109</v>
      </c>
      <c r="G377" t="s">
        <v>2110</v>
      </c>
      <c r="H377" t="s">
        <v>2111</v>
      </c>
      <c r="I377" t="s">
        <v>2112</v>
      </c>
      <c r="J377" t="s">
        <v>2113</v>
      </c>
      <c r="K377" t="s">
        <v>2114</v>
      </c>
      <c r="L377" t="s">
        <v>2115</v>
      </c>
      <c r="M377" t="s">
        <v>2116</v>
      </c>
      <c r="N377" t="s">
        <v>2117</v>
      </c>
      <c r="O377" t="s">
        <v>2118</v>
      </c>
    </row>
    <row r="378" spans="1:15" ht="15.75" customHeight="1">
      <c r="A378">
        <v>1</v>
      </c>
      <c r="B378" t="s">
        <v>2143</v>
      </c>
      <c r="C378">
        <v>2006</v>
      </c>
      <c r="D378">
        <v>22</v>
      </c>
      <c r="E378">
        <v>17</v>
      </c>
      <c r="G378">
        <v>5</v>
      </c>
      <c r="H378" t="s">
        <v>23</v>
      </c>
      <c r="I378" t="s">
        <v>38</v>
      </c>
      <c r="J378" t="s">
        <v>2409</v>
      </c>
      <c r="K378">
        <v>2257</v>
      </c>
      <c r="L378" t="s">
        <v>2410</v>
      </c>
      <c r="M378">
        <v>1874</v>
      </c>
      <c r="N378">
        <v>120.4</v>
      </c>
      <c r="O378">
        <v>68</v>
      </c>
    </row>
    <row r="379" spans="1:15" ht="15.75" customHeight="1">
      <c r="A379">
        <v>2</v>
      </c>
      <c r="B379" t="s">
        <v>2145</v>
      </c>
      <c r="C379">
        <v>2006</v>
      </c>
      <c r="D379">
        <v>22</v>
      </c>
      <c r="E379">
        <v>16</v>
      </c>
      <c r="G379">
        <v>6</v>
      </c>
      <c r="H379" t="s">
        <v>23</v>
      </c>
      <c r="I379" t="s">
        <v>18</v>
      </c>
      <c r="J379" t="s">
        <v>2411</v>
      </c>
      <c r="K379">
        <v>2331</v>
      </c>
      <c r="L379" t="s">
        <v>2412</v>
      </c>
      <c r="M379">
        <v>1640</v>
      </c>
      <c r="N379">
        <v>142.1</v>
      </c>
      <c r="O379">
        <v>64</v>
      </c>
    </row>
    <row r="380" spans="1:15" ht="15.75" customHeight="1">
      <c r="A380">
        <v>3</v>
      </c>
      <c r="B380" t="s">
        <v>2128</v>
      </c>
      <c r="C380">
        <v>2006</v>
      </c>
      <c r="D380">
        <v>22</v>
      </c>
      <c r="E380">
        <v>15</v>
      </c>
      <c r="G380">
        <v>7</v>
      </c>
      <c r="H380" t="s">
        <v>23</v>
      </c>
      <c r="I380" t="s">
        <v>149</v>
      </c>
      <c r="J380" t="s">
        <v>2413</v>
      </c>
      <c r="K380">
        <v>2079</v>
      </c>
      <c r="L380" t="s">
        <v>2414</v>
      </c>
      <c r="M380">
        <v>1893</v>
      </c>
      <c r="N380">
        <v>109.8</v>
      </c>
      <c r="O380">
        <v>60</v>
      </c>
    </row>
    <row r="381" spans="1:15" ht="15.75" customHeight="1">
      <c r="A381">
        <v>4</v>
      </c>
      <c r="B381" t="s">
        <v>2119</v>
      </c>
      <c r="C381">
        <v>2006</v>
      </c>
      <c r="D381">
        <v>22</v>
      </c>
      <c r="E381">
        <v>14</v>
      </c>
      <c r="G381">
        <v>8</v>
      </c>
      <c r="H381" t="s">
        <v>149</v>
      </c>
      <c r="I381" t="s">
        <v>38</v>
      </c>
      <c r="J381" t="s">
        <v>2415</v>
      </c>
      <c r="K381">
        <v>2098</v>
      </c>
      <c r="L381" t="s">
        <v>2416</v>
      </c>
      <c r="M381">
        <v>1630</v>
      </c>
      <c r="N381">
        <v>128.69999999999999</v>
      </c>
      <c r="O381">
        <v>56</v>
      </c>
    </row>
    <row r="382" spans="1:15" ht="15.75" customHeight="1">
      <c r="A382">
        <v>5</v>
      </c>
      <c r="B382" t="s">
        <v>2148</v>
      </c>
      <c r="C382">
        <v>2006</v>
      </c>
      <c r="D382">
        <v>22</v>
      </c>
      <c r="E382">
        <v>14</v>
      </c>
      <c r="G382">
        <v>8</v>
      </c>
      <c r="H382" t="s">
        <v>23</v>
      </c>
      <c r="I382" t="s">
        <v>63</v>
      </c>
      <c r="J382" t="s">
        <v>2417</v>
      </c>
      <c r="K382">
        <v>2345</v>
      </c>
      <c r="L382" t="s">
        <v>2418</v>
      </c>
      <c r="M382">
        <v>1965</v>
      </c>
      <c r="N382">
        <v>119.3</v>
      </c>
      <c r="O382">
        <v>56</v>
      </c>
    </row>
    <row r="383" spans="1:15" ht="15.75" customHeight="1">
      <c r="A383">
        <v>6</v>
      </c>
      <c r="B383" t="s">
        <v>2169</v>
      </c>
      <c r="C383">
        <v>2006</v>
      </c>
      <c r="D383">
        <v>22</v>
      </c>
      <c r="E383">
        <v>14</v>
      </c>
      <c r="G383">
        <v>8</v>
      </c>
      <c r="H383" t="s">
        <v>18</v>
      </c>
      <c r="I383" t="s">
        <v>18</v>
      </c>
      <c r="J383" t="s">
        <v>2419</v>
      </c>
      <c r="K383">
        <v>2074</v>
      </c>
      <c r="L383" t="s">
        <v>2420</v>
      </c>
      <c r="M383">
        <v>1752</v>
      </c>
      <c r="N383">
        <v>118.4</v>
      </c>
      <c r="O383">
        <v>56</v>
      </c>
    </row>
    <row r="384" spans="1:15" ht="15.75" customHeight="1">
      <c r="A384">
        <v>7</v>
      </c>
      <c r="B384" t="s">
        <v>2166</v>
      </c>
      <c r="C384">
        <v>2006</v>
      </c>
      <c r="D384">
        <v>22</v>
      </c>
      <c r="E384">
        <v>13</v>
      </c>
      <c r="F384">
        <v>1</v>
      </c>
      <c r="G384">
        <v>8</v>
      </c>
      <c r="H384" t="s">
        <v>38</v>
      </c>
      <c r="I384" s="30">
        <v>38473</v>
      </c>
      <c r="J384" t="s">
        <v>2421</v>
      </c>
      <c r="K384">
        <v>2146</v>
      </c>
      <c r="L384" t="s">
        <v>2422</v>
      </c>
      <c r="M384">
        <v>1957</v>
      </c>
      <c r="N384">
        <v>109.7</v>
      </c>
      <c r="O384">
        <v>54</v>
      </c>
    </row>
    <row r="385" spans="1:15" ht="15.75" customHeight="1">
      <c r="A385">
        <v>8</v>
      </c>
      <c r="B385" t="s">
        <v>2157</v>
      </c>
      <c r="C385">
        <v>2006</v>
      </c>
      <c r="D385">
        <v>22</v>
      </c>
      <c r="E385">
        <v>13</v>
      </c>
      <c r="G385">
        <v>9</v>
      </c>
      <c r="H385" t="s">
        <v>18</v>
      </c>
      <c r="I385" t="s">
        <v>149</v>
      </c>
      <c r="J385" t="s">
        <v>2423</v>
      </c>
      <c r="K385">
        <v>2311</v>
      </c>
      <c r="L385" t="s">
        <v>2424</v>
      </c>
      <c r="M385">
        <v>2173</v>
      </c>
      <c r="N385">
        <v>106.4</v>
      </c>
      <c r="O385">
        <v>52</v>
      </c>
    </row>
    <row r="386" spans="1:15" ht="15.75" customHeight="1">
      <c r="A386">
        <v>9</v>
      </c>
      <c r="B386" t="s">
        <v>2140</v>
      </c>
      <c r="C386">
        <v>2006</v>
      </c>
      <c r="D386">
        <v>22</v>
      </c>
      <c r="E386">
        <v>11</v>
      </c>
      <c r="G386">
        <v>11</v>
      </c>
      <c r="H386" t="s">
        <v>149</v>
      </c>
      <c r="I386" t="s">
        <v>63</v>
      </c>
      <c r="J386" t="s">
        <v>2425</v>
      </c>
      <c r="K386">
        <v>1934</v>
      </c>
      <c r="L386" t="s">
        <v>2426</v>
      </c>
      <c r="M386">
        <v>2245</v>
      </c>
      <c r="N386">
        <v>86.1</v>
      </c>
      <c r="O386">
        <v>44</v>
      </c>
    </row>
    <row r="387" spans="1:15" ht="15.75" customHeight="1">
      <c r="A387">
        <v>10</v>
      </c>
      <c r="B387" t="s">
        <v>2125</v>
      </c>
      <c r="C387">
        <v>2006</v>
      </c>
      <c r="D387">
        <v>22</v>
      </c>
      <c r="E387">
        <v>10</v>
      </c>
      <c r="F387">
        <v>1</v>
      </c>
      <c r="G387">
        <v>11</v>
      </c>
      <c r="H387" s="30">
        <v>38139</v>
      </c>
      <c r="I387" t="s">
        <v>68</v>
      </c>
      <c r="J387" t="s">
        <v>2427</v>
      </c>
      <c r="K387">
        <v>1982</v>
      </c>
      <c r="L387" t="s">
        <v>2428</v>
      </c>
      <c r="M387">
        <v>2002</v>
      </c>
      <c r="N387">
        <v>99</v>
      </c>
      <c r="O387">
        <v>42</v>
      </c>
    </row>
    <row r="388" spans="1:15" ht="15.75" customHeight="1">
      <c r="A388">
        <v>11</v>
      </c>
      <c r="B388" t="s">
        <v>2122</v>
      </c>
      <c r="C388">
        <v>2006</v>
      </c>
      <c r="D388">
        <v>22</v>
      </c>
      <c r="E388">
        <v>9</v>
      </c>
      <c r="G388">
        <v>13</v>
      </c>
      <c r="H388" t="s">
        <v>149</v>
      </c>
      <c r="I388" t="s">
        <v>178</v>
      </c>
      <c r="J388" t="s">
        <v>2429</v>
      </c>
      <c r="K388">
        <v>1834</v>
      </c>
      <c r="L388" t="s">
        <v>2430</v>
      </c>
      <c r="M388">
        <v>2140</v>
      </c>
      <c r="N388">
        <v>85.7</v>
      </c>
      <c r="O388">
        <v>36</v>
      </c>
    </row>
    <row r="389" spans="1:15" ht="15.75" customHeight="1">
      <c r="A389">
        <v>12</v>
      </c>
      <c r="B389" t="s">
        <v>2131</v>
      </c>
      <c r="C389">
        <v>2006</v>
      </c>
      <c r="D389">
        <v>22</v>
      </c>
      <c r="E389">
        <v>8</v>
      </c>
      <c r="G389">
        <v>14</v>
      </c>
      <c r="H389" t="s">
        <v>68</v>
      </c>
      <c r="I389" t="s">
        <v>68</v>
      </c>
      <c r="J389" t="s">
        <v>2431</v>
      </c>
      <c r="K389">
        <v>1911</v>
      </c>
      <c r="L389" t="s">
        <v>2432</v>
      </c>
      <c r="M389">
        <v>2151</v>
      </c>
      <c r="N389">
        <v>88.8</v>
      </c>
      <c r="O389">
        <v>32</v>
      </c>
    </row>
    <row r="390" spans="1:15" ht="15.75" customHeight="1">
      <c r="A390">
        <v>13</v>
      </c>
      <c r="B390" t="s">
        <v>2160</v>
      </c>
      <c r="C390">
        <v>2006</v>
      </c>
      <c r="D390">
        <v>22</v>
      </c>
      <c r="E390">
        <v>7</v>
      </c>
      <c r="G390">
        <v>15</v>
      </c>
      <c r="H390" t="s">
        <v>68</v>
      </c>
      <c r="I390" t="s">
        <v>178</v>
      </c>
      <c r="J390" t="s">
        <v>2433</v>
      </c>
      <c r="K390">
        <v>1844</v>
      </c>
      <c r="L390" t="s">
        <v>2434</v>
      </c>
      <c r="M390">
        <v>2239</v>
      </c>
      <c r="N390">
        <v>82.4</v>
      </c>
      <c r="O390">
        <v>28</v>
      </c>
    </row>
    <row r="391" spans="1:15" ht="15.75" customHeight="1">
      <c r="A391">
        <v>14</v>
      </c>
      <c r="B391" t="s">
        <v>2385</v>
      </c>
      <c r="C391">
        <v>2006</v>
      </c>
      <c r="D391">
        <v>22</v>
      </c>
      <c r="E391">
        <v>7</v>
      </c>
      <c r="G391">
        <v>15</v>
      </c>
      <c r="H391" t="s">
        <v>63</v>
      </c>
      <c r="I391" t="s">
        <v>77</v>
      </c>
      <c r="J391" t="s">
        <v>2435</v>
      </c>
      <c r="K391">
        <v>1754</v>
      </c>
      <c r="L391" t="s">
        <v>2436</v>
      </c>
      <c r="M391">
        <v>2167</v>
      </c>
      <c r="N391">
        <v>80.900000000000006</v>
      </c>
      <c r="O391">
        <v>28</v>
      </c>
    </row>
    <row r="392" spans="1:15" ht="15.75" customHeight="1">
      <c r="A392">
        <v>15</v>
      </c>
      <c r="B392" t="s">
        <v>2137</v>
      </c>
      <c r="C392">
        <v>2006</v>
      </c>
      <c r="D392">
        <v>22</v>
      </c>
      <c r="E392">
        <v>3</v>
      </c>
      <c r="F392">
        <v>1</v>
      </c>
      <c r="G392">
        <v>18</v>
      </c>
      <c r="H392" s="30">
        <v>39142</v>
      </c>
      <c r="I392" t="s">
        <v>330</v>
      </c>
      <c r="J392" t="s">
        <v>2437</v>
      </c>
      <c r="K392">
        <v>2021</v>
      </c>
      <c r="L392" t="s">
        <v>2438</v>
      </c>
      <c r="M392">
        <v>2469</v>
      </c>
      <c r="N392">
        <v>81.900000000000006</v>
      </c>
      <c r="O392">
        <v>14</v>
      </c>
    </row>
    <row r="393" spans="1:15" ht="15.75" customHeight="1">
      <c r="A393">
        <v>16</v>
      </c>
      <c r="B393" t="s">
        <v>2154</v>
      </c>
      <c r="C393">
        <v>2006</v>
      </c>
      <c r="D393">
        <v>22</v>
      </c>
      <c r="E393">
        <v>3</v>
      </c>
      <c r="F393">
        <v>1</v>
      </c>
      <c r="G393">
        <v>18</v>
      </c>
      <c r="H393" t="s">
        <v>77</v>
      </c>
      <c r="I393" s="30">
        <v>39814</v>
      </c>
      <c r="J393" t="s">
        <v>2439</v>
      </c>
      <c r="K393">
        <v>1791</v>
      </c>
      <c r="L393" t="s">
        <v>634</v>
      </c>
      <c r="M393">
        <v>2415</v>
      </c>
      <c r="N393">
        <v>74.2</v>
      </c>
      <c r="O393">
        <v>14</v>
      </c>
    </row>
    <row r="395" spans="1:15" ht="15.75" customHeight="1">
      <c r="A395" t="s">
        <v>2105</v>
      </c>
      <c r="B395" t="s">
        <v>2106</v>
      </c>
      <c r="C395" s="31" t="s">
        <v>2</v>
      </c>
      <c r="D395" t="s">
        <v>2107</v>
      </c>
      <c r="E395" t="s">
        <v>2108</v>
      </c>
      <c r="F395" t="s">
        <v>2109</v>
      </c>
      <c r="G395" t="s">
        <v>2110</v>
      </c>
      <c r="H395" t="s">
        <v>2111</v>
      </c>
      <c r="I395" t="s">
        <v>2112</v>
      </c>
      <c r="J395" t="s">
        <v>2113</v>
      </c>
      <c r="K395" t="s">
        <v>2114</v>
      </c>
      <c r="L395" t="s">
        <v>2115</v>
      </c>
      <c r="M395" t="s">
        <v>2116</v>
      </c>
      <c r="N395" t="s">
        <v>2117</v>
      </c>
      <c r="O395" t="s">
        <v>2118</v>
      </c>
    </row>
    <row r="396" spans="1:15" ht="15.75" customHeight="1">
      <c r="A396">
        <v>1</v>
      </c>
      <c r="B396" t="s">
        <v>2145</v>
      </c>
      <c r="C396">
        <v>2005</v>
      </c>
      <c r="D396">
        <v>22</v>
      </c>
      <c r="E396">
        <v>17</v>
      </c>
      <c r="G396">
        <v>5</v>
      </c>
      <c r="H396" t="s">
        <v>23</v>
      </c>
      <c r="I396" t="s">
        <v>38</v>
      </c>
      <c r="J396" t="s">
        <v>2440</v>
      </c>
      <c r="K396">
        <v>2070</v>
      </c>
      <c r="L396" t="s">
        <v>2441</v>
      </c>
      <c r="M396">
        <v>1517</v>
      </c>
      <c r="N396">
        <v>136.5</v>
      </c>
      <c r="O396">
        <v>68</v>
      </c>
    </row>
    <row r="397" spans="1:15" ht="15.75" customHeight="1">
      <c r="A397">
        <v>2</v>
      </c>
      <c r="B397" t="s">
        <v>2143</v>
      </c>
      <c r="C397">
        <v>2005</v>
      </c>
      <c r="D397">
        <v>22</v>
      </c>
      <c r="E397">
        <v>17</v>
      </c>
      <c r="G397">
        <v>5</v>
      </c>
      <c r="H397" t="s">
        <v>52</v>
      </c>
      <c r="I397" t="s">
        <v>18</v>
      </c>
      <c r="J397" t="s">
        <v>2442</v>
      </c>
      <c r="K397">
        <v>2261</v>
      </c>
      <c r="L397" t="s">
        <v>2443</v>
      </c>
      <c r="M397">
        <v>1824</v>
      </c>
      <c r="N397">
        <v>124</v>
      </c>
      <c r="O397">
        <v>68</v>
      </c>
    </row>
    <row r="398" spans="1:15" ht="15.75" customHeight="1">
      <c r="A398">
        <v>3</v>
      </c>
      <c r="B398" t="s">
        <v>2119</v>
      </c>
      <c r="C398">
        <v>2005</v>
      </c>
      <c r="D398">
        <v>22</v>
      </c>
      <c r="E398">
        <v>15</v>
      </c>
      <c r="G398">
        <v>7</v>
      </c>
      <c r="H398" t="s">
        <v>23</v>
      </c>
      <c r="I398" t="s">
        <v>149</v>
      </c>
      <c r="J398" t="s">
        <v>2444</v>
      </c>
      <c r="K398">
        <v>1974</v>
      </c>
      <c r="L398" t="s">
        <v>2445</v>
      </c>
      <c r="M398">
        <v>1696</v>
      </c>
      <c r="N398">
        <v>116.4</v>
      </c>
      <c r="O398">
        <v>60</v>
      </c>
    </row>
    <row r="399" spans="1:15" ht="15.75" customHeight="1">
      <c r="A399">
        <v>4</v>
      </c>
      <c r="B399" t="s">
        <v>2169</v>
      </c>
      <c r="C399">
        <v>2005</v>
      </c>
      <c r="D399">
        <v>22</v>
      </c>
      <c r="E399">
        <v>14</v>
      </c>
      <c r="G399">
        <v>8</v>
      </c>
      <c r="H399" t="s">
        <v>38</v>
      </c>
      <c r="I399" t="s">
        <v>149</v>
      </c>
      <c r="J399" t="s">
        <v>2446</v>
      </c>
      <c r="K399">
        <v>2407</v>
      </c>
      <c r="L399" t="s">
        <v>2447</v>
      </c>
      <c r="M399">
        <v>1806</v>
      </c>
      <c r="N399">
        <v>133.30000000000001</v>
      </c>
      <c r="O399">
        <v>56</v>
      </c>
    </row>
    <row r="400" spans="1:15" ht="15.75" customHeight="1">
      <c r="A400">
        <v>5</v>
      </c>
      <c r="B400" t="s">
        <v>2385</v>
      </c>
      <c r="C400">
        <v>2005</v>
      </c>
      <c r="D400">
        <v>22</v>
      </c>
      <c r="E400">
        <v>13</v>
      </c>
      <c r="G400">
        <v>9</v>
      </c>
      <c r="H400" t="s">
        <v>149</v>
      </c>
      <c r="I400" t="s">
        <v>18</v>
      </c>
      <c r="J400" t="s">
        <v>2448</v>
      </c>
      <c r="K400">
        <v>2053</v>
      </c>
      <c r="L400" t="s">
        <v>2449</v>
      </c>
      <c r="M400">
        <v>2069</v>
      </c>
      <c r="N400">
        <v>99.2</v>
      </c>
      <c r="O400">
        <v>52</v>
      </c>
    </row>
    <row r="401" spans="1:15" ht="15.75" customHeight="1">
      <c r="A401">
        <v>6</v>
      </c>
      <c r="B401" t="s">
        <v>2125</v>
      </c>
      <c r="C401">
        <v>2005</v>
      </c>
      <c r="D401">
        <v>22</v>
      </c>
      <c r="E401">
        <v>12</v>
      </c>
      <c r="G401">
        <v>10</v>
      </c>
      <c r="H401" t="s">
        <v>23</v>
      </c>
      <c r="I401" t="s">
        <v>178</v>
      </c>
      <c r="J401" t="s">
        <v>2450</v>
      </c>
      <c r="K401">
        <v>2134</v>
      </c>
      <c r="L401" t="s">
        <v>2451</v>
      </c>
      <c r="M401">
        <v>1906</v>
      </c>
      <c r="N401">
        <v>112</v>
      </c>
      <c r="O401">
        <v>48</v>
      </c>
    </row>
    <row r="402" spans="1:15" ht="15.75" customHeight="1">
      <c r="A402">
        <v>7</v>
      </c>
      <c r="B402" t="s">
        <v>2166</v>
      </c>
      <c r="C402">
        <v>2005</v>
      </c>
      <c r="D402">
        <v>22</v>
      </c>
      <c r="E402">
        <v>12</v>
      </c>
      <c r="G402">
        <v>10</v>
      </c>
      <c r="H402" t="s">
        <v>149</v>
      </c>
      <c r="I402" t="s">
        <v>149</v>
      </c>
      <c r="J402" t="s">
        <v>2452</v>
      </c>
      <c r="K402">
        <v>2171</v>
      </c>
      <c r="L402" t="s">
        <v>2453</v>
      </c>
      <c r="M402">
        <v>2266</v>
      </c>
      <c r="N402">
        <v>95.8</v>
      </c>
      <c r="O402">
        <v>48</v>
      </c>
    </row>
    <row r="403" spans="1:15" ht="15.75" customHeight="1">
      <c r="A403">
        <v>8</v>
      </c>
      <c r="B403" t="s">
        <v>2131</v>
      </c>
      <c r="C403">
        <v>2005</v>
      </c>
      <c r="D403">
        <v>22</v>
      </c>
      <c r="E403">
        <v>11</v>
      </c>
      <c r="F403">
        <v>1</v>
      </c>
      <c r="G403">
        <v>10</v>
      </c>
      <c r="H403" s="30">
        <v>37469</v>
      </c>
      <c r="I403" t="s">
        <v>178</v>
      </c>
      <c r="J403" t="s">
        <v>2454</v>
      </c>
      <c r="K403">
        <v>2028</v>
      </c>
      <c r="L403" t="s">
        <v>2455</v>
      </c>
      <c r="M403">
        <v>2066</v>
      </c>
      <c r="N403">
        <v>98.2</v>
      </c>
      <c r="O403">
        <v>46</v>
      </c>
    </row>
    <row r="404" spans="1:15" ht="15.75" customHeight="1">
      <c r="A404">
        <v>9</v>
      </c>
      <c r="B404" t="s">
        <v>2157</v>
      </c>
      <c r="C404">
        <v>2005</v>
      </c>
      <c r="D404">
        <v>22</v>
      </c>
      <c r="E404">
        <v>11</v>
      </c>
      <c r="G404">
        <v>11</v>
      </c>
      <c r="H404" t="s">
        <v>18</v>
      </c>
      <c r="I404" t="s">
        <v>68</v>
      </c>
      <c r="J404" t="s">
        <v>2456</v>
      </c>
      <c r="K404">
        <v>2385</v>
      </c>
      <c r="L404" t="s">
        <v>2457</v>
      </c>
      <c r="M404">
        <v>2351</v>
      </c>
      <c r="N404">
        <v>101.4</v>
      </c>
      <c r="O404">
        <v>44</v>
      </c>
    </row>
    <row r="405" spans="1:15" ht="15.75" customHeight="1">
      <c r="A405">
        <v>10</v>
      </c>
      <c r="B405" t="s">
        <v>2128</v>
      </c>
      <c r="C405">
        <v>2005</v>
      </c>
      <c r="D405">
        <v>22</v>
      </c>
      <c r="E405">
        <v>11</v>
      </c>
      <c r="G405">
        <v>11</v>
      </c>
      <c r="H405" t="s">
        <v>18</v>
      </c>
      <c r="I405" t="s">
        <v>68</v>
      </c>
      <c r="J405" t="s">
        <v>2458</v>
      </c>
      <c r="K405">
        <v>2041</v>
      </c>
      <c r="L405" t="s">
        <v>2459</v>
      </c>
      <c r="M405">
        <v>2038</v>
      </c>
      <c r="N405">
        <v>100.1</v>
      </c>
      <c r="O405">
        <v>44</v>
      </c>
    </row>
    <row r="406" spans="1:15" ht="15.75" customHeight="1">
      <c r="A406">
        <v>11</v>
      </c>
      <c r="B406" t="s">
        <v>2160</v>
      </c>
      <c r="C406">
        <v>2005</v>
      </c>
      <c r="D406">
        <v>22</v>
      </c>
      <c r="E406">
        <v>10</v>
      </c>
      <c r="G406">
        <v>12</v>
      </c>
      <c r="H406" t="s">
        <v>63</v>
      </c>
      <c r="I406" t="s">
        <v>63</v>
      </c>
      <c r="J406" t="s">
        <v>2460</v>
      </c>
      <c r="K406">
        <v>2139</v>
      </c>
      <c r="L406" t="s">
        <v>2461</v>
      </c>
      <c r="M406">
        <v>2164</v>
      </c>
      <c r="N406">
        <v>98.8</v>
      </c>
      <c r="O406">
        <v>40</v>
      </c>
    </row>
    <row r="407" spans="1:15" ht="15.75" customHeight="1">
      <c r="A407">
        <v>12</v>
      </c>
      <c r="B407" t="s">
        <v>2140</v>
      </c>
      <c r="C407">
        <v>2005</v>
      </c>
      <c r="D407">
        <v>22</v>
      </c>
      <c r="E407">
        <v>10</v>
      </c>
      <c r="G407">
        <v>12</v>
      </c>
      <c r="H407" t="s">
        <v>149</v>
      </c>
      <c r="I407" t="s">
        <v>68</v>
      </c>
      <c r="J407" t="s">
        <v>2462</v>
      </c>
      <c r="K407">
        <v>2022</v>
      </c>
      <c r="L407" t="s">
        <v>2463</v>
      </c>
      <c r="M407">
        <v>2190</v>
      </c>
      <c r="N407">
        <v>92.3</v>
      </c>
      <c r="O407">
        <v>40</v>
      </c>
    </row>
    <row r="408" spans="1:15" ht="15.75" customHeight="1">
      <c r="A408">
        <v>13</v>
      </c>
      <c r="B408" t="s">
        <v>2137</v>
      </c>
      <c r="C408">
        <v>2005</v>
      </c>
      <c r="D408">
        <v>22</v>
      </c>
      <c r="E408">
        <v>8</v>
      </c>
      <c r="G408">
        <v>14</v>
      </c>
      <c r="H408" t="s">
        <v>18</v>
      </c>
      <c r="I408" t="s">
        <v>96</v>
      </c>
      <c r="J408" t="s">
        <v>2464</v>
      </c>
      <c r="K408">
        <v>2118</v>
      </c>
      <c r="L408" t="s">
        <v>2465</v>
      </c>
      <c r="M408">
        <v>2302</v>
      </c>
      <c r="N408">
        <v>92</v>
      </c>
      <c r="O408">
        <v>32</v>
      </c>
    </row>
    <row r="409" spans="1:15" ht="15.75" customHeight="1">
      <c r="A409">
        <v>14</v>
      </c>
      <c r="B409" t="s">
        <v>2122</v>
      </c>
      <c r="C409">
        <v>2005</v>
      </c>
      <c r="D409">
        <v>22</v>
      </c>
      <c r="E409">
        <v>5</v>
      </c>
      <c r="G409">
        <v>17</v>
      </c>
      <c r="H409" t="s">
        <v>68</v>
      </c>
      <c r="I409" t="s">
        <v>96</v>
      </c>
      <c r="J409" t="s">
        <v>2466</v>
      </c>
      <c r="K409">
        <v>1904</v>
      </c>
      <c r="L409" t="s">
        <v>2467</v>
      </c>
      <c r="M409">
        <v>2317</v>
      </c>
      <c r="N409">
        <v>82.2</v>
      </c>
      <c r="O409">
        <v>20</v>
      </c>
    </row>
    <row r="410" spans="1:15" ht="15.75" customHeight="1">
      <c r="A410">
        <v>15</v>
      </c>
      <c r="B410" t="s">
        <v>2148</v>
      </c>
      <c r="C410">
        <v>2005</v>
      </c>
      <c r="D410">
        <v>22</v>
      </c>
      <c r="E410">
        <v>5</v>
      </c>
      <c r="G410">
        <v>17</v>
      </c>
      <c r="H410" t="s">
        <v>178</v>
      </c>
      <c r="I410" t="s">
        <v>77</v>
      </c>
      <c r="J410" t="s">
        <v>2468</v>
      </c>
      <c r="K410">
        <v>1884</v>
      </c>
      <c r="L410" t="s">
        <v>2469</v>
      </c>
      <c r="M410">
        <v>2425</v>
      </c>
      <c r="N410">
        <v>77.7</v>
      </c>
      <c r="O410">
        <v>20</v>
      </c>
    </row>
    <row r="411" spans="1:15" ht="15.75" customHeight="1">
      <c r="A411">
        <v>16</v>
      </c>
      <c r="B411" t="s">
        <v>2154</v>
      </c>
      <c r="C411">
        <v>2005</v>
      </c>
      <c r="D411">
        <v>22</v>
      </c>
      <c r="E411">
        <v>4</v>
      </c>
      <c r="F411">
        <v>1</v>
      </c>
      <c r="G411">
        <v>17</v>
      </c>
      <c r="H411" t="s">
        <v>178</v>
      </c>
      <c r="I411" s="30">
        <v>39814</v>
      </c>
      <c r="J411" t="s">
        <v>2470</v>
      </c>
      <c r="K411">
        <v>2016</v>
      </c>
      <c r="L411" t="s">
        <v>2471</v>
      </c>
      <c r="M411">
        <v>2670</v>
      </c>
      <c r="N411">
        <v>75.5</v>
      </c>
      <c r="O411">
        <v>18</v>
      </c>
    </row>
    <row r="413" spans="1:15" ht="15.75" customHeight="1">
      <c r="A413" t="s">
        <v>2105</v>
      </c>
      <c r="B413" t="s">
        <v>2106</v>
      </c>
      <c r="C413" s="31" t="s">
        <v>2</v>
      </c>
      <c r="D413" t="s">
        <v>2107</v>
      </c>
      <c r="E413" t="s">
        <v>2108</v>
      </c>
      <c r="F413" t="s">
        <v>2109</v>
      </c>
      <c r="G413" t="s">
        <v>2110</v>
      </c>
      <c r="H413" t="s">
        <v>2111</v>
      </c>
      <c r="I413" t="s">
        <v>2112</v>
      </c>
      <c r="J413" t="s">
        <v>2113</v>
      </c>
      <c r="K413" t="s">
        <v>2114</v>
      </c>
      <c r="L413" t="s">
        <v>2115</v>
      </c>
      <c r="M413" t="s">
        <v>2116</v>
      </c>
      <c r="N413" t="s">
        <v>2117</v>
      </c>
      <c r="O413" t="s">
        <v>2118</v>
      </c>
    </row>
    <row r="414" spans="1:15" ht="15.75" customHeight="1">
      <c r="A414">
        <v>1</v>
      </c>
      <c r="B414" t="s">
        <v>2131</v>
      </c>
      <c r="C414">
        <v>2004</v>
      </c>
      <c r="D414">
        <v>22</v>
      </c>
      <c r="E414">
        <v>17</v>
      </c>
      <c r="G414">
        <v>5</v>
      </c>
      <c r="H414" t="s">
        <v>52</v>
      </c>
      <c r="I414" t="s">
        <v>18</v>
      </c>
      <c r="J414" t="s">
        <v>2472</v>
      </c>
      <c r="K414">
        <v>2413</v>
      </c>
      <c r="L414" t="s">
        <v>2473</v>
      </c>
      <c r="M414">
        <v>1823</v>
      </c>
      <c r="N414">
        <v>132.4</v>
      </c>
      <c r="O414">
        <v>68</v>
      </c>
    </row>
    <row r="415" spans="1:15" ht="15.75" customHeight="1">
      <c r="A415">
        <v>2</v>
      </c>
      <c r="B415" t="s">
        <v>2160</v>
      </c>
      <c r="C415">
        <v>2004</v>
      </c>
      <c r="D415">
        <v>22</v>
      </c>
      <c r="E415">
        <v>16</v>
      </c>
      <c r="G415">
        <v>6</v>
      </c>
      <c r="H415" t="s">
        <v>52</v>
      </c>
      <c r="I415" t="s">
        <v>149</v>
      </c>
      <c r="J415" t="s">
        <v>2474</v>
      </c>
      <c r="K415">
        <v>2447</v>
      </c>
      <c r="L415" t="s">
        <v>2475</v>
      </c>
      <c r="M415">
        <v>1783</v>
      </c>
      <c r="N415">
        <v>137.19999999999999</v>
      </c>
      <c r="O415">
        <v>64</v>
      </c>
    </row>
    <row r="416" spans="1:15" ht="15.75" customHeight="1">
      <c r="A416">
        <v>3</v>
      </c>
      <c r="B416" t="s">
        <v>2169</v>
      </c>
      <c r="C416">
        <v>2004</v>
      </c>
      <c r="D416">
        <v>22</v>
      </c>
      <c r="E416">
        <v>16</v>
      </c>
      <c r="G416">
        <v>6</v>
      </c>
      <c r="H416" t="s">
        <v>52</v>
      </c>
      <c r="I416" t="s">
        <v>149</v>
      </c>
      <c r="J416" t="s">
        <v>2476</v>
      </c>
      <c r="K416">
        <v>2443</v>
      </c>
      <c r="L416" t="s">
        <v>2477</v>
      </c>
      <c r="M416">
        <v>1909</v>
      </c>
      <c r="N416">
        <v>128</v>
      </c>
      <c r="O416">
        <v>64</v>
      </c>
    </row>
    <row r="417" spans="1:15" ht="15.75" customHeight="1">
      <c r="A417">
        <v>4</v>
      </c>
      <c r="B417" t="s">
        <v>2125</v>
      </c>
      <c r="C417">
        <v>2004</v>
      </c>
      <c r="D417">
        <v>22</v>
      </c>
      <c r="E417">
        <v>15</v>
      </c>
      <c r="G417">
        <v>7</v>
      </c>
      <c r="H417" t="s">
        <v>566</v>
      </c>
      <c r="I417" t="s">
        <v>68</v>
      </c>
      <c r="J417" t="s">
        <v>2478</v>
      </c>
      <c r="K417">
        <v>2088</v>
      </c>
      <c r="L417" t="s">
        <v>2479</v>
      </c>
      <c r="M417">
        <v>1741</v>
      </c>
      <c r="N417">
        <v>119.9</v>
      </c>
      <c r="O417">
        <v>60</v>
      </c>
    </row>
    <row r="418" spans="1:15" ht="15.75" customHeight="1">
      <c r="A418">
        <v>5</v>
      </c>
      <c r="B418" t="s">
        <v>2166</v>
      </c>
      <c r="C418">
        <v>2004</v>
      </c>
      <c r="D418">
        <v>22</v>
      </c>
      <c r="E418">
        <v>14</v>
      </c>
      <c r="G418">
        <v>8</v>
      </c>
      <c r="H418" t="s">
        <v>23</v>
      </c>
      <c r="I418" t="s">
        <v>63</v>
      </c>
      <c r="J418" t="s">
        <v>2480</v>
      </c>
      <c r="K418">
        <v>2127</v>
      </c>
      <c r="L418" t="s">
        <v>2481</v>
      </c>
      <c r="M418">
        <v>1900</v>
      </c>
      <c r="N418">
        <v>111.9</v>
      </c>
      <c r="O418">
        <v>56</v>
      </c>
    </row>
    <row r="419" spans="1:15" ht="15.75" customHeight="1">
      <c r="A419">
        <v>6</v>
      </c>
      <c r="B419" t="s">
        <v>2119</v>
      </c>
      <c r="C419">
        <v>2004</v>
      </c>
      <c r="D419">
        <v>22</v>
      </c>
      <c r="E419">
        <v>13</v>
      </c>
      <c r="G419">
        <v>9</v>
      </c>
      <c r="H419" t="s">
        <v>38</v>
      </c>
      <c r="I419" t="s">
        <v>63</v>
      </c>
      <c r="J419" t="s">
        <v>2482</v>
      </c>
      <c r="K419">
        <v>1938</v>
      </c>
      <c r="L419" t="s">
        <v>2483</v>
      </c>
      <c r="M419">
        <v>1804</v>
      </c>
      <c r="N419">
        <v>107.4</v>
      </c>
      <c r="O419">
        <v>52</v>
      </c>
    </row>
    <row r="420" spans="1:15" ht="15.75" customHeight="1">
      <c r="A420">
        <v>7</v>
      </c>
      <c r="B420" t="s">
        <v>2143</v>
      </c>
      <c r="C420">
        <v>2004</v>
      </c>
      <c r="D420">
        <v>22</v>
      </c>
      <c r="E420">
        <v>13</v>
      </c>
      <c r="G420">
        <v>9</v>
      </c>
      <c r="H420" t="s">
        <v>23</v>
      </c>
      <c r="I420" t="s">
        <v>68</v>
      </c>
      <c r="J420" t="s">
        <v>2484</v>
      </c>
      <c r="K420">
        <v>2042</v>
      </c>
      <c r="L420" t="s">
        <v>2485</v>
      </c>
      <c r="M420">
        <v>1968</v>
      </c>
      <c r="N420">
        <v>103.8</v>
      </c>
      <c r="O420">
        <v>52</v>
      </c>
    </row>
    <row r="421" spans="1:15" ht="15.75" customHeight="1">
      <c r="A421">
        <v>8</v>
      </c>
      <c r="B421" t="s">
        <v>2137</v>
      </c>
      <c r="C421">
        <v>2004</v>
      </c>
      <c r="D421">
        <v>22</v>
      </c>
      <c r="E421">
        <v>12</v>
      </c>
      <c r="G421">
        <v>10</v>
      </c>
      <c r="H421" t="s">
        <v>149</v>
      </c>
      <c r="I421" t="s">
        <v>149</v>
      </c>
      <c r="J421" t="s">
        <v>2486</v>
      </c>
      <c r="K421">
        <v>2282</v>
      </c>
      <c r="L421" t="s">
        <v>2487</v>
      </c>
      <c r="M421">
        <v>2228</v>
      </c>
      <c r="N421">
        <v>102.4</v>
      </c>
      <c r="O421">
        <v>48</v>
      </c>
    </row>
    <row r="422" spans="1:15" ht="15.75" customHeight="1">
      <c r="A422">
        <v>9</v>
      </c>
      <c r="B422" t="s">
        <v>2128</v>
      </c>
      <c r="C422">
        <v>2004</v>
      </c>
      <c r="D422">
        <v>22</v>
      </c>
      <c r="E422">
        <v>11</v>
      </c>
      <c r="G422">
        <v>11</v>
      </c>
      <c r="H422" t="s">
        <v>63</v>
      </c>
      <c r="I422" t="s">
        <v>149</v>
      </c>
      <c r="J422" t="s">
        <v>2488</v>
      </c>
      <c r="K422">
        <v>1882</v>
      </c>
      <c r="L422" t="s">
        <v>2489</v>
      </c>
      <c r="M422">
        <v>1870</v>
      </c>
      <c r="N422">
        <v>100.6</v>
      </c>
      <c r="O422">
        <v>44</v>
      </c>
    </row>
    <row r="423" spans="1:15" ht="15.75" customHeight="1">
      <c r="A423">
        <v>10</v>
      </c>
      <c r="B423" t="s">
        <v>2385</v>
      </c>
      <c r="C423">
        <v>2004</v>
      </c>
      <c r="D423">
        <v>22</v>
      </c>
      <c r="E423">
        <v>10</v>
      </c>
      <c r="G423">
        <v>12</v>
      </c>
      <c r="H423" t="s">
        <v>149</v>
      </c>
      <c r="I423" t="s">
        <v>68</v>
      </c>
      <c r="J423" t="s">
        <v>2490</v>
      </c>
      <c r="K423">
        <v>2142</v>
      </c>
      <c r="L423" t="s">
        <v>2491</v>
      </c>
      <c r="M423">
        <v>2135</v>
      </c>
      <c r="N423">
        <v>100.3</v>
      </c>
      <c r="O423">
        <v>40</v>
      </c>
    </row>
    <row r="424" spans="1:15" ht="15.75" customHeight="1">
      <c r="A424">
        <v>11</v>
      </c>
      <c r="B424" t="s">
        <v>2154</v>
      </c>
      <c r="C424">
        <v>2004</v>
      </c>
      <c r="D424">
        <v>22</v>
      </c>
      <c r="E424">
        <v>10</v>
      </c>
      <c r="G424">
        <v>12</v>
      </c>
      <c r="H424" t="s">
        <v>149</v>
      </c>
      <c r="I424" t="s">
        <v>68</v>
      </c>
      <c r="J424" t="s">
        <v>783</v>
      </c>
      <c r="K424">
        <v>1825</v>
      </c>
      <c r="L424" t="s">
        <v>2492</v>
      </c>
      <c r="M424">
        <v>2235</v>
      </c>
      <c r="N424">
        <v>81.7</v>
      </c>
      <c r="O424">
        <v>40</v>
      </c>
    </row>
    <row r="425" spans="1:15" ht="15.75" customHeight="1">
      <c r="A425">
        <v>12</v>
      </c>
      <c r="B425" t="s">
        <v>2145</v>
      </c>
      <c r="C425">
        <v>2004</v>
      </c>
      <c r="D425">
        <v>22</v>
      </c>
      <c r="E425">
        <v>8</v>
      </c>
      <c r="G425">
        <v>14</v>
      </c>
      <c r="H425" t="s">
        <v>63</v>
      </c>
      <c r="I425" t="s">
        <v>178</v>
      </c>
      <c r="J425" t="s">
        <v>2493</v>
      </c>
      <c r="K425">
        <v>1950</v>
      </c>
      <c r="L425" t="s">
        <v>2494</v>
      </c>
      <c r="M425">
        <v>2039</v>
      </c>
      <c r="N425">
        <v>95.6</v>
      </c>
      <c r="O425">
        <v>32</v>
      </c>
    </row>
    <row r="426" spans="1:15" ht="15.75" customHeight="1">
      <c r="A426">
        <v>13</v>
      </c>
      <c r="B426" t="s">
        <v>2148</v>
      </c>
      <c r="C426">
        <v>2004</v>
      </c>
      <c r="D426">
        <v>22</v>
      </c>
      <c r="E426">
        <v>8</v>
      </c>
      <c r="G426">
        <v>14</v>
      </c>
      <c r="H426" t="s">
        <v>63</v>
      </c>
      <c r="I426" t="s">
        <v>178</v>
      </c>
      <c r="J426" t="s">
        <v>2495</v>
      </c>
      <c r="K426">
        <v>1899</v>
      </c>
      <c r="L426" t="s">
        <v>2496</v>
      </c>
      <c r="M426">
        <v>2082</v>
      </c>
      <c r="N426">
        <v>91.2</v>
      </c>
      <c r="O426">
        <v>32</v>
      </c>
    </row>
    <row r="427" spans="1:15" ht="15.75" customHeight="1">
      <c r="A427">
        <v>14</v>
      </c>
      <c r="B427" t="s">
        <v>2157</v>
      </c>
      <c r="C427">
        <v>2004</v>
      </c>
      <c r="D427">
        <v>22</v>
      </c>
      <c r="E427">
        <v>5</v>
      </c>
      <c r="G427">
        <v>17</v>
      </c>
      <c r="H427" t="s">
        <v>77</v>
      </c>
      <c r="I427" t="s">
        <v>178</v>
      </c>
      <c r="J427" t="s">
        <v>2497</v>
      </c>
      <c r="K427">
        <v>1957</v>
      </c>
      <c r="L427" t="s">
        <v>2498</v>
      </c>
      <c r="M427">
        <v>2459</v>
      </c>
      <c r="N427">
        <v>79.599999999999994</v>
      </c>
      <c r="O427">
        <v>20</v>
      </c>
    </row>
    <row r="428" spans="1:15" ht="15.75" customHeight="1">
      <c r="A428">
        <v>15</v>
      </c>
      <c r="B428" t="s">
        <v>2122</v>
      </c>
      <c r="C428">
        <v>2004</v>
      </c>
      <c r="D428">
        <v>22</v>
      </c>
      <c r="E428">
        <v>4</v>
      </c>
      <c r="G428">
        <v>18</v>
      </c>
      <c r="H428" t="s">
        <v>178</v>
      </c>
      <c r="I428" t="s">
        <v>96</v>
      </c>
      <c r="J428" t="s">
        <v>2499</v>
      </c>
      <c r="K428">
        <v>1668</v>
      </c>
      <c r="L428" t="s">
        <v>2500</v>
      </c>
      <c r="M428">
        <v>2375</v>
      </c>
      <c r="N428">
        <v>70.2</v>
      </c>
      <c r="O428">
        <v>16</v>
      </c>
    </row>
    <row r="429" spans="1:15" ht="15.75" customHeight="1">
      <c r="A429">
        <v>16</v>
      </c>
      <c r="B429" t="s">
        <v>2140</v>
      </c>
      <c r="C429">
        <v>2004</v>
      </c>
      <c r="D429">
        <v>22</v>
      </c>
      <c r="E429">
        <v>4</v>
      </c>
      <c r="G429">
        <v>18</v>
      </c>
      <c r="H429" t="s">
        <v>178</v>
      </c>
      <c r="I429" t="s">
        <v>96</v>
      </c>
      <c r="J429" t="s">
        <v>2501</v>
      </c>
      <c r="K429">
        <v>1693</v>
      </c>
      <c r="L429" t="s">
        <v>2502</v>
      </c>
      <c r="M429">
        <v>2445</v>
      </c>
      <c r="N429">
        <v>69.2</v>
      </c>
      <c r="O429">
        <v>16</v>
      </c>
    </row>
    <row r="431" spans="1:15" ht="15.75" customHeight="1">
      <c r="A431" t="s">
        <v>2105</v>
      </c>
      <c r="B431" t="s">
        <v>2106</v>
      </c>
      <c r="C431" s="31" t="s">
        <v>2</v>
      </c>
      <c r="D431" t="s">
        <v>2107</v>
      </c>
      <c r="E431" t="s">
        <v>2108</v>
      </c>
      <c r="F431" t="s">
        <v>2109</v>
      </c>
      <c r="G431" t="s">
        <v>2110</v>
      </c>
      <c r="H431" t="s">
        <v>2111</v>
      </c>
      <c r="I431" t="s">
        <v>2112</v>
      </c>
      <c r="J431" t="s">
        <v>2113</v>
      </c>
      <c r="K431" t="s">
        <v>2114</v>
      </c>
      <c r="L431" t="s">
        <v>2115</v>
      </c>
      <c r="M431" t="s">
        <v>2116</v>
      </c>
      <c r="N431" t="s">
        <v>2117</v>
      </c>
      <c r="O431" t="s">
        <v>2118</v>
      </c>
    </row>
    <row r="432" spans="1:15" ht="15.75" customHeight="1">
      <c r="A432">
        <v>1</v>
      </c>
      <c r="B432" t="s">
        <v>2131</v>
      </c>
      <c r="C432">
        <v>2003</v>
      </c>
      <c r="D432">
        <v>22</v>
      </c>
      <c r="E432">
        <v>18</v>
      </c>
      <c r="G432">
        <v>4</v>
      </c>
      <c r="H432" t="s">
        <v>52</v>
      </c>
      <c r="I432" t="s">
        <v>38</v>
      </c>
      <c r="J432" t="s">
        <v>2503</v>
      </c>
      <c r="K432">
        <v>2229</v>
      </c>
      <c r="L432" t="s">
        <v>126</v>
      </c>
      <c r="M432">
        <v>1752</v>
      </c>
      <c r="N432">
        <v>127.2</v>
      </c>
      <c r="O432">
        <v>72</v>
      </c>
    </row>
    <row r="433" spans="1:15" ht="15.75" customHeight="1">
      <c r="A433">
        <v>2</v>
      </c>
      <c r="B433" t="s">
        <v>2148</v>
      </c>
      <c r="C433">
        <v>2003</v>
      </c>
      <c r="D433">
        <v>22</v>
      </c>
      <c r="E433">
        <v>15</v>
      </c>
      <c r="G433">
        <v>7</v>
      </c>
      <c r="H433" t="s">
        <v>18</v>
      </c>
      <c r="I433" t="s">
        <v>38</v>
      </c>
      <c r="J433" t="s">
        <v>2504</v>
      </c>
      <c r="K433">
        <v>2259</v>
      </c>
      <c r="L433" t="s">
        <v>2505</v>
      </c>
      <c r="M433">
        <v>1858</v>
      </c>
      <c r="N433">
        <v>121.6</v>
      </c>
      <c r="O433">
        <v>60</v>
      </c>
    </row>
    <row r="434" spans="1:15" ht="15.75" customHeight="1">
      <c r="A434">
        <v>3</v>
      </c>
      <c r="B434" t="s">
        <v>2160</v>
      </c>
      <c r="C434">
        <v>2003</v>
      </c>
      <c r="D434">
        <v>22</v>
      </c>
      <c r="E434">
        <v>14</v>
      </c>
      <c r="F434">
        <v>1</v>
      </c>
      <c r="G434">
        <v>7</v>
      </c>
      <c r="H434" t="s">
        <v>38</v>
      </c>
      <c r="I434" s="30">
        <v>38139</v>
      </c>
      <c r="J434" t="s">
        <v>2506</v>
      </c>
      <c r="K434">
        <v>2295</v>
      </c>
      <c r="L434" t="s">
        <v>2507</v>
      </c>
      <c r="M434">
        <v>1882</v>
      </c>
      <c r="N434">
        <v>121.9</v>
      </c>
      <c r="O434">
        <v>58</v>
      </c>
    </row>
    <row r="435" spans="1:15" ht="15.75" customHeight="1">
      <c r="A435">
        <v>4</v>
      </c>
      <c r="B435" t="s">
        <v>2119</v>
      </c>
      <c r="C435">
        <v>2003</v>
      </c>
      <c r="D435">
        <v>22</v>
      </c>
      <c r="E435">
        <v>14</v>
      </c>
      <c r="G435">
        <v>8</v>
      </c>
      <c r="H435" t="s">
        <v>38</v>
      </c>
      <c r="I435" t="s">
        <v>149</v>
      </c>
      <c r="J435" t="s">
        <v>2508</v>
      </c>
      <c r="K435">
        <v>2142</v>
      </c>
      <c r="L435" t="s">
        <v>2509</v>
      </c>
      <c r="M435">
        <v>1862</v>
      </c>
      <c r="N435">
        <v>115</v>
      </c>
      <c r="O435">
        <v>56</v>
      </c>
    </row>
    <row r="436" spans="1:15" ht="15.75" customHeight="1">
      <c r="A436">
        <v>5</v>
      </c>
      <c r="B436" t="s">
        <v>2128</v>
      </c>
      <c r="C436">
        <v>2003</v>
      </c>
      <c r="D436">
        <v>22</v>
      </c>
      <c r="E436">
        <v>14</v>
      </c>
      <c r="G436">
        <v>8</v>
      </c>
      <c r="H436" t="s">
        <v>52</v>
      </c>
      <c r="I436" t="s">
        <v>68</v>
      </c>
      <c r="J436" t="s">
        <v>567</v>
      </c>
      <c r="K436">
        <v>2143</v>
      </c>
      <c r="L436" t="s">
        <v>2510</v>
      </c>
      <c r="M436">
        <v>2078</v>
      </c>
      <c r="N436">
        <v>103.1</v>
      </c>
      <c r="O436">
        <v>56</v>
      </c>
    </row>
    <row r="437" spans="1:15" ht="15.75" customHeight="1">
      <c r="A437">
        <v>6</v>
      </c>
      <c r="B437" t="s">
        <v>2145</v>
      </c>
      <c r="C437">
        <v>2003</v>
      </c>
      <c r="D437">
        <v>22</v>
      </c>
      <c r="E437">
        <v>13</v>
      </c>
      <c r="G437">
        <v>9</v>
      </c>
      <c r="H437" t="s">
        <v>38</v>
      </c>
      <c r="I437" t="s">
        <v>63</v>
      </c>
      <c r="J437" t="s">
        <v>2511</v>
      </c>
      <c r="K437">
        <v>2114</v>
      </c>
      <c r="L437" t="s">
        <v>2512</v>
      </c>
      <c r="M437">
        <v>1754</v>
      </c>
      <c r="N437">
        <v>120.5</v>
      </c>
      <c r="O437">
        <v>52</v>
      </c>
    </row>
    <row r="438" spans="1:15" ht="15.75" customHeight="1">
      <c r="A438">
        <v>7</v>
      </c>
      <c r="B438" t="s">
        <v>2143</v>
      </c>
      <c r="C438">
        <v>2003</v>
      </c>
      <c r="D438">
        <v>22</v>
      </c>
      <c r="E438">
        <v>12</v>
      </c>
      <c r="F438">
        <v>2</v>
      </c>
      <c r="G438">
        <v>8</v>
      </c>
      <c r="H438" s="30">
        <v>37469</v>
      </c>
      <c r="I438" s="30">
        <v>38808</v>
      </c>
      <c r="J438" t="s">
        <v>2513</v>
      </c>
      <c r="K438">
        <v>2326</v>
      </c>
      <c r="L438" t="s">
        <v>2514</v>
      </c>
      <c r="M438">
        <v>1982</v>
      </c>
      <c r="N438">
        <v>117.4</v>
      </c>
      <c r="O438">
        <v>52</v>
      </c>
    </row>
    <row r="439" spans="1:15" ht="15.75" customHeight="1">
      <c r="A439">
        <v>8</v>
      </c>
      <c r="B439" t="s">
        <v>2137</v>
      </c>
      <c r="C439">
        <v>2003</v>
      </c>
      <c r="D439">
        <v>22</v>
      </c>
      <c r="E439">
        <v>13</v>
      </c>
      <c r="G439">
        <v>9</v>
      </c>
      <c r="H439" t="s">
        <v>38</v>
      </c>
      <c r="I439" t="s">
        <v>63</v>
      </c>
      <c r="J439" t="s">
        <v>2515</v>
      </c>
      <c r="K439">
        <v>2190</v>
      </c>
      <c r="L439" t="s">
        <v>2516</v>
      </c>
      <c r="M439">
        <v>1960</v>
      </c>
      <c r="N439">
        <v>111.7</v>
      </c>
      <c r="O439">
        <v>52</v>
      </c>
    </row>
    <row r="440" spans="1:15" ht="15.75" customHeight="1">
      <c r="A440">
        <v>9</v>
      </c>
      <c r="B440" t="s">
        <v>2122</v>
      </c>
      <c r="C440">
        <v>2003</v>
      </c>
      <c r="D440">
        <v>22</v>
      </c>
      <c r="E440">
        <v>12</v>
      </c>
      <c r="G440">
        <v>10</v>
      </c>
      <c r="H440" t="s">
        <v>18</v>
      </c>
      <c r="I440" t="s">
        <v>63</v>
      </c>
      <c r="J440" t="s">
        <v>2517</v>
      </c>
      <c r="K440">
        <v>2011</v>
      </c>
      <c r="L440" t="s">
        <v>2518</v>
      </c>
      <c r="M440">
        <v>1999</v>
      </c>
      <c r="N440">
        <v>100.6</v>
      </c>
      <c r="O440">
        <v>48</v>
      </c>
    </row>
    <row r="441" spans="1:15" ht="15.75" customHeight="1">
      <c r="A441">
        <v>10</v>
      </c>
      <c r="B441" t="s">
        <v>2385</v>
      </c>
      <c r="C441">
        <v>2003</v>
      </c>
      <c r="D441">
        <v>22</v>
      </c>
      <c r="E441">
        <v>11</v>
      </c>
      <c r="F441">
        <v>1</v>
      </c>
      <c r="G441">
        <v>10</v>
      </c>
      <c r="H441" s="30">
        <v>38473</v>
      </c>
      <c r="I441" t="s">
        <v>149</v>
      </c>
      <c r="J441" t="s">
        <v>2519</v>
      </c>
      <c r="K441">
        <v>2185</v>
      </c>
      <c r="L441" t="s">
        <v>2520</v>
      </c>
      <c r="M441">
        <v>2223</v>
      </c>
      <c r="N441">
        <v>98.3</v>
      </c>
      <c r="O441">
        <v>46</v>
      </c>
    </row>
    <row r="442" spans="1:15" ht="15.75" customHeight="1">
      <c r="A442">
        <v>11</v>
      </c>
      <c r="B442" t="s">
        <v>2169</v>
      </c>
      <c r="C442">
        <v>2003</v>
      </c>
      <c r="D442">
        <v>22</v>
      </c>
      <c r="E442">
        <v>11</v>
      </c>
      <c r="G442">
        <v>11</v>
      </c>
      <c r="H442" t="s">
        <v>38</v>
      </c>
      <c r="I442" t="s">
        <v>178</v>
      </c>
      <c r="J442" t="s">
        <v>2521</v>
      </c>
      <c r="K442">
        <v>2095</v>
      </c>
      <c r="L442" t="s">
        <v>2522</v>
      </c>
      <c r="M442">
        <v>2187</v>
      </c>
      <c r="N442">
        <v>95.8</v>
      </c>
      <c r="O442">
        <v>44</v>
      </c>
    </row>
    <row r="443" spans="1:15" ht="15.75" customHeight="1">
      <c r="A443">
        <v>12</v>
      </c>
      <c r="B443" t="s">
        <v>2125</v>
      </c>
      <c r="C443">
        <v>2003</v>
      </c>
      <c r="D443">
        <v>22</v>
      </c>
      <c r="E443">
        <v>7</v>
      </c>
      <c r="F443">
        <v>1</v>
      </c>
      <c r="G443">
        <v>14</v>
      </c>
      <c r="H443" s="30">
        <v>38473</v>
      </c>
      <c r="I443" t="s">
        <v>77</v>
      </c>
      <c r="J443" t="s">
        <v>2523</v>
      </c>
      <c r="K443">
        <v>1819</v>
      </c>
      <c r="L443" t="s">
        <v>2524</v>
      </c>
      <c r="M443">
        <v>2025</v>
      </c>
      <c r="N443">
        <v>89.8</v>
      </c>
      <c r="O443">
        <v>30</v>
      </c>
    </row>
    <row r="444" spans="1:15" ht="15.75" customHeight="1">
      <c r="A444">
        <v>13</v>
      </c>
      <c r="B444" t="s">
        <v>2140</v>
      </c>
      <c r="C444">
        <v>2003</v>
      </c>
      <c r="D444">
        <v>22</v>
      </c>
      <c r="E444">
        <v>7</v>
      </c>
      <c r="G444">
        <v>15</v>
      </c>
      <c r="H444" t="s">
        <v>68</v>
      </c>
      <c r="I444" t="s">
        <v>178</v>
      </c>
      <c r="J444" t="s">
        <v>2525</v>
      </c>
      <c r="K444">
        <v>1846</v>
      </c>
      <c r="L444" t="s">
        <v>2526</v>
      </c>
      <c r="M444">
        <v>2078</v>
      </c>
      <c r="N444">
        <v>88.8</v>
      </c>
      <c r="O444">
        <v>28</v>
      </c>
    </row>
    <row r="445" spans="1:15" ht="15.75" customHeight="1">
      <c r="A445">
        <v>14</v>
      </c>
      <c r="B445" t="s">
        <v>2166</v>
      </c>
      <c r="C445">
        <v>2003</v>
      </c>
      <c r="D445">
        <v>22</v>
      </c>
      <c r="E445">
        <v>5</v>
      </c>
      <c r="G445">
        <v>17</v>
      </c>
      <c r="H445" t="s">
        <v>68</v>
      </c>
      <c r="I445" t="s">
        <v>96</v>
      </c>
      <c r="J445" t="s">
        <v>2527</v>
      </c>
      <c r="K445">
        <v>1899</v>
      </c>
      <c r="L445" t="s">
        <v>2528</v>
      </c>
      <c r="M445">
        <v>2344</v>
      </c>
      <c r="N445">
        <v>81</v>
      </c>
      <c r="O445">
        <v>20</v>
      </c>
    </row>
    <row r="446" spans="1:15" ht="15.75" customHeight="1">
      <c r="A446">
        <v>15</v>
      </c>
      <c r="B446" t="s">
        <v>2154</v>
      </c>
      <c r="C446">
        <v>2003</v>
      </c>
      <c r="D446">
        <v>22</v>
      </c>
      <c r="E446">
        <v>4</v>
      </c>
      <c r="G446">
        <v>18</v>
      </c>
      <c r="H446" t="s">
        <v>96</v>
      </c>
      <c r="I446" t="s">
        <v>178</v>
      </c>
      <c r="J446" t="s">
        <v>2529</v>
      </c>
      <c r="K446">
        <v>1784</v>
      </c>
      <c r="L446" t="s">
        <v>2530</v>
      </c>
      <c r="M446">
        <v>2674</v>
      </c>
      <c r="N446">
        <v>66.7</v>
      </c>
      <c r="O446">
        <v>16</v>
      </c>
    </row>
    <row r="447" spans="1:15" ht="15.75" customHeight="1">
      <c r="A447">
        <v>16</v>
      </c>
      <c r="B447" t="s">
        <v>2157</v>
      </c>
      <c r="C447">
        <v>2003</v>
      </c>
      <c r="D447">
        <v>22</v>
      </c>
      <c r="E447">
        <v>3</v>
      </c>
      <c r="F447">
        <v>1</v>
      </c>
      <c r="G447">
        <v>18</v>
      </c>
      <c r="H447" t="s">
        <v>77</v>
      </c>
      <c r="I447" s="30">
        <v>39814</v>
      </c>
      <c r="J447" t="s">
        <v>2531</v>
      </c>
      <c r="K447">
        <v>2014</v>
      </c>
      <c r="L447" t="s">
        <v>2532</v>
      </c>
      <c r="M447">
        <v>2693</v>
      </c>
      <c r="N447">
        <v>74.8</v>
      </c>
      <c r="O447">
        <v>14</v>
      </c>
    </row>
    <row r="449" spans="1:15" ht="15.75" customHeight="1">
      <c r="A449" t="s">
        <v>2105</v>
      </c>
      <c r="B449" t="s">
        <v>2106</v>
      </c>
      <c r="C449" s="31" t="s">
        <v>2</v>
      </c>
      <c r="D449" t="s">
        <v>2107</v>
      </c>
      <c r="E449" t="s">
        <v>2108</v>
      </c>
      <c r="F449" t="s">
        <v>2109</v>
      </c>
      <c r="G449" t="s">
        <v>2110</v>
      </c>
      <c r="H449" t="s">
        <v>2111</v>
      </c>
      <c r="I449" t="s">
        <v>2112</v>
      </c>
      <c r="J449" t="s">
        <v>2113</v>
      </c>
      <c r="K449" t="s">
        <v>2114</v>
      </c>
      <c r="L449" t="s">
        <v>2115</v>
      </c>
      <c r="M449" t="s">
        <v>2116</v>
      </c>
      <c r="N449" t="s">
        <v>2117</v>
      </c>
      <c r="O449" t="s">
        <v>2118</v>
      </c>
    </row>
    <row r="450" spans="1:15" ht="15.75" customHeight="1">
      <c r="A450">
        <v>1</v>
      </c>
      <c r="B450" t="s">
        <v>2131</v>
      </c>
      <c r="C450">
        <v>2002</v>
      </c>
      <c r="D450">
        <v>22</v>
      </c>
      <c r="E450">
        <v>18</v>
      </c>
      <c r="G450">
        <v>4</v>
      </c>
      <c r="H450" t="s">
        <v>52</v>
      </c>
      <c r="I450" t="s">
        <v>38</v>
      </c>
      <c r="J450" t="s">
        <v>2533</v>
      </c>
      <c r="K450">
        <v>2360</v>
      </c>
      <c r="L450" t="s">
        <v>2475</v>
      </c>
      <c r="M450">
        <v>1783</v>
      </c>
      <c r="N450">
        <v>132.4</v>
      </c>
      <c r="O450">
        <v>72</v>
      </c>
    </row>
    <row r="451" spans="1:15" ht="15.75" customHeight="1">
      <c r="A451">
        <v>2</v>
      </c>
      <c r="B451" t="s">
        <v>2160</v>
      </c>
      <c r="C451">
        <v>2002</v>
      </c>
      <c r="D451">
        <v>22</v>
      </c>
      <c r="E451">
        <v>17</v>
      </c>
      <c r="G451">
        <v>5</v>
      </c>
      <c r="H451" t="s">
        <v>566</v>
      </c>
      <c r="I451" t="s">
        <v>149</v>
      </c>
      <c r="J451" t="s">
        <v>2534</v>
      </c>
      <c r="K451">
        <v>2520</v>
      </c>
      <c r="L451" t="s">
        <v>2535</v>
      </c>
      <c r="M451">
        <v>1843</v>
      </c>
      <c r="N451">
        <v>136.69999999999999</v>
      </c>
      <c r="O451">
        <v>68</v>
      </c>
    </row>
    <row r="452" spans="1:15" ht="15.75" customHeight="1">
      <c r="A452">
        <v>3</v>
      </c>
      <c r="B452" t="s">
        <v>2145</v>
      </c>
      <c r="C452">
        <v>2002</v>
      </c>
      <c r="D452">
        <v>22</v>
      </c>
      <c r="E452">
        <v>15</v>
      </c>
      <c r="G452">
        <v>7</v>
      </c>
      <c r="H452" t="s">
        <v>23</v>
      </c>
      <c r="I452" t="s">
        <v>149</v>
      </c>
      <c r="J452" t="s">
        <v>2536</v>
      </c>
      <c r="K452">
        <v>2308</v>
      </c>
      <c r="L452" t="s">
        <v>2537</v>
      </c>
      <c r="M452">
        <v>2007</v>
      </c>
      <c r="N452">
        <v>115</v>
      </c>
      <c r="O452">
        <v>60</v>
      </c>
    </row>
    <row r="453" spans="1:15" ht="15.75" customHeight="1">
      <c r="A453">
        <v>4</v>
      </c>
      <c r="B453" t="s">
        <v>2148</v>
      </c>
      <c r="C453">
        <v>2002</v>
      </c>
      <c r="D453">
        <v>22</v>
      </c>
      <c r="E453">
        <v>13</v>
      </c>
      <c r="G453">
        <v>9</v>
      </c>
      <c r="H453" t="s">
        <v>23</v>
      </c>
      <c r="I453" t="s">
        <v>68</v>
      </c>
      <c r="J453" t="s">
        <v>2538</v>
      </c>
      <c r="K453">
        <v>2081</v>
      </c>
      <c r="L453" t="s">
        <v>2539</v>
      </c>
      <c r="M453">
        <v>1897</v>
      </c>
      <c r="N453">
        <v>109.7</v>
      </c>
      <c r="O453">
        <v>52</v>
      </c>
    </row>
    <row r="454" spans="1:15" ht="15.75" customHeight="1">
      <c r="A454">
        <v>5</v>
      </c>
      <c r="B454" t="s">
        <v>2137</v>
      </c>
      <c r="C454">
        <v>2002</v>
      </c>
      <c r="D454">
        <v>22</v>
      </c>
      <c r="E454">
        <v>12</v>
      </c>
      <c r="F454">
        <v>1</v>
      </c>
      <c r="G454">
        <v>9</v>
      </c>
      <c r="H454" t="s">
        <v>38</v>
      </c>
      <c r="I454" s="30">
        <v>38808</v>
      </c>
      <c r="J454" t="s">
        <v>2540</v>
      </c>
      <c r="K454">
        <v>1939</v>
      </c>
      <c r="L454" t="s">
        <v>2307</v>
      </c>
      <c r="M454">
        <v>1847</v>
      </c>
      <c r="N454">
        <v>105</v>
      </c>
      <c r="O454">
        <v>50</v>
      </c>
    </row>
    <row r="455" spans="1:15" ht="15.75" customHeight="1">
      <c r="A455">
        <v>6</v>
      </c>
      <c r="B455" t="s">
        <v>2166</v>
      </c>
      <c r="C455">
        <v>2002</v>
      </c>
      <c r="D455">
        <v>22</v>
      </c>
      <c r="E455">
        <v>12</v>
      </c>
      <c r="G455">
        <v>10</v>
      </c>
      <c r="H455" t="s">
        <v>18</v>
      </c>
      <c r="I455" t="s">
        <v>63</v>
      </c>
      <c r="J455" t="s">
        <v>2541</v>
      </c>
      <c r="K455">
        <v>2243</v>
      </c>
      <c r="L455" t="s">
        <v>2542</v>
      </c>
      <c r="M455">
        <v>2245</v>
      </c>
      <c r="N455">
        <v>99.9</v>
      </c>
      <c r="O455">
        <v>48</v>
      </c>
    </row>
    <row r="456" spans="1:15" ht="15.75" customHeight="1">
      <c r="A456">
        <v>7</v>
      </c>
      <c r="B456" t="s">
        <v>2385</v>
      </c>
      <c r="C456">
        <v>2002</v>
      </c>
      <c r="D456">
        <v>22</v>
      </c>
      <c r="E456">
        <v>12</v>
      </c>
      <c r="G456">
        <v>10</v>
      </c>
      <c r="H456" t="s">
        <v>18</v>
      </c>
      <c r="I456" t="s">
        <v>63</v>
      </c>
      <c r="J456" t="s">
        <v>2543</v>
      </c>
      <c r="K456">
        <v>2241</v>
      </c>
      <c r="L456" t="s">
        <v>2544</v>
      </c>
      <c r="M456">
        <v>2269</v>
      </c>
      <c r="N456">
        <v>98.8</v>
      </c>
      <c r="O456">
        <v>48</v>
      </c>
    </row>
    <row r="457" spans="1:15" ht="15.75" customHeight="1">
      <c r="A457">
        <v>8</v>
      </c>
      <c r="B457" t="s">
        <v>2143</v>
      </c>
      <c r="C457">
        <v>2002</v>
      </c>
      <c r="D457">
        <v>22</v>
      </c>
      <c r="E457">
        <v>11</v>
      </c>
      <c r="G457">
        <v>11</v>
      </c>
      <c r="H457" t="s">
        <v>23</v>
      </c>
      <c r="I457" t="s">
        <v>77</v>
      </c>
      <c r="J457" t="s">
        <v>2545</v>
      </c>
      <c r="K457">
        <v>2208</v>
      </c>
      <c r="L457" t="s">
        <v>2546</v>
      </c>
      <c r="M457">
        <v>2254</v>
      </c>
      <c r="N457">
        <v>98</v>
      </c>
      <c r="O457">
        <v>44</v>
      </c>
    </row>
    <row r="458" spans="1:15" ht="15.75" customHeight="1">
      <c r="A458">
        <v>9</v>
      </c>
      <c r="B458" t="s">
        <v>2125</v>
      </c>
      <c r="C458">
        <v>2002</v>
      </c>
      <c r="D458">
        <v>22</v>
      </c>
      <c r="E458">
        <v>11</v>
      </c>
      <c r="G458">
        <v>11</v>
      </c>
      <c r="H458" t="s">
        <v>63</v>
      </c>
      <c r="I458" t="s">
        <v>149</v>
      </c>
      <c r="J458" t="s">
        <v>2547</v>
      </c>
      <c r="K458">
        <v>1933</v>
      </c>
      <c r="L458" t="s">
        <v>2548</v>
      </c>
      <c r="M458">
        <v>2029</v>
      </c>
      <c r="N458">
        <v>95.3</v>
      </c>
      <c r="O458">
        <v>44</v>
      </c>
    </row>
    <row r="459" spans="1:15" ht="15.75" customHeight="1">
      <c r="A459">
        <v>10</v>
      </c>
      <c r="B459" t="s">
        <v>2122</v>
      </c>
      <c r="C459">
        <v>2002</v>
      </c>
      <c r="D459">
        <v>22</v>
      </c>
      <c r="E459">
        <v>11</v>
      </c>
      <c r="G459">
        <v>11</v>
      </c>
      <c r="H459" t="s">
        <v>18</v>
      </c>
      <c r="I459" t="s">
        <v>68</v>
      </c>
      <c r="J459" t="s">
        <v>2549</v>
      </c>
      <c r="K459">
        <v>1938</v>
      </c>
      <c r="L459" t="s">
        <v>2550</v>
      </c>
      <c r="M459">
        <v>2107</v>
      </c>
      <c r="N459">
        <v>92</v>
      </c>
      <c r="O459">
        <v>44</v>
      </c>
    </row>
    <row r="460" spans="1:15" ht="15.75" customHeight="1">
      <c r="A460">
        <v>11</v>
      </c>
      <c r="B460" t="s">
        <v>2119</v>
      </c>
      <c r="C460">
        <v>2002</v>
      </c>
      <c r="D460">
        <v>22</v>
      </c>
      <c r="E460">
        <v>9</v>
      </c>
      <c r="F460">
        <v>1</v>
      </c>
      <c r="G460">
        <v>12</v>
      </c>
      <c r="H460" t="s">
        <v>149</v>
      </c>
      <c r="I460" s="30">
        <v>39142</v>
      </c>
      <c r="J460" t="s">
        <v>2551</v>
      </c>
      <c r="K460">
        <v>2123</v>
      </c>
      <c r="L460" t="s">
        <v>2552</v>
      </c>
      <c r="M460">
        <v>1976</v>
      </c>
      <c r="N460">
        <v>107.4</v>
      </c>
      <c r="O460">
        <v>38</v>
      </c>
    </row>
    <row r="461" spans="1:15" ht="15.75" customHeight="1">
      <c r="A461">
        <v>12</v>
      </c>
      <c r="B461" t="s">
        <v>2157</v>
      </c>
      <c r="C461">
        <v>2002</v>
      </c>
      <c r="D461">
        <v>22</v>
      </c>
      <c r="E461">
        <v>9</v>
      </c>
      <c r="F461">
        <v>1</v>
      </c>
      <c r="G461">
        <v>12</v>
      </c>
      <c r="H461" s="30">
        <v>38473</v>
      </c>
      <c r="I461" t="s">
        <v>68</v>
      </c>
      <c r="J461" t="s">
        <v>2553</v>
      </c>
      <c r="K461">
        <v>2335</v>
      </c>
      <c r="L461" t="s">
        <v>2554</v>
      </c>
      <c r="M461">
        <v>2246</v>
      </c>
      <c r="N461">
        <v>104</v>
      </c>
      <c r="O461">
        <v>38</v>
      </c>
    </row>
    <row r="462" spans="1:15" ht="15.75" customHeight="1">
      <c r="A462">
        <v>13</v>
      </c>
      <c r="B462" t="s">
        <v>2128</v>
      </c>
      <c r="C462">
        <v>2002</v>
      </c>
      <c r="D462">
        <v>22</v>
      </c>
      <c r="E462">
        <v>9</v>
      </c>
      <c r="G462">
        <v>13</v>
      </c>
      <c r="H462" t="s">
        <v>23</v>
      </c>
      <c r="I462" t="s">
        <v>330</v>
      </c>
      <c r="J462" t="s">
        <v>2555</v>
      </c>
      <c r="K462">
        <v>1900</v>
      </c>
      <c r="L462" t="s">
        <v>2556</v>
      </c>
      <c r="M462">
        <v>2151</v>
      </c>
      <c r="N462">
        <v>88.3</v>
      </c>
      <c r="O462">
        <v>36</v>
      </c>
    </row>
    <row r="463" spans="1:15" ht="15.75" customHeight="1">
      <c r="A463">
        <v>14</v>
      </c>
      <c r="B463" t="s">
        <v>2140</v>
      </c>
      <c r="C463">
        <v>2002</v>
      </c>
      <c r="D463">
        <v>22</v>
      </c>
      <c r="E463">
        <v>7</v>
      </c>
      <c r="G463">
        <v>15</v>
      </c>
      <c r="H463" t="s">
        <v>149</v>
      </c>
      <c r="I463" t="s">
        <v>96</v>
      </c>
      <c r="J463" t="s">
        <v>2557</v>
      </c>
      <c r="K463">
        <v>1801</v>
      </c>
      <c r="L463" t="s">
        <v>2558</v>
      </c>
      <c r="M463">
        <v>2172</v>
      </c>
      <c r="N463">
        <v>82.9</v>
      </c>
      <c r="O463">
        <v>28</v>
      </c>
    </row>
    <row r="464" spans="1:15" ht="15.75" customHeight="1">
      <c r="A464">
        <v>15</v>
      </c>
      <c r="B464" t="s">
        <v>2169</v>
      </c>
      <c r="C464">
        <v>2002</v>
      </c>
      <c r="D464">
        <v>22</v>
      </c>
      <c r="E464">
        <v>5</v>
      </c>
      <c r="F464">
        <v>1</v>
      </c>
      <c r="G464">
        <v>16</v>
      </c>
      <c r="H464" s="30">
        <v>38808</v>
      </c>
      <c r="I464" t="s">
        <v>96</v>
      </c>
      <c r="J464" t="s">
        <v>2559</v>
      </c>
      <c r="K464">
        <v>1785</v>
      </c>
      <c r="L464" t="s">
        <v>2560</v>
      </c>
      <c r="M464">
        <v>2271</v>
      </c>
      <c r="N464">
        <v>78.599999999999994</v>
      </c>
      <c r="O464">
        <v>22</v>
      </c>
    </row>
    <row r="465" spans="1:15" ht="15.75" customHeight="1">
      <c r="A465">
        <v>16</v>
      </c>
      <c r="B465" t="s">
        <v>2154</v>
      </c>
      <c r="C465">
        <v>2002</v>
      </c>
      <c r="D465">
        <v>22</v>
      </c>
      <c r="E465">
        <v>3</v>
      </c>
      <c r="G465">
        <v>19</v>
      </c>
      <c r="H465" t="s">
        <v>77</v>
      </c>
      <c r="I465" t="s">
        <v>96</v>
      </c>
      <c r="J465" t="s">
        <v>2561</v>
      </c>
      <c r="K465">
        <v>1682</v>
      </c>
      <c r="L465" t="s">
        <v>2562</v>
      </c>
      <c r="M465">
        <v>2300</v>
      </c>
      <c r="N465">
        <v>73.099999999999994</v>
      </c>
      <c r="O465">
        <v>12</v>
      </c>
    </row>
    <row r="468" spans="1:15" ht="15.75" customHeight="1">
      <c r="A468" t="s">
        <v>2105</v>
      </c>
      <c r="B468" t="s">
        <v>2106</v>
      </c>
      <c r="C468" s="31" t="s">
        <v>2</v>
      </c>
      <c r="D468" t="s">
        <v>2107</v>
      </c>
      <c r="E468" t="s">
        <v>2108</v>
      </c>
      <c r="F468" t="s">
        <v>2109</v>
      </c>
      <c r="G468" t="s">
        <v>2110</v>
      </c>
      <c r="H468" t="s">
        <v>2111</v>
      </c>
      <c r="I468" t="s">
        <v>2112</v>
      </c>
      <c r="J468" t="s">
        <v>2113</v>
      </c>
      <c r="K468" t="s">
        <v>2114</v>
      </c>
      <c r="L468" t="s">
        <v>2115</v>
      </c>
      <c r="M468" t="s">
        <v>2116</v>
      </c>
      <c r="N468" t="s">
        <v>2117</v>
      </c>
      <c r="O468" t="s">
        <v>2118</v>
      </c>
    </row>
    <row r="469" spans="1:15" ht="15.75" customHeight="1">
      <c r="A469">
        <v>1</v>
      </c>
      <c r="B469" t="s">
        <v>2137</v>
      </c>
      <c r="C469">
        <v>2001</v>
      </c>
      <c r="D469">
        <v>22</v>
      </c>
      <c r="E469">
        <v>17</v>
      </c>
      <c r="G469">
        <v>5</v>
      </c>
      <c r="H469" t="s">
        <v>23</v>
      </c>
      <c r="I469" t="s">
        <v>38</v>
      </c>
      <c r="J469" t="s">
        <v>2563</v>
      </c>
      <c r="K469">
        <v>2548</v>
      </c>
      <c r="L469" t="s">
        <v>2564</v>
      </c>
      <c r="M469">
        <v>1895</v>
      </c>
      <c r="N469">
        <v>134.5</v>
      </c>
      <c r="O469">
        <v>68</v>
      </c>
    </row>
    <row r="470" spans="1:15" ht="15.75" customHeight="1">
      <c r="A470">
        <v>2</v>
      </c>
      <c r="B470" t="s">
        <v>2160</v>
      </c>
      <c r="C470">
        <v>2001</v>
      </c>
      <c r="D470">
        <v>22</v>
      </c>
      <c r="E470">
        <v>17</v>
      </c>
      <c r="G470">
        <v>5</v>
      </c>
      <c r="H470" t="s">
        <v>52</v>
      </c>
      <c r="I470" t="s">
        <v>18</v>
      </c>
      <c r="J470" t="s">
        <v>2565</v>
      </c>
      <c r="K470">
        <v>2538</v>
      </c>
      <c r="L470" t="s">
        <v>2566</v>
      </c>
      <c r="M470">
        <v>1989</v>
      </c>
      <c r="N470">
        <v>127.6</v>
      </c>
      <c r="O470">
        <v>68</v>
      </c>
    </row>
    <row r="471" spans="1:15" ht="15.75" customHeight="1">
      <c r="A471">
        <v>3</v>
      </c>
      <c r="B471" t="s">
        <v>2131</v>
      </c>
      <c r="C471">
        <v>2001</v>
      </c>
      <c r="D471">
        <v>22</v>
      </c>
      <c r="E471">
        <v>16</v>
      </c>
      <c r="G471">
        <v>6</v>
      </c>
      <c r="H471" t="s">
        <v>23</v>
      </c>
      <c r="I471" t="s">
        <v>18</v>
      </c>
      <c r="J471" t="s">
        <v>2567</v>
      </c>
      <c r="K471">
        <v>2473</v>
      </c>
      <c r="L471" t="s">
        <v>2568</v>
      </c>
      <c r="M471">
        <v>1918</v>
      </c>
      <c r="N471">
        <v>128.9</v>
      </c>
      <c r="O471">
        <v>64</v>
      </c>
    </row>
    <row r="472" spans="1:15" ht="15.75" customHeight="1">
      <c r="A472">
        <v>4</v>
      </c>
      <c r="B472" t="s">
        <v>2140</v>
      </c>
      <c r="C472">
        <v>2001</v>
      </c>
      <c r="D472">
        <v>22</v>
      </c>
      <c r="E472">
        <v>15</v>
      </c>
      <c r="G472">
        <v>7</v>
      </c>
      <c r="H472" t="s">
        <v>18</v>
      </c>
      <c r="I472" t="s">
        <v>38</v>
      </c>
      <c r="J472" t="s">
        <v>2569</v>
      </c>
      <c r="K472">
        <v>2126</v>
      </c>
      <c r="L472" t="s">
        <v>2570</v>
      </c>
      <c r="M472">
        <v>1973</v>
      </c>
      <c r="N472">
        <v>107.8</v>
      </c>
      <c r="O472">
        <v>60</v>
      </c>
    </row>
    <row r="473" spans="1:15" ht="15.75" customHeight="1">
      <c r="A473">
        <v>5</v>
      </c>
      <c r="B473" t="s">
        <v>2154</v>
      </c>
      <c r="C473">
        <v>2001</v>
      </c>
      <c r="D473">
        <v>22</v>
      </c>
      <c r="E473">
        <v>14</v>
      </c>
      <c r="G473">
        <v>8</v>
      </c>
      <c r="H473" t="s">
        <v>38</v>
      </c>
      <c r="I473" t="s">
        <v>149</v>
      </c>
      <c r="J473" t="s">
        <v>2571</v>
      </c>
      <c r="K473">
        <v>2311</v>
      </c>
      <c r="L473" t="s">
        <v>2572</v>
      </c>
      <c r="M473">
        <v>1797</v>
      </c>
      <c r="N473">
        <v>128.6</v>
      </c>
      <c r="O473">
        <v>56</v>
      </c>
    </row>
    <row r="474" spans="1:15" ht="15.75" customHeight="1">
      <c r="A474">
        <v>6</v>
      </c>
      <c r="B474" t="s">
        <v>2122</v>
      </c>
      <c r="C474">
        <v>2001</v>
      </c>
      <c r="D474">
        <v>22</v>
      </c>
      <c r="E474">
        <v>13</v>
      </c>
      <c r="G474">
        <v>9</v>
      </c>
      <c r="H474" t="s">
        <v>149</v>
      </c>
      <c r="I474" t="s">
        <v>18</v>
      </c>
      <c r="J474" t="s">
        <v>2573</v>
      </c>
      <c r="K474">
        <v>2149</v>
      </c>
      <c r="L474" t="s">
        <v>2574</v>
      </c>
      <c r="M474">
        <v>2041</v>
      </c>
      <c r="N474">
        <v>105.3</v>
      </c>
      <c r="O474">
        <v>52</v>
      </c>
    </row>
    <row r="475" spans="1:15" ht="15.75" customHeight="1">
      <c r="A475">
        <v>7</v>
      </c>
      <c r="B475" t="s">
        <v>2119</v>
      </c>
      <c r="C475">
        <v>2001</v>
      </c>
      <c r="D475">
        <v>22</v>
      </c>
      <c r="E475">
        <v>12</v>
      </c>
      <c r="G475">
        <v>10</v>
      </c>
      <c r="H475" t="s">
        <v>18</v>
      </c>
      <c r="I475" t="s">
        <v>63</v>
      </c>
      <c r="J475" t="s">
        <v>2575</v>
      </c>
      <c r="K475">
        <v>2121</v>
      </c>
      <c r="L475" t="s">
        <v>2576</v>
      </c>
      <c r="M475">
        <v>1833</v>
      </c>
      <c r="N475">
        <v>115.7</v>
      </c>
      <c r="O475">
        <v>48</v>
      </c>
    </row>
    <row r="476" spans="1:15" ht="15.75" customHeight="1">
      <c r="A476">
        <v>8</v>
      </c>
      <c r="B476" t="s">
        <v>2145</v>
      </c>
      <c r="C476">
        <v>2001</v>
      </c>
      <c r="D476">
        <v>22</v>
      </c>
      <c r="E476">
        <v>12</v>
      </c>
      <c r="G476">
        <v>10</v>
      </c>
      <c r="H476" t="s">
        <v>149</v>
      </c>
      <c r="I476" t="s">
        <v>149</v>
      </c>
      <c r="J476" t="s">
        <v>2577</v>
      </c>
      <c r="K476">
        <v>2085</v>
      </c>
      <c r="L476" t="s">
        <v>2578</v>
      </c>
      <c r="M476">
        <v>2026</v>
      </c>
      <c r="N476">
        <v>102.9</v>
      </c>
      <c r="O476">
        <v>48</v>
      </c>
    </row>
    <row r="477" spans="1:15" ht="15.75" customHeight="1">
      <c r="A477">
        <v>9</v>
      </c>
      <c r="B477" t="s">
        <v>2148</v>
      </c>
      <c r="C477">
        <v>2001</v>
      </c>
      <c r="D477">
        <v>22</v>
      </c>
      <c r="E477">
        <v>11</v>
      </c>
      <c r="G477">
        <v>11</v>
      </c>
      <c r="H477" t="s">
        <v>63</v>
      </c>
      <c r="I477" t="s">
        <v>149</v>
      </c>
      <c r="J477" t="s">
        <v>2579</v>
      </c>
      <c r="K477">
        <v>2232</v>
      </c>
      <c r="L477" t="s">
        <v>245</v>
      </c>
      <c r="M477">
        <v>2088</v>
      </c>
      <c r="N477">
        <v>106.9</v>
      </c>
      <c r="O477">
        <v>44</v>
      </c>
    </row>
    <row r="478" spans="1:15" ht="15.75" customHeight="1">
      <c r="A478">
        <v>10</v>
      </c>
      <c r="B478" t="s">
        <v>2157</v>
      </c>
      <c r="C478">
        <v>2001</v>
      </c>
      <c r="D478">
        <v>22</v>
      </c>
      <c r="E478">
        <v>10</v>
      </c>
      <c r="G478">
        <v>12</v>
      </c>
      <c r="H478" t="s">
        <v>178</v>
      </c>
      <c r="I478" t="s">
        <v>18</v>
      </c>
      <c r="J478" t="s">
        <v>2580</v>
      </c>
      <c r="K478">
        <v>2305</v>
      </c>
      <c r="L478" t="s">
        <v>2581</v>
      </c>
      <c r="M478">
        <v>2458</v>
      </c>
      <c r="N478">
        <v>93.8</v>
      </c>
      <c r="O478">
        <v>40</v>
      </c>
    </row>
    <row r="479" spans="1:15" ht="15.75" customHeight="1">
      <c r="A479">
        <v>11</v>
      </c>
      <c r="B479" t="s">
        <v>2166</v>
      </c>
      <c r="C479">
        <v>2001</v>
      </c>
      <c r="D479">
        <v>22</v>
      </c>
      <c r="E479">
        <v>10</v>
      </c>
      <c r="G479">
        <v>12</v>
      </c>
      <c r="H479" t="s">
        <v>178</v>
      </c>
      <c r="I479" t="s">
        <v>18</v>
      </c>
      <c r="J479" t="s">
        <v>2582</v>
      </c>
      <c r="K479">
        <v>2136</v>
      </c>
      <c r="L479" t="s">
        <v>2583</v>
      </c>
      <c r="M479">
        <v>2364</v>
      </c>
      <c r="N479">
        <v>90.4</v>
      </c>
      <c r="O479">
        <v>40</v>
      </c>
    </row>
    <row r="480" spans="1:15" ht="15.75" customHeight="1">
      <c r="A480">
        <v>12</v>
      </c>
      <c r="B480" t="s">
        <v>2125</v>
      </c>
      <c r="C480">
        <v>2001</v>
      </c>
      <c r="D480">
        <v>22</v>
      </c>
      <c r="E480">
        <v>9</v>
      </c>
      <c r="G480">
        <v>13</v>
      </c>
      <c r="H480" t="s">
        <v>63</v>
      </c>
      <c r="I480" t="s">
        <v>68</v>
      </c>
      <c r="J480" t="s">
        <v>2584</v>
      </c>
      <c r="K480">
        <v>1926</v>
      </c>
      <c r="L480" t="s">
        <v>2585</v>
      </c>
      <c r="M480">
        <v>2054</v>
      </c>
      <c r="N480">
        <v>93.8</v>
      </c>
      <c r="O480">
        <v>36</v>
      </c>
    </row>
    <row r="481" spans="1:15" ht="15.75" customHeight="1">
      <c r="A481">
        <v>13</v>
      </c>
      <c r="B481" t="s">
        <v>2385</v>
      </c>
      <c r="C481">
        <v>2001</v>
      </c>
      <c r="D481">
        <v>22</v>
      </c>
      <c r="E481">
        <v>9</v>
      </c>
      <c r="G481">
        <v>13</v>
      </c>
      <c r="H481" t="s">
        <v>68</v>
      </c>
      <c r="I481" t="s">
        <v>63</v>
      </c>
      <c r="J481" t="s">
        <v>2586</v>
      </c>
      <c r="K481">
        <v>2161</v>
      </c>
      <c r="L481" t="s">
        <v>2587</v>
      </c>
      <c r="M481">
        <v>2371</v>
      </c>
      <c r="N481">
        <v>91.1</v>
      </c>
      <c r="O481">
        <v>36</v>
      </c>
    </row>
    <row r="482" spans="1:15" ht="15.75" customHeight="1">
      <c r="A482">
        <v>14</v>
      </c>
      <c r="B482" t="s">
        <v>2143</v>
      </c>
      <c r="C482">
        <v>2001</v>
      </c>
      <c r="D482">
        <v>22</v>
      </c>
      <c r="E482">
        <v>5</v>
      </c>
      <c r="G482">
        <v>17</v>
      </c>
      <c r="H482" t="s">
        <v>178</v>
      </c>
      <c r="I482" t="s">
        <v>77</v>
      </c>
      <c r="J482" t="s">
        <v>2588</v>
      </c>
      <c r="K482">
        <v>1708</v>
      </c>
      <c r="L482" t="s">
        <v>2589</v>
      </c>
      <c r="M482">
        <v>2590</v>
      </c>
      <c r="N482">
        <v>65.900000000000006</v>
      </c>
      <c r="O482">
        <v>20</v>
      </c>
    </row>
    <row r="483" spans="1:15" ht="15.75" customHeight="1">
      <c r="A483">
        <v>15</v>
      </c>
      <c r="B483" t="s">
        <v>2169</v>
      </c>
      <c r="C483">
        <v>2001</v>
      </c>
      <c r="D483">
        <v>22</v>
      </c>
      <c r="E483">
        <v>4</v>
      </c>
      <c r="G483">
        <v>18</v>
      </c>
      <c r="H483" t="s">
        <v>96</v>
      </c>
      <c r="I483" t="s">
        <v>178</v>
      </c>
      <c r="J483" t="s">
        <v>2590</v>
      </c>
      <c r="K483">
        <v>1917</v>
      </c>
      <c r="L483" t="s">
        <v>2591</v>
      </c>
      <c r="M483">
        <v>2642</v>
      </c>
      <c r="N483">
        <v>72.599999999999994</v>
      </c>
      <c r="O483">
        <v>16</v>
      </c>
    </row>
    <row r="484" spans="1:15" ht="15.75" customHeight="1">
      <c r="A484">
        <v>16</v>
      </c>
      <c r="B484" t="s">
        <v>2128</v>
      </c>
      <c r="C484">
        <v>2001</v>
      </c>
      <c r="D484">
        <v>22</v>
      </c>
      <c r="E484">
        <v>2</v>
      </c>
      <c r="G484">
        <v>20</v>
      </c>
      <c r="H484" t="s">
        <v>96</v>
      </c>
      <c r="I484" t="s">
        <v>96</v>
      </c>
      <c r="J484" t="s">
        <v>2592</v>
      </c>
      <c r="K484">
        <v>1794</v>
      </c>
      <c r="L484" t="s">
        <v>2593</v>
      </c>
      <c r="M484">
        <v>2491</v>
      </c>
      <c r="N484">
        <v>72</v>
      </c>
      <c r="O484">
        <v>8</v>
      </c>
    </row>
    <row r="486" spans="1:15" ht="15.75" customHeight="1">
      <c r="A486" t="s">
        <v>2105</v>
      </c>
      <c r="B486" t="s">
        <v>2106</v>
      </c>
      <c r="C486" s="31" t="s">
        <v>2</v>
      </c>
      <c r="D486" t="s">
        <v>2107</v>
      </c>
      <c r="E486" t="s">
        <v>2108</v>
      </c>
      <c r="F486" t="s">
        <v>2109</v>
      </c>
      <c r="G486" t="s">
        <v>2110</v>
      </c>
      <c r="H486" t="s">
        <v>2111</v>
      </c>
      <c r="I486" t="s">
        <v>2112</v>
      </c>
      <c r="J486" t="s">
        <v>2113</v>
      </c>
      <c r="K486" t="s">
        <v>2114</v>
      </c>
      <c r="L486" t="s">
        <v>2115</v>
      </c>
      <c r="M486" t="s">
        <v>2116</v>
      </c>
      <c r="N486" t="s">
        <v>2117</v>
      </c>
      <c r="O486" t="s">
        <v>2118</v>
      </c>
    </row>
    <row r="487" spans="1:15" ht="15.75" customHeight="1">
      <c r="A487">
        <v>1</v>
      </c>
      <c r="B487" t="s">
        <v>2137</v>
      </c>
      <c r="C487">
        <v>2000</v>
      </c>
      <c r="D487">
        <v>22</v>
      </c>
      <c r="E487">
        <v>21</v>
      </c>
      <c r="G487">
        <v>1</v>
      </c>
      <c r="H487" t="s">
        <v>52</v>
      </c>
      <c r="I487" t="s">
        <v>566</v>
      </c>
      <c r="J487" t="s">
        <v>2594</v>
      </c>
      <c r="K487">
        <v>2816</v>
      </c>
      <c r="L487" t="s">
        <v>2595</v>
      </c>
      <c r="M487">
        <v>1770</v>
      </c>
      <c r="N487">
        <v>159.1</v>
      </c>
      <c r="O487">
        <v>84</v>
      </c>
    </row>
    <row r="488" spans="1:15" ht="15.75" customHeight="1">
      <c r="A488">
        <v>2</v>
      </c>
      <c r="B488" t="s">
        <v>2154</v>
      </c>
      <c r="D488">
        <v>22</v>
      </c>
      <c r="E488">
        <v>16</v>
      </c>
      <c r="G488">
        <v>6</v>
      </c>
      <c r="H488" t="s">
        <v>23</v>
      </c>
      <c r="I488" t="s">
        <v>18</v>
      </c>
      <c r="J488" t="s">
        <v>2596</v>
      </c>
      <c r="K488">
        <v>2667</v>
      </c>
      <c r="L488" t="s">
        <v>2597</v>
      </c>
      <c r="M488">
        <v>1979</v>
      </c>
      <c r="N488">
        <v>134.80000000000001</v>
      </c>
      <c r="O488">
        <v>64</v>
      </c>
    </row>
    <row r="489" spans="1:15" ht="15.75" customHeight="1">
      <c r="A489">
        <v>3</v>
      </c>
      <c r="B489" t="s">
        <v>2166</v>
      </c>
      <c r="D489">
        <v>22</v>
      </c>
      <c r="E489">
        <v>14</v>
      </c>
      <c r="G489">
        <v>8</v>
      </c>
      <c r="H489" t="s">
        <v>23</v>
      </c>
      <c r="I489" t="s">
        <v>63</v>
      </c>
      <c r="J489" t="s">
        <v>2598</v>
      </c>
      <c r="K489">
        <v>2557</v>
      </c>
      <c r="L489" t="s">
        <v>2599</v>
      </c>
      <c r="M489">
        <v>2159</v>
      </c>
      <c r="N489">
        <v>118.4</v>
      </c>
      <c r="O489">
        <v>56</v>
      </c>
    </row>
    <row r="490" spans="1:15" ht="15.75" customHeight="1">
      <c r="A490">
        <v>4</v>
      </c>
      <c r="B490" t="s">
        <v>2385</v>
      </c>
      <c r="D490">
        <v>22</v>
      </c>
      <c r="E490">
        <v>14</v>
      </c>
      <c r="G490">
        <v>8</v>
      </c>
      <c r="H490" t="s">
        <v>38</v>
      </c>
      <c r="I490" t="s">
        <v>149</v>
      </c>
      <c r="J490" t="s">
        <v>2600</v>
      </c>
      <c r="K490">
        <v>2447</v>
      </c>
      <c r="L490" t="s">
        <v>2601</v>
      </c>
      <c r="M490">
        <v>2304</v>
      </c>
      <c r="N490">
        <v>106.2</v>
      </c>
      <c r="O490">
        <v>56</v>
      </c>
    </row>
    <row r="491" spans="1:15" ht="15.75" customHeight="1">
      <c r="A491">
        <v>5</v>
      </c>
      <c r="B491" t="s">
        <v>2125</v>
      </c>
      <c r="D491">
        <v>22</v>
      </c>
      <c r="E491">
        <v>12</v>
      </c>
      <c r="F491">
        <v>1</v>
      </c>
      <c r="G491">
        <v>9</v>
      </c>
      <c r="H491" t="s">
        <v>18</v>
      </c>
      <c r="I491" s="30">
        <v>38473</v>
      </c>
      <c r="J491" t="s">
        <v>2602</v>
      </c>
      <c r="K491">
        <v>2234</v>
      </c>
      <c r="L491" t="s">
        <v>2603</v>
      </c>
      <c r="M491">
        <v>2306</v>
      </c>
      <c r="N491">
        <v>96.9</v>
      </c>
      <c r="O491">
        <v>50</v>
      </c>
    </row>
    <row r="492" spans="1:15" ht="15.75" customHeight="1">
      <c r="A492">
        <v>6</v>
      </c>
      <c r="B492" t="s">
        <v>2160</v>
      </c>
      <c r="D492">
        <v>22</v>
      </c>
      <c r="E492">
        <v>12</v>
      </c>
      <c r="G492">
        <v>10</v>
      </c>
      <c r="H492" t="s">
        <v>18</v>
      </c>
      <c r="I492" t="s">
        <v>63</v>
      </c>
      <c r="J492" t="s">
        <v>2604</v>
      </c>
      <c r="K492">
        <v>2602</v>
      </c>
      <c r="L492" t="s">
        <v>2605</v>
      </c>
      <c r="M492">
        <v>2222</v>
      </c>
      <c r="N492">
        <v>117.1</v>
      </c>
      <c r="O492">
        <v>48</v>
      </c>
    </row>
    <row r="493" spans="1:15" ht="15.75" customHeight="1">
      <c r="A493">
        <v>7</v>
      </c>
      <c r="B493" t="s">
        <v>2157</v>
      </c>
      <c r="D493">
        <v>22</v>
      </c>
      <c r="E493">
        <v>12</v>
      </c>
      <c r="G493">
        <v>10</v>
      </c>
      <c r="H493" t="s">
        <v>18</v>
      </c>
      <c r="I493" t="s">
        <v>63</v>
      </c>
      <c r="J493" t="s">
        <v>2606</v>
      </c>
      <c r="K493">
        <v>2321</v>
      </c>
      <c r="L493" t="s">
        <v>2607</v>
      </c>
      <c r="M493">
        <v>2241</v>
      </c>
      <c r="N493">
        <v>103.6</v>
      </c>
      <c r="O493">
        <v>48</v>
      </c>
    </row>
    <row r="494" spans="1:15" ht="15.75" customHeight="1">
      <c r="A494">
        <v>8</v>
      </c>
      <c r="B494" t="s">
        <v>2122</v>
      </c>
      <c r="D494">
        <v>22</v>
      </c>
      <c r="E494">
        <v>12</v>
      </c>
      <c r="G494">
        <v>10</v>
      </c>
      <c r="H494" t="s">
        <v>149</v>
      </c>
      <c r="I494" t="s">
        <v>149</v>
      </c>
      <c r="J494" t="s">
        <v>2608</v>
      </c>
      <c r="K494">
        <v>2198</v>
      </c>
      <c r="L494" t="s">
        <v>2609</v>
      </c>
      <c r="M494">
        <v>2251</v>
      </c>
      <c r="N494">
        <v>97.6</v>
      </c>
      <c r="O494">
        <v>48</v>
      </c>
    </row>
    <row r="495" spans="1:15" ht="15.75" customHeight="1">
      <c r="A495">
        <v>9</v>
      </c>
      <c r="B495" t="s">
        <v>2140</v>
      </c>
      <c r="D495">
        <v>22</v>
      </c>
      <c r="E495">
        <v>11</v>
      </c>
      <c r="G495">
        <v>11</v>
      </c>
      <c r="H495" t="s">
        <v>63</v>
      </c>
      <c r="I495" t="s">
        <v>149</v>
      </c>
      <c r="J495" t="s">
        <v>2610</v>
      </c>
      <c r="K495">
        <v>2068</v>
      </c>
      <c r="L495" t="s">
        <v>2611</v>
      </c>
      <c r="M495">
        <v>2221</v>
      </c>
      <c r="N495">
        <v>93.1</v>
      </c>
      <c r="O495">
        <v>44</v>
      </c>
    </row>
    <row r="496" spans="1:15" ht="15.75" customHeight="1">
      <c r="A496">
        <v>10</v>
      </c>
      <c r="B496" t="s">
        <v>2119</v>
      </c>
      <c r="D496">
        <v>22</v>
      </c>
      <c r="E496">
        <v>10</v>
      </c>
      <c r="G496">
        <v>12</v>
      </c>
      <c r="H496" t="s">
        <v>149</v>
      </c>
      <c r="I496" t="s">
        <v>68</v>
      </c>
      <c r="J496" t="s">
        <v>2398</v>
      </c>
      <c r="K496">
        <v>2254</v>
      </c>
      <c r="L496" t="s">
        <v>2612</v>
      </c>
      <c r="M496">
        <v>2219</v>
      </c>
      <c r="N496">
        <v>101.6</v>
      </c>
      <c r="O496">
        <v>40</v>
      </c>
    </row>
    <row r="497" spans="1:15" ht="15.75" customHeight="1">
      <c r="A497">
        <v>11</v>
      </c>
      <c r="B497" t="s">
        <v>2145</v>
      </c>
      <c r="D497">
        <v>22</v>
      </c>
      <c r="E497">
        <v>9</v>
      </c>
      <c r="G497">
        <v>13</v>
      </c>
      <c r="H497" t="s">
        <v>149</v>
      </c>
      <c r="I497" t="s">
        <v>178</v>
      </c>
      <c r="J497" t="s">
        <v>2613</v>
      </c>
      <c r="K497">
        <v>2255</v>
      </c>
      <c r="L497" t="s">
        <v>2614</v>
      </c>
      <c r="M497">
        <v>2347</v>
      </c>
      <c r="N497">
        <v>96.1</v>
      </c>
      <c r="O497">
        <v>36</v>
      </c>
    </row>
    <row r="498" spans="1:15" ht="15.75" customHeight="1">
      <c r="A498">
        <v>12</v>
      </c>
      <c r="B498" t="s">
        <v>2128</v>
      </c>
      <c r="D498">
        <v>22</v>
      </c>
      <c r="E498">
        <v>8</v>
      </c>
      <c r="G498">
        <v>14</v>
      </c>
      <c r="H498" t="s">
        <v>63</v>
      </c>
      <c r="I498" t="s">
        <v>178</v>
      </c>
      <c r="J498" t="s">
        <v>2615</v>
      </c>
      <c r="K498">
        <v>1886</v>
      </c>
      <c r="L498" t="s">
        <v>2616</v>
      </c>
      <c r="M498">
        <v>2618</v>
      </c>
      <c r="N498">
        <v>72</v>
      </c>
      <c r="O498">
        <v>32</v>
      </c>
    </row>
    <row r="499" spans="1:15" ht="15.75" customHeight="1">
      <c r="A499">
        <v>13</v>
      </c>
      <c r="B499" t="s">
        <v>2143</v>
      </c>
      <c r="D499">
        <v>22</v>
      </c>
      <c r="E499">
        <v>7</v>
      </c>
      <c r="F499">
        <v>1</v>
      </c>
      <c r="G499">
        <v>14</v>
      </c>
      <c r="H499" t="s">
        <v>63</v>
      </c>
      <c r="I499" s="30">
        <v>39479</v>
      </c>
      <c r="J499" t="s">
        <v>2617</v>
      </c>
      <c r="K499">
        <v>2216</v>
      </c>
      <c r="L499" t="s">
        <v>2618</v>
      </c>
      <c r="M499">
        <v>2399</v>
      </c>
      <c r="N499">
        <v>92.4</v>
      </c>
      <c r="O499">
        <v>30</v>
      </c>
    </row>
    <row r="500" spans="1:15" ht="15.75" customHeight="1">
      <c r="A500">
        <v>14</v>
      </c>
      <c r="B500" t="s">
        <v>2131</v>
      </c>
      <c r="D500">
        <v>22</v>
      </c>
      <c r="E500">
        <v>7</v>
      </c>
      <c r="F500">
        <v>1</v>
      </c>
      <c r="G500">
        <v>14</v>
      </c>
      <c r="H500" s="30">
        <v>38473</v>
      </c>
      <c r="I500" t="s">
        <v>77</v>
      </c>
      <c r="J500" t="s">
        <v>2619</v>
      </c>
      <c r="K500">
        <v>1928</v>
      </c>
      <c r="L500" t="s">
        <v>2620</v>
      </c>
      <c r="M500">
        <v>2295</v>
      </c>
      <c r="N500">
        <v>84</v>
      </c>
      <c r="O500">
        <v>30</v>
      </c>
    </row>
    <row r="501" spans="1:15" ht="15.75" customHeight="1">
      <c r="A501">
        <v>15</v>
      </c>
      <c r="B501" t="s">
        <v>2148</v>
      </c>
      <c r="D501">
        <v>22</v>
      </c>
      <c r="E501">
        <v>7</v>
      </c>
      <c r="G501">
        <v>15</v>
      </c>
      <c r="H501" t="s">
        <v>178</v>
      </c>
      <c r="I501" t="s">
        <v>68</v>
      </c>
      <c r="J501" t="s">
        <v>2621</v>
      </c>
      <c r="K501">
        <v>2089</v>
      </c>
      <c r="L501" t="s">
        <v>2622</v>
      </c>
      <c r="M501">
        <v>2431</v>
      </c>
      <c r="N501">
        <v>85.9</v>
      </c>
      <c r="O501">
        <v>28</v>
      </c>
    </row>
    <row r="502" spans="1:15" ht="15.75" customHeight="1">
      <c r="A502">
        <v>16</v>
      </c>
      <c r="B502" t="s">
        <v>2169</v>
      </c>
      <c r="D502">
        <v>22</v>
      </c>
      <c r="E502">
        <v>2</v>
      </c>
      <c r="F502">
        <v>1</v>
      </c>
      <c r="G502">
        <v>19</v>
      </c>
      <c r="H502" s="30">
        <v>39479</v>
      </c>
      <c r="I502" t="s">
        <v>330</v>
      </c>
      <c r="J502" t="s">
        <v>2623</v>
      </c>
      <c r="K502">
        <v>1855</v>
      </c>
      <c r="L502" t="s">
        <v>2624</v>
      </c>
      <c r="M502">
        <v>2631</v>
      </c>
      <c r="N502">
        <v>70.5</v>
      </c>
      <c r="O502">
        <v>10</v>
      </c>
    </row>
    <row r="503" spans="1:15" ht="15.75" customHeight="1">
      <c r="A503" t="s">
        <v>2172</v>
      </c>
      <c r="D503" t="s">
        <v>2625</v>
      </c>
    </row>
  </sheetData>
  <hyperlinks>
    <hyperlink ref="A1" r:id="rId1" xr:uid="{00000000-0004-0000-0000-000001000000}"/>
    <hyperlink ref="B1" r:id="rId2" xr:uid="{00000000-0004-0000-0000-000002000000}"/>
    <hyperlink ref="D1" r:id="rId3" xr:uid="{00000000-0004-0000-0000-000003000000}"/>
    <hyperlink ref="E1" r:id="rId4" xr:uid="{00000000-0004-0000-0000-000004000000}"/>
    <hyperlink ref="F1" r:id="rId5" xr:uid="{00000000-0004-0000-0000-000005000000}"/>
    <hyperlink ref="G1" r:id="rId6" xr:uid="{00000000-0004-0000-0000-000006000000}"/>
    <hyperlink ref="H1" r:id="rId7" xr:uid="{00000000-0004-0000-0000-000007000000}"/>
    <hyperlink ref="I1" r:id="rId8" xr:uid="{00000000-0004-0000-0000-000008000000}"/>
    <hyperlink ref="J1" r:id="rId9" xr:uid="{00000000-0004-0000-0000-000009000000}"/>
    <hyperlink ref="K1" r:id="rId10" xr:uid="{00000000-0004-0000-0000-00000A000000}"/>
    <hyperlink ref="L1" r:id="rId11" xr:uid="{00000000-0004-0000-0000-00000B000000}"/>
    <hyperlink ref="M1" r:id="rId12" xr:uid="{00000000-0004-0000-0000-00000C000000}"/>
    <hyperlink ref="N1" r:id="rId13" xr:uid="{00000000-0004-0000-0000-00000D000000}"/>
    <hyperlink ref="O1" r:id="rId14" xr:uid="{00000000-0004-0000-0000-00000E000000}"/>
    <hyperlink ref="P1" r:id="rId15" xr:uid="{00000000-0004-0000-0000-00000F000000}"/>
    <hyperlink ref="B2" r:id="rId16" xr:uid="{00000000-0004-0000-0000-000010000000}"/>
    <hyperlink ref="B3" r:id="rId17" xr:uid="{00000000-0004-0000-0000-000011000000}"/>
    <hyperlink ref="B4" r:id="rId18" xr:uid="{00000000-0004-0000-0000-000012000000}"/>
    <hyperlink ref="B5" r:id="rId19" xr:uid="{00000000-0004-0000-0000-000013000000}"/>
    <hyperlink ref="B6" r:id="rId20" xr:uid="{00000000-0004-0000-0000-000014000000}"/>
    <hyperlink ref="B7" r:id="rId21" xr:uid="{00000000-0004-0000-0000-000015000000}"/>
    <hyperlink ref="B8" r:id="rId22" xr:uid="{00000000-0004-0000-0000-000016000000}"/>
    <hyperlink ref="B9" r:id="rId23" xr:uid="{00000000-0004-0000-0000-000017000000}"/>
    <hyperlink ref="B10" r:id="rId24" xr:uid="{00000000-0004-0000-0000-000018000000}"/>
    <hyperlink ref="B11" r:id="rId25" xr:uid="{00000000-0004-0000-0000-000019000000}"/>
    <hyperlink ref="B12" r:id="rId26" xr:uid="{00000000-0004-0000-0000-00001A000000}"/>
    <hyperlink ref="B13" r:id="rId27" xr:uid="{00000000-0004-0000-0000-00001B000000}"/>
    <hyperlink ref="B14" r:id="rId28" xr:uid="{00000000-0004-0000-0000-00001C000000}"/>
    <hyperlink ref="B15" r:id="rId29" xr:uid="{00000000-0004-0000-0000-00001D000000}"/>
    <hyperlink ref="B16" r:id="rId30" xr:uid="{00000000-0004-0000-0000-00001E000000}"/>
    <hyperlink ref="B17" r:id="rId31" xr:uid="{00000000-0004-0000-0000-00001F000000}"/>
    <hyperlink ref="B18" r:id="rId32" xr:uid="{00000000-0004-0000-0000-000020000000}"/>
    <hyperlink ref="B19" r:id="rId33" xr:uid="{00000000-0004-0000-0000-000021000000}"/>
    <hyperlink ref="A21" r:id="rId34" xr:uid="{00000000-0004-0000-0000-000023000000}"/>
    <hyperlink ref="B21" r:id="rId35" xr:uid="{00000000-0004-0000-0000-000024000000}"/>
    <hyperlink ref="D21" r:id="rId36" xr:uid="{00000000-0004-0000-0000-000025000000}"/>
    <hyperlink ref="E21" r:id="rId37" xr:uid="{00000000-0004-0000-0000-000026000000}"/>
    <hyperlink ref="F21" r:id="rId38" xr:uid="{00000000-0004-0000-0000-000027000000}"/>
    <hyperlink ref="G21" r:id="rId39" xr:uid="{00000000-0004-0000-0000-000028000000}"/>
    <hyperlink ref="H21" r:id="rId40" xr:uid="{00000000-0004-0000-0000-000029000000}"/>
    <hyperlink ref="I21" r:id="rId41" xr:uid="{00000000-0004-0000-0000-00002A000000}"/>
    <hyperlink ref="J21" r:id="rId42" xr:uid="{00000000-0004-0000-0000-00002B000000}"/>
    <hyperlink ref="K21" r:id="rId43" xr:uid="{00000000-0004-0000-0000-00002C000000}"/>
    <hyperlink ref="L21" r:id="rId44" xr:uid="{00000000-0004-0000-0000-00002D000000}"/>
    <hyperlink ref="M21" r:id="rId45" xr:uid="{00000000-0004-0000-0000-00002E000000}"/>
    <hyperlink ref="N21" r:id="rId46" xr:uid="{00000000-0004-0000-0000-00002F000000}"/>
    <hyperlink ref="O21" r:id="rId47" xr:uid="{00000000-0004-0000-0000-000030000000}"/>
    <hyperlink ref="P21" r:id="rId48" xr:uid="{00000000-0004-0000-0000-000031000000}"/>
    <hyperlink ref="B22" r:id="rId49" xr:uid="{00000000-0004-0000-0000-000032000000}"/>
    <hyperlink ref="B23" r:id="rId50" xr:uid="{00000000-0004-0000-0000-000033000000}"/>
    <hyperlink ref="B24" r:id="rId51" xr:uid="{00000000-0004-0000-0000-000034000000}"/>
    <hyperlink ref="B25" r:id="rId52" xr:uid="{00000000-0004-0000-0000-000035000000}"/>
    <hyperlink ref="B26" r:id="rId53" xr:uid="{00000000-0004-0000-0000-000036000000}"/>
    <hyperlink ref="B27" r:id="rId54" xr:uid="{00000000-0004-0000-0000-000037000000}"/>
    <hyperlink ref="B28" r:id="rId55" xr:uid="{00000000-0004-0000-0000-000038000000}"/>
    <hyperlink ref="B29" r:id="rId56" xr:uid="{00000000-0004-0000-0000-000039000000}"/>
    <hyperlink ref="B30" r:id="rId57" xr:uid="{00000000-0004-0000-0000-00003A000000}"/>
    <hyperlink ref="B31" r:id="rId58" xr:uid="{00000000-0004-0000-0000-00003B000000}"/>
    <hyperlink ref="B32" r:id="rId59" xr:uid="{00000000-0004-0000-0000-00003C000000}"/>
    <hyperlink ref="B33" r:id="rId60" xr:uid="{00000000-0004-0000-0000-00003D000000}"/>
    <hyperlink ref="B34" r:id="rId61" xr:uid="{00000000-0004-0000-0000-00003E000000}"/>
    <hyperlink ref="B35" r:id="rId62" xr:uid="{00000000-0004-0000-0000-00003F000000}"/>
    <hyperlink ref="B36" r:id="rId63" xr:uid="{00000000-0004-0000-0000-000040000000}"/>
    <hyperlink ref="B37" r:id="rId64" xr:uid="{00000000-0004-0000-0000-000041000000}"/>
    <hyperlink ref="B38" r:id="rId65" xr:uid="{00000000-0004-0000-0000-000042000000}"/>
    <hyperlink ref="B39" r:id="rId66" xr:uid="{00000000-0004-0000-0000-000043000000}"/>
    <hyperlink ref="A42" r:id="rId67" xr:uid="{00000000-0004-0000-0000-000045000000}"/>
    <hyperlink ref="B42" r:id="rId68" xr:uid="{00000000-0004-0000-0000-000046000000}"/>
    <hyperlink ref="D42" r:id="rId69" xr:uid="{00000000-0004-0000-0000-000047000000}"/>
    <hyperlink ref="E42" r:id="rId70" xr:uid="{00000000-0004-0000-0000-000048000000}"/>
    <hyperlink ref="F42" r:id="rId71" xr:uid="{00000000-0004-0000-0000-000049000000}"/>
    <hyperlink ref="G42" r:id="rId72" xr:uid="{00000000-0004-0000-0000-00004A000000}"/>
    <hyperlink ref="H42" r:id="rId73" xr:uid="{00000000-0004-0000-0000-00004B000000}"/>
    <hyperlink ref="I42" r:id="rId74" xr:uid="{00000000-0004-0000-0000-00004C000000}"/>
    <hyperlink ref="J42" r:id="rId75" xr:uid="{00000000-0004-0000-0000-00004D000000}"/>
    <hyperlink ref="K42" r:id="rId76" xr:uid="{00000000-0004-0000-0000-00004E000000}"/>
    <hyperlink ref="L42" r:id="rId77" xr:uid="{00000000-0004-0000-0000-00004F000000}"/>
    <hyperlink ref="M42" r:id="rId78" xr:uid="{00000000-0004-0000-0000-000050000000}"/>
    <hyperlink ref="N42" r:id="rId79" xr:uid="{00000000-0004-0000-0000-000051000000}"/>
    <hyperlink ref="O42" r:id="rId80" xr:uid="{00000000-0004-0000-0000-000052000000}"/>
    <hyperlink ref="B43" r:id="rId81" xr:uid="{00000000-0004-0000-0000-000053000000}"/>
    <hyperlink ref="B44" r:id="rId82" xr:uid="{00000000-0004-0000-0000-000054000000}"/>
    <hyperlink ref="B45" r:id="rId83" xr:uid="{00000000-0004-0000-0000-000055000000}"/>
    <hyperlink ref="B46" r:id="rId84" xr:uid="{00000000-0004-0000-0000-000056000000}"/>
    <hyperlink ref="B47" r:id="rId85" xr:uid="{00000000-0004-0000-0000-000057000000}"/>
    <hyperlink ref="B48" r:id="rId86" xr:uid="{00000000-0004-0000-0000-000058000000}"/>
    <hyperlink ref="B49" r:id="rId87" xr:uid="{00000000-0004-0000-0000-000059000000}"/>
    <hyperlink ref="B50" r:id="rId88" xr:uid="{00000000-0004-0000-0000-00005A000000}"/>
    <hyperlink ref="B51" r:id="rId89" xr:uid="{00000000-0004-0000-0000-00005B000000}"/>
    <hyperlink ref="B52" r:id="rId90" xr:uid="{00000000-0004-0000-0000-00005C000000}"/>
    <hyperlink ref="B53" r:id="rId91" xr:uid="{00000000-0004-0000-0000-00005D000000}"/>
    <hyperlink ref="B54" r:id="rId92" xr:uid="{00000000-0004-0000-0000-00005E000000}"/>
    <hyperlink ref="B55" r:id="rId93" xr:uid="{00000000-0004-0000-0000-00005F000000}"/>
    <hyperlink ref="B56" r:id="rId94" xr:uid="{00000000-0004-0000-0000-000060000000}"/>
    <hyperlink ref="B57" r:id="rId95" xr:uid="{00000000-0004-0000-0000-000061000000}"/>
    <hyperlink ref="B58" r:id="rId96" xr:uid="{00000000-0004-0000-0000-000062000000}"/>
    <hyperlink ref="B59" r:id="rId97" xr:uid="{00000000-0004-0000-0000-000063000000}"/>
    <hyperlink ref="B60" r:id="rId98" xr:uid="{00000000-0004-0000-0000-000064000000}"/>
    <hyperlink ref="A63" r:id="rId99" xr:uid="{00000000-0004-0000-0000-000066000000}"/>
    <hyperlink ref="B63" r:id="rId100" xr:uid="{00000000-0004-0000-0000-000067000000}"/>
    <hyperlink ref="D63" r:id="rId101" xr:uid="{00000000-0004-0000-0000-000068000000}"/>
    <hyperlink ref="E63" r:id="rId102" xr:uid="{00000000-0004-0000-0000-000069000000}"/>
    <hyperlink ref="F63" r:id="rId103" xr:uid="{00000000-0004-0000-0000-00006A000000}"/>
    <hyperlink ref="G63" r:id="rId104" xr:uid="{00000000-0004-0000-0000-00006B000000}"/>
    <hyperlink ref="H63" r:id="rId105" xr:uid="{00000000-0004-0000-0000-00006C000000}"/>
    <hyperlink ref="I63" r:id="rId106" xr:uid="{00000000-0004-0000-0000-00006D000000}"/>
    <hyperlink ref="J63" r:id="rId107" xr:uid="{00000000-0004-0000-0000-00006E000000}"/>
    <hyperlink ref="K63" r:id="rId108" xr:uid="{00000000-0004-0000-0000-00006F000000}"/>
    <hyperlink ref="L63" r:id="rId109" xr:uid="{00000000-0004-0000-0000-000070000000}"/>
    <hyperlink ref="M63" r:id="rId110" xr:uid="{00000000-0004-0000-0000-000071000000}"/>
    <hyperlink ref="N63" r:id="rId111" xr:uid="{00000000-0004-0000-0000-000072000000}"/>
    <hyperlink ref="O63" r:id="rId112" xr:uid="{00000000-0004-0000-0000-000073000000}"/>
    <hyperlink ref="B64" r:id="rId113" xr:uid="{00000000-0004-0000-0000-000074000000}"/>
    <hyperlink ref="B65" r:id="rId114" xr:uid="{00000000-0004-0000-0000-000075000000}"/>
    <hyperlink ref="B66" r:id="rId115" xr:uid="{00000000-0004-0000-0000-000076000000}"/>
    <hyperlink ref="B67" r:id="rId116" xr:uid="{00000000-0004-0000-0000-000077000000}"/>
    <hyperlink ref="B68" r:id="rId117" xr:uid="{00000000-0004-0000-0000-000078000000}"/>
    <hyperlink ref="B69" r:id="rId118" xr:uid="{00000000-0004-0000-0000-000079000000}"/>
    <hyperlink ref="B70" r:id="rId119" xr:uid="{00000000-0004-0000-0000-00007A000000}"/>
    <hyperlink ref="B71" r:id="rId120" xr:uid="{00000000-0004-0000-0000-00007B000000}"/>
    <hyperlink ref="B72" r:id="rId121" xr:uid="{00000000-0004-0000-0000-00007C000000}"/>
    <hyperlink ref="B73" r:id="rId122" xr:uid="{00000000-0004-0000-0000-00007D000000}"/>
    <hyperlink ref="B74" r:id="rId123" xr:uid="{00000000-0004-0000-0000-00007E000000}"/>
    <hyperlink ref="B75" r:id="rId124" xr:uid="{00000000-0004-0000-0000-00007F000000}"/>
    <hyperlink ref="B76" r:id="rId125" xr:uid="{00000000-0004-0000-0000-000080000000}"/>
    <hyperlink ref="B77" r:id="rId126" xr:uid="{00000000-0004-0000-0000-000081000000}"/>
    <hyperlink ref="B78" r:id="rId127" xr:uid="{00000000-0004-0000-0000-000082000000}"/>
    <hyperlink ref="B79" r:id="rId128" xr:uid="{00000000-0004-0000-0000-000083000000}"/>
    <hyperlink ref="B80" r:id="rId129" xr:uid="{00000000-0004-0000-0000-000084000000}"/>
    <hyperlink ref="B81" r:id="rId130" xr:uid="{00000000-0004-0000-0000-000085000000}"/>
    <hyperlink ref="A84" r:id="rId131" xr:uid="{00000000-0004-0000-0000-000087000000}"/>
    <hyperlink ref="B84" r:id="rId132" xr:uid="{00000000-0004-0000-0000-000088000000}"/>
    <hyperlink ref="D84" r:id="rId133" xr:uid="{00000000-0004-0000-0000-000089000000}"/>
    <hyperlink ref="E84" r:id="rId134" xr:uid="{00000000-0004-0000-0000-00008A000000}"/>
    <hyperlink ref="F84" r:id="rId135" xr:uid="{00000000-0004-0000-0000-00008B000000}"/>
    <hyperlink ref="G84" r:id="rId136" xr:uid="{00000000-0004-0000-0000-00008C000000}"/>
    <hyperlink ref="H84" r:id="rId137" xr:uid="{00000000-0004-0000-0000-00008D000000}"/>
    <hyperlink ref="I84" r:id="rId138" xr:uid="{00000000-0004-0000-0000-00008E000000}"/>
    <hyperlink ref="J84" r:id="rId139" xr:uid="{00000000-0004-0000-0000-00008F000000}"/>
    <hyperlink ref="K84" r:id="rId140" xr:uid="{00000000-0004-0000-0000-000090000000}"/>
    <hyperlink ref="L84" r:id="rId141" xr:uid="{00000000-0004-0000-0000-000091000000}"/>
    <hyperlink ref="M84" r:id="rId142" xr:uid="{00000000-0004-0000-0000-000092000000}"/>
    <hyperlink ref="N84" r:id="rId143" xr:uid="{00000000-0004-0000-0000-000093000000}"/>
    <hyperlink ref="O84" r:id="rId144" xr:uid="{00000000-0004-0000-0000-000094000000}"/>
    <hyperlink ref="B85" r:id="rId145" xr:uid="{00000000-0004-0000-0000-000095000000}"/>
    <hyperlink ref="B86" r:id="rId146" xr:uid="{00000000-0004-0000-0000-000096000000}"/>
    <hyperlink ref="B87" r:id="rId147" xr:uid="{00000000-0004-0000-0000-000097000000}"/>
    <hyperlink ref="B88" r:id="rId148" xr:uid="{00000000-0004-0000-0000-000098000000}"/>
    <hyperlink ref="B89" r:id="rId149" xr:uid="{00000000-0004-0000-0000-000099000000}"/>
    <hyperlink ref="B90" r:id="rId150" xr:uid="{00000000-0004-0000-0000-00009A000000}"/>
    <hyperlink ref="B91" r:id="rId151" xr:uid="{00000000-0004-0000-0000-00009B000000}"/>
    <hyperlink ref="B92" r:id="rId152" xr:uid="{00000000-0004-0000-0000-00009C000000}"/>
    <hyperlink ref="B93" r:id="rId153" xr:uid="{00000000-0004-0000-0000-00009D000000}"/>
    <hyperlink ref="B94" r:id="rId154" xr:uid="{00000000-0004-0000-0000-00009E000000}"/>
    <hyperlink ref="B95" r:id="rId155" xr:uid="{00000000-0004-0000-0000-00009F000000}"/>
    <hyperlink ref="B96" r:id="rId156" xr:uid="{00000000-0004-0000-0000-0000A0000000}"/>
    <hyperlink ref="B97" r:id="rId157" xr:uid="{00000000-0004-0000-0000-0000A1000000}"/>
    <hyperlink ref="B98" r:id="rId158" xr:uid="{00000000-0004-0000-0000-0000A2000000}"/>
    <hyperlink ref="B99" r:id="rId159" xr:uid="{00000000-0004-0000-0000-0000A3000000}"/>
    <hyperlink ref="B100" r:id="rId160" xr:uid="{00000000-0004-0000-0000-0000A4000000}"/>
    <hyperlink ref="B101" r:id="rId161" xr:uid="{00000000-0004-0000-0000-0000A5000000}"/>
    <hyperlink ref="B102" r:id="rId162" xr:uid="{00000000-0004-0000-0000-0000A6000000}"/>
    <hyperlink ref="A105" r:id="rId163" xr:uid="{00000000-0004-0000-0000-0000A8000000}"/>
    <hyperlink ref="B105" r:id="rId164" xr:uid="{00000000-0004-0000-0000-0000A9000000}"/>
    <hyperlink ref="D105" r:id="rId165" xr:uid="{00000000-0004-0000-0000-0000AA000000}"/>
    <hyperlink ref="E105" r:id="rId166" xr:uid="{00000000-0004-0000-0000-0000AB000000}"/>
    <hyperlink ref="F105" r:id="rId167" xr:uid="{00000000-0004-0000-0000-0000AC000000}"/>
    <hyperlink ref="G105" r:id="rId168" xr:uid="{00000000-0004-0000-0000-0000AD000000}"/>
    <hyperlink ref="H105" r:id="rId169" xr:uid="{00000000-0004-0000-0000-0000AE000000}"/>
    <hyperlink ref="I105" r:id="rId170" xr:uid="{00000000-0004-0000-0000-0000AF000000}"/>
    <hyperlink ref="J105" r:id="rId171" xr:uid="{00000000-0004-0000-0000-0000B0000000}"/>
    <hyperlink ref="K105" r:id="rId172" xr:uid="{00000000-0004-0000-0000-0000B1000000}"/>
    <hyperlink ref="L105" r:id="rId173" xr:uid="{00000000-0004-0000-0000-0000B2000000}"/>
    <hyperlink ref="M105" r:id="rId174" xr:uid="{00000000-0004-0000-0000-0000B3000000}"/>
    <hyperlink ref="N105" r:id="rId175" xr:uid="{00000000-0004-0000-0000-0000B4000000}"/>
    <hyperlink ref="O105" r:id="rId176" xr:uid="{00000000-0004-0000-0000-0000B5000000}"/>
    <hyperlink ref="B106" r:id="rId177" xr:uid="{00000000-0004-0000-0000-0000B6000000}"/>
    <hyperlink ref="B107" r:id="rId178" xr:uid="{00000000-0004-0000-0000-0000B7000000}"/>
    <hyperlink ref="B108" r:id="rId179" xr:uid="{00000000-0004-0000-0000-0000B8000000}"/>
    <hyperlink ref="B109" r:id="rId180" xr:uid="{00000000-0004-0000-0000-0000B9000000}"/>
    <hyperlink ref="B110" r:id="rId181" xr:uid="{00000000-0004-0000-0000-0000BA000000}"/>
    <hyperlink ref="B111" r:id="rId182" xr:uid="{00000000-0004-0000-0000-0000BB000000}"/>
    <hyperlink ref="B112" r:id="rId183" xr:uid="{00000000-0004-0000-0000-0000BC000000}"/>
    <hyperlink ref="B113" r:id="rId184" xr:uid="{00000000-0004-0000-0000-0000BD000000}"/>
    <hyperlink ref="B114" r:id="rId185" xr:uid="{00000000-0004-0000-0000-0000BE000000}"/>
    <hyperlink ref="B115" r:id="rId186" xr:uid="{00000000-0004-0000-0000-0000BF000000}"/>
    <hyperlink ref="B116" r:id="rId187" xr:uid="{00000000-0004-0000-0000-0000C0000000}"/>
    <hyperlink ref="B117" r:id="rId188" xr:uid="{00000000-0004-0000-0000-0000C1000000}"/>
    <hyperlink ref="B118" r:id="rId189" xr:uid="{00000000-0004-0000-0000-0000C2000000}"/>
    <hyperlink ref="B119" r:id="rId190" xr:uid="{00000000-0004-0000-0000-0000C3000000}"/>
    <hyperlink ref="B120" r:id="rId191" xr:uid="{00000000-0004-0000-0000-0000C4000000}"/>
    <hyperlink ref="B121" r:id="rId192" xr:uid="{00000000-0004-0000-0000-0000C5000000}"/>
    <hyperlink ref="B122" r:id="rId193" xr:uid="{00000000-0004-0000-0000-0000C6000000}"/>
    <hyperlink ref="B123" r:id="rId194" xr:uid="{00000000-0004-0000-0000-0000C7000000}"/>
    <hyperlink ref="A125" r:id="rId195" xr:uid="{00000000-0004-0000-0000-0000C9000000}"/>
    <hyperlink ref="B125" r:id="rId196" xr:uid="{00000000-0004-0000-0000-0000CA000000}"/>
    <hyperlink ref="D125" r:id="rId197" xr:uid="{00000000-0004-0000-0000-0000CB000000}"/>
    <hyperlink ref="E125" r:id="rId198" xr:uid="{00000000-0004-0000-0000-0000CC000000}"/>
    <hyperlink ref="F125" r:id="rId199" xr:uid="{00000000-0004-0000-0000-0000CD000000}"/>
    <hyperlink ref="G125" r:id="rId200" xr:uid="{00000000-0004-0000-0000-0000CE000000}"/>
    <hyperlink ref="H125" r:id="rId201" xr:uid="{00000000-0004-0000-0000-0000CF000000}"/>
    <hyperlink ref="I125" r:id="rId202" xr:uid="{00000000-0004-0000-0000-0000D0000000}"/>
    <hyperlink ref="J125" r:id="rId203" xr:uid="{00000000-0004-0000-0000-0000D1000000}"/>
    <hyperlink ref="K125" r:id="rId204" xr:uid="{00000000-0004-0000-0000-0000D2000000}"/>
    <hyperlink ref="L125" r:id="rId205" xr:uid="{00000000-0004-0000-0000-0000D3000000}"/>
    <hyperlink ref="M125" r:id="rId206" xr:uid="{00000000-0004-0000-0000-0000D4000000}"/>
    <hyperlink ref="N125" r:id="rId207" xr:uid="{00000000-0004-0000-0000-0000D5000000}"/>
    <hyperlink ref="O125" r:id="rId208" xr:uid="{00000000-0004-0000-0000-0000D6000000}"/>
    <hyperlink ref="B126" r:id="rId209" xr:uid="{00000000-0004-0000-0000-0000D7000000}"/>
    <hyperlink ref="B127" r:id="rId210" xr:uid="{00000000-0004-0000-0000-0000D8000000}"/>
    <hyperlink ref="B128" r:id="rId211" xr:uid="{00000000-0004-0000-0000-0000D9000000}"/>
    <hyperlink ref="B129" r:id="rId212" xr:uid="{00000000-0004-0000-0000-0000DA000000}"/>
    <hyperlink ref="B130" r:id="rId213" xr:uid="{00000000-0004-0000-0000-0000DB000000}"/>
    <hyperlink ref="B131" r:id="rId214" xr:uid="{00000000-0004-0000-0000-0000DC000000}"/>
    <hyperlink ref="B132" r:id="rId215" xr:uid="{00000000-0004-0000-0000-0000DD000000}"/>
    <hyperlink ref="B133" r:id="rId216" xr:uid="{00000000-0004-0000-0000-0000DE000000}"/>
    <hyperlink ref="B134" r:id="rId217" xr:uid="{00000000-0004-0000-0000-0000DF000000}"/>
    <hyperlink ref="B135" r:id="rId218" xr:uid="{00000000-0004-0000-0000-0000E0000000}"/>
    <hyperlink ref="B136" r:id="rId219" xr:uid="{00000000-0004-0000-0000-0000E1000000}"/>
    <hyperlink ref="B137" r:id="rId220" xr:uid="{00000000-0004-0000-0000-0000E2000000}"/>
    <hyperlink ref="B138" r:id="rId221" xr:uid="{00000000-0004-0000-0000-0000E3000000}"/>
    <hyperlink ref="B139" r:id="rId222" xr:uid="{00000000-0004-0000-0000-0000E4000000}"/>
    <hyperlink ref="B140" r:id="rId223" xr:uid="{00000000-0004-0000-0000-0000E5000000}"/>
    <hyperlink ref="B141" r:id="rId224" xr:uid="{00000000-0004-0000-0000-0000E6000000}"/>
    <hyperlink ref="B142" r:id="rId225" xr:uid="{00000000-0004-0000-0000-0000E7000000}"/>
    <hyperlink ref="B143" r:id="rId226" xr:uid="{00000000-0004-0000-0000-0000E8000000}"/>
    <hyperlink ref="A145" r:id="rId227" xr:uid="{00000000-0004-0000-0000-0000EA000000}"/>
    <hyperlink ref="B145" r:id="rId228" xr:uid="{00000000-0004-0000-0000-0000EB000000}"/>
    <hyperlink ref="D145" r:id="rId229" xr:uid="{00000000-0004-0000-0000-0000EC000000}"/>
    <hyperlink ref="E145" r:id="rId230" xr:uid="{00000000-0004-0000-0000-0000ED000000}"/>
    <hyperlink ref="F145" r:id="rId231" xr:uid="{00000000-0004-0000-0000-0000EE000000}"/>
    <hyperlink ref="G145" r:id="rId232" xr:uid="{00000000-0004-0000-0000-0000EF000000}"/>
    <hyperlink ref="H145" r:id="rId233" xr:uid="{00000000-0004-0000-0000-0000F0000000}"/>
    <hyperlink ref="I145" r:id="rId234" xr:uid="{00000000-0004-0000-0000-0000F1000000}"/>
    <hyperlink ref="J145" r:id="rId235" xr:uid="{00000000-0004-0000-0000-0000F2000000}"/>
    <hyperlink ref="K145" r:id="rId236" xr:uid="{00000000-0004-0000-0000-0000F3000000}"/>
    <hyperlink ref="L145" r:id="rId237" xr:uid="{00000000-0004-0000-0000-0000F4000000}"/>
    <hyperlink ref="M145" r:id="rId238" xr:uid="{00000000-0004-0000-0000-0000F5000000}"/>
    <hyperlink ref="N145" r:id="rId239" xr:uid="{00000000-0004-0000-0000-0000F6000000}"/>
    <hyperlink ref="O145" r:id="rId240" xr:uid="{00000000-0004-0000-0000-0000F7000000}"/>
    <hyperlink ref="B146" r:id="rId241" xr:uid="{00000000-0004-0000-0000-0000F8000000}"/>
    <hyperlink ref="B147" r:id="rId242" xr:uid="{00000000-0004-0000-0000-0000F9000000}"/>
    <hyperlink ref="B148" r:id="rId243" xr:uid="{00000000-0004-0000-0000-0000FA000000}"/>
    <hyperlink ref="B149" r:id="rId244" xr:uid="{00000000-0004-0000-0000-0000FB000000}"/>
    <hyperlink ref="B150" r:id="rId245" xr:uid="{00000000-0004-0000-0000-0000FC000000}"/>
    <hyperlink ref="B151" r:id="rId246" xr:uid="{00000000-0004-0000-0000-0000FD000000}"/>
    <hyperlink ref="B152" r:id="rId247" xr:uid="{00000000-0004-0000-0000-0000FE000000}"/>
    <hyperlink ref="B153" r:id="rId248" xr:uid="{00000000-0004-0000-0000-0000FF000000}"/>
    <hyperlink ref="B154" r:id="rId249" xr:uid="{00000000-0004-0000-0000-000000010000}"/>
    <hyperlink ref="B155" r:id="rId250" xr:uid="{00000000-0004-0000-0000-000001010000}"/>
    <hyperlink ref="B156" r:id="rId251" xr:uid="{00000000-0004-0000-0000-000002010000}"/>
    <hyperlink ref="B157" r:id="rId252" xr:uid="{00000000-0004-0000-0000-000003010000}"/>
    <hyperlink ref="B158" r:id="rId253" xr:uid="{00000000-0004-0000-0000-000004010000}"/>
    <hyperlink ref="B159" r:id="rId254" xr:uid="{00000000-0004-0000-0000-000005010000}"/>
    <hyperlink ref="B160" r:id="rId255" xr:uid="{00000000-0004-0000-0000-000006010000}"/>
    <hyperlink ref="B161" r:id="rId256" xr:uid="{00000000-0004-0000-0000-000007010000}"/>
    <hyperlink ref="B162" r:id="rId257" xr:uid="{00000000-0004-0000-0000-000008010000}"/>
    <hyperlink ref="B163" r:id="rId258" xr:uid="{00000000-0004-0000-0000-000009010000}"/>
    <hyperlink ref="A165" r:id="rId259" xr:uid="{00000000-0004-0000-0000-00000B010000}"/>
    <hyperlink ref="B165" r:id="rId260" xr:uid="{00000000-0004-0000-0000-00000C010000}"/>
    <hyperlink ref="D165" r:id="rId261" xr:uid="{00000000-0004-0000-0000-00000D010000}"/>
    <hyperlink ref="E165" r:id="rId262" xr:uid="{00000000-0004-0000-0000-00000E010000}"/>
    <hyperlink ref="F165" r:id="rId263" xr:uid="{00000000-0004-0000-0000-00000F010000}"/>
    <hyperlink ref="G165" r:id="rId264" xr:uid="{00000000-0004-0000-0000-000010010000}"/>
    <hyperlink ref="H165" r:id="rId265" xr:uid="{00000000-0004-0000-0000-000011010000}"/>
    <hyperlink ref="I165" r:id="rId266" xr:uid="{00000000-0004-0000-0000-000012010000}"/>
    <hyperlink ref="J165" r:id="rId267" xr:uid="{00000000-0004-0000-0000-000013010000}"/>
    <hyperlink ref="K165" r:id="rId268" xr:uid="{00000000-0004-0000-0000-000014010000}"/>
    <hyperlink ref="L165" r:id="rId269" xr:uid="{00000000-0004-0000-0000-000015010000}"/>
    <hyperlink ref="M165" r:id="rId270" xr:uid="{00000000-0004-0000-0000-000016010000}"/>
    <hyperlink ref="N165" r:id="rId271" xr:uid="{00000000-0004-0000-0000-000017010000}"/>
    <hyperlink ref="O165" r:id="rId272" xr:uid="{00000000-0004-0000-0000-000018010000}"/>
    <hyperlink ref="B166" r:id="rId273" xr:uid="{00000000-0004-0000-0000-000019010000}"/>
    <hyperlink ref="B167" r:id="rId274" xr:uid="{00000000-0004-0000-0000-00001A010000}"/>
    <hyperlink ref="B168" r:id="rId275" xr:uid="{00000000-0004-0000-0000-00001B010000}"/>
    <hyperlink ref="B169" r:id="rId276" xr:uid="{00000000-0004-0000-0000-00001C010000}"/>
    <hyperlink ref="B170" r:id="rId277" xr:uid="{00000000-0004-0000-0000-00001D010000}"/>
    <hyperlink ref="B171" r:id="rId278" xr:uid="{00000000-0004-0000-0000-00001E010000}"/>
    <hyperlink ref="B172" r:id="rId279" xr:uid="{00000000-0004-0000-0000-00001F010000}"/>
    <hyperlink ref="B173" r:id="rId280" xr:uid="{00000000-0004-0000-0000-000020010000}"/>
    <hyperlink ref="B174" r:id="rId281" xr:uid="{00000000-0004-0000-0000-000021010000}"/>
    <hyperlink ref="B175" r:id="rId282" xr:uid="{00000000-0004-0000-0000-000022010000}"/>
    <hyperlink ref="B176" r:id="rId283" xr:uid="{00000000-0004-0000-0000-000023010000}"/>
    <hyperlink ref="B177" r:id="rId284" xr:uid="{00000000-0004-0000-0000-000024010000}"/>
    <hyperlink ref="B178" r:id="rId285" xr:uid="{00000000-0004-0000-0000-000025010000}"/>
    <hyperlink ref="B179" r:id="rId286" xr:uid="{00000000-0004-0000-0000-000026010000}"/>
    <hyperlink ref="B180" r:id="rId287" xr:uid="{00000000-0004-0000-0000-000027010000}"/>
    <hyperlink ref="B181" r:id="rId288" xr:uid="{00000000-0004-0000-0000-000028010000}"/>
    <hyperlink ref="B182" r:id="rId289" xr:uid="{00000000-0004-0000-0000-000029010000}"/>
    <hyperlink ref="B183" r:id="rId290" xr:uid="{00000000-0004-0000-0000-00002A010000}"/>
    <hyperlink ref="A185" r:id="rId291" xr:uid="{00000000-0004-0000-0000-00002C010000}"/>
    <hyperlink ref="B185" r:id="rId292" xr:uid="{00000000-0004-0000-0000-00002D010000}"/>
    <hyperlink ref="D185" r:id="rId293" xr:uid="{00000000-0004-0000-0000-00002E010000}"/>
    <hyperlink ref="E185" r:id="rId294" xr:uid="{00000000-0004-0000-0000-00002F010000}"/>
    <hyperlink ref="F185" r:id="rId295" xr:uid="{00000000-0004-0000-0000-000030010000}"/>
    <hyperlink ref="G185" r:id="rId296" xr:uid="{00000000-0004-0000-0000-000031010000}"/>
    <hyperlink ref="H185" r:id="rId297" xr:uid="{00000000-0004-0000-0000-000032010000}"/>
    <hyperlink ref="I185" r:id="rId298" xr:uid="{00000000-0004-0000-0000-000033010000}"/>
    <hyperlink ref="J185" r:id="rId299" xr:uid="{00000000-0004-0000-0000-000034010000}"/>
    <hyperlink ref="K185" r:id="rId300" xr:uid="{00000000-0004-0000-0000-000035010000}"/>
    <hyperlink ref="L185" r:id="rId301" xr:uid="{00000000-0004-0000-0000-000036010000}"/>
    <hyperlink ref="M185" r:id="rId302" xr:uid="{00000000-0004-0000-0000-000037010000}"/>
    <hyperlink ref="N185" r:id="rId303" xr:uid="{00000000-0004-0000-0000-000038010000}"/>
    <hyperlink ref="O185" r:id="rId304" xr:uid="{00000000-0004-0000-0000-000039010000}"/>
    <hyperlink ref="B186" r:id="rId305" xr:uid="{00000000-0004-0000-0000-00003A010000}"/>
    <hyperlink ref="B187" r:id="rId306" xr:uid="{00000000-0004-0000-0000-00003B010000}"/>
    <hyperlink ref="B188" r:id="rId307" xr:uid="{00000000-0004-0000-0000-00003C010000}"/>
    <hyperlink ref="B189" r:id="rId308" xr:uid="{00000000-0004-0000-0000-00003D010000}"/>
    <hyperlink ref="B190" r:id="rId309" xr:uid="{00000000-0004-0000-0000-00003E010000}"/>
    <hyperlink ref="B191" r:id="rId310" xr:uid="{00000000-0004-0000-0000-00003F010000}"/>
    <hyperlink ref="B192" r:id="rId311" xr:uid="{00000000-0004-0000-0000-000040010000}"/>
    <hyperlink ref="B193" r:id="rId312" xr:uid="{00000000-0004-0000-0000-000041010000}"/>
    <hyperlink ref="B194" r:id="rId313" xr:uid="{00000000-0004-0000-0000-000042010000}"/>
    <hyperlink ref="B195" r:id="rId314" xr:uid="{00000000-0004-0000-0000-000043010000}"/>
    <hyperlink ref="B196" r:id="rId315" xr:uid="{00000000-0004-0000-0000-000044010000}"/>
    <hyperlink ref="B197" r:id="rId316" xr:uid="{00000000-0004-0000-0000-000045010000}"/>
    <hyperlink ref="B198" r:id="rId317" xr:uid="{00000000-0004-0000-0000-000046010000}"/>
    <hyperlink ref="B199" r:id="rId318" xr:uid="{00000000-0004-0000-0000-000047010000}"/>
    <hyperlink ref="B200" r:id="rId319" xr:uid="{00000000-0004-0000-0000-000048010000}"/>
    <hyperlink ref="B201" r:id="rId320" xr:uid="{00000000-0004-0000-0000-000049010000}"/>
    <hyperlink ref="B202" r:id="rId321" xr:uid="{00000000-0004-0000-0000-00004A010000}"/>
    <hyperlink ref="B203" r:id="rId322" xr:uid="{00000000-0004-0000-0000-00004B010000}"/>
    <hyperlink ref="A205" r:id="rId323" xr:uid="{00000000-0004-0000-0000-00004D010000}"/>
    <hyperlink ref="B205" r:id="rId324" xr:uid="{00000000-0004-0000-0000-00004E010000}"/>
    <hyperlink ref="D205" r:id="rId325" xr:uid="{00000000-0004-0000-0000-00004F010000}"/>
    <hyperlink ref="E205" r:id="rId326" xr:uid="{00000000-0004-0000-0000-000050010000}"/>
    <hyperlink ref="F205" r:id="rId327" xr:uid="{00000000-0004-0000-0000-000051010000}"/>
    <hyperlink ref="G205" r:id="rId328" xr:uid="{00000000-0004-0000-0000-000052010000}"/>
    <hyperlink ref="H205" r:id="rId329" xr:uid="{00000000-0004-0000-0000-000053010000}"/>
    <hyperlink ref="I205" r:id="rId330" xr:uid="{00000000-0004-0000-0000-000054010000}"/>
    <hyperlink ref="J205" r:id="rId331" xr:uid="{00000000-0004-0000-0000-000055010000}"/>
    <hyperlink ref="K205" r:id="rId332" xr:uid="{00000000-0004-0000-0000-000056010000}"/>
    <hyperlink ref="L205" r:id="rId333" xr:uid="{00000000-0004-0000-0000-000057010000}"/>
    <hyperlink ref="M205" r:id="rId334" xr:uid="{00000000-0004-0000-0000-000058010000}"/>
    <hyperlink ref="N205" r:id="rId335" xr:uid="{00000000-0004-0000-0000-000059010000}"/>
    <hyperlink ref="O205" r:id="rId336" xr:uid="{00000000-0004-0000-0000-00005A010000}"/>
    <hyperlink ref="B206" r:id="rId337" xr:uid="{00000000-0004-0000-0000-00005B010000}"/>
    <hyperlink ref="B207" r:id="rId338" xr:uid="{00000000-0004-0000-0000-00005C010000}"/>
    <hyperlink ref="B208" r:id="rId339" xr:uid="{00000000-0004-0000-0000-00005D010000}"/>
    <hyperlink ref="B209" r:id="rId340" xr:uid="{00000000-0004-0000-0000-00005E010000}"/>
    <hyperlink ref="B210" r:id="rId341" xr:uid="{00000000-0004-0000-0000-00005F010000}"/>
    <hyperlink ref="B211" r:id="rId342" xr:uid="{00000000-0004-0000-0000-000060010000}"/>
    <hyperlink ref="B212" r:id="rId343" xr:uid="{00000000-0004-0000-0000-000061010000}"/>
    <hyperlink ref="B213" r:id="rId344" xr:uid="{00000000-0004-0000-0000-000062010000}"/>
    <hyperlink ref="B214" r:id="rId345" xr:uid="{00000000-0004-0000-0000-000063010000}"/>
    <hyperlink ref="B215" r:id="rId346" xr:uid="{00000000-0004-0000-0000-000064010000}"/>
    <hyperlink ref="B216" r:id="rId347" xr:uid="{00000000-0004-0000-0000-000065010000}"/>
    <hyperlink ref="B217" r:id="rId348" xr:uid="{00000000-0004-0000-0000-000066010000}"/>
    <hyperlink ref="B218" r:id="rId349" xr:uid="{00000000-0004-0000-0000-000067010000}"/>
    <hyperlink ref="B219" r:id="rId350" xr:uid="{00000000-0004-0000-0000-000068010000}"/>
    <hyperlink ref="B220" r:id="rId351" xr:uid="{00000000-0004-0000-0000-000069010000}"/>
    <hyperlink ref="B221" r:id="rId352" xr:uid="{00000000-0004-0000-0000-00006A010000}"/>
    <hyperlink ref="B222" r:id="rId353" xr:uid="{00000000-0004-0000-0000-00006B010000}"/>
    <hyperlink ref="B223" r:id="rId354" xr:uid="{00000000-0004-0000-0000-00006C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540"/>
  <sheetViews>
    <sheetView tabSelected="1" topLeftCell="A510" workbookViewId="0">
      <selection activeCell="H531" sqref="H531"/>
    </sheetView>
  </sheetViews>
  <sheetFormatPr defaultColWidth="12.609375" defaultRowHeight="15.75" customHeight="1"/>
  <sheetData>
    <row r="1" spans="1:20" ht="15.75" customHeight="1">
      <c r="A1" s="9">
        <v>2025</v>
      </c>
    </row>
    <row r="2" spans="1:20" ht="15.75" customHeight="1">
      <c r="A2" s="10" t="s">
        <v>820</v>
      </c>
      <c r="B2" s="11" t="s">
        <v>821</v>
      </c>
      <c r="C2" s="11" t="s">
        <v>2</v>
      </c>
      <c r="D2" s="11" t="s">
        <v>822</v>
      </c>
      <c r="E2" s="11" t="s">
        <v>823</v>
      </c>
      <c r="F2" s="11" t="s">
        <v>824</v>
      </c>
      <c r="G2" s="11" t="s">
        <v>825</v>
      </c>
      <c r="H2" s="11" t="s">
        <v>826</v>
      </c>
      <c r="I2" s="11" t="s">
        <v>827</v>
      </c>
      <c r="J2" s="11" t="s">
        <v>828</v>
      </c>
      <c r="K2" s="11" t="s">
        <v>829</v>
      </c>
      <c r="L2" s="11" t="s">
        <v>830</v>
      </c>
      <c r="M2" s="11" t="s">
        <v>831</v>
      </c>
      <c r="N2" s="11" t="s">
        <v>832</v>
      </c>
      <c r="O2" s="11" t="s">
        <v>833</v>
      </c>
      <c r="P2" s="11" t="s">
        <v>834</v>
      </c>
      <c r="Q2" s="11" t="s">
        <v>835</v>
      </c>
      <c r="R2" s="11" t="s">
        <v>836</v>
      </c>
      <c r="S2" s="11" t="s">
        <v>837</v>
      </c>
      <c r="T2" s="11" t="s">
        <v>838</v>
      </c>
    </row>
    <row r="3" spans="1:20" ht="15.75" customHeight="1">
      <c r="A3" s="12">
        <v>1</v>
      </c>
      <c r="B3" s="13" t="s">
        <v>839</v>
      </c>
      <c r="C3" s="14">
        <v>2025</v>
      </c>
      <c r="D3" s="14">
        <v>34</v>
      </c>
      <c r="E3" s="14">
        <v>26</v>
      </c>
      <c r="F3" s="14">
        <v>6</v>
      </c>
      <c r="G3" s="14">
        <v>2</v>
      </c>
      <c r="H3" s="14">
        <v>92</v>
      </c>
      <c r="I3" s="14">
        <v>35</v>
      </c>
      <c r="J3" s="14">
        <f>57</f>
        <v>57</v>
      </c>
      <c r="K3" s="14">
        <v>84</v>
      </c>
      <c r="L3" s="14">
        <v>2.4700000000000002</v>
      </c>
      <c r="M3" s="14">
        <v>88.9</v>
      </c>
      <c r="N3" s="14">
        <v>31.2</v>
      </c>
      <c r="O3" s="14">
        <f>57.7</f>
        <v>57.7</v>
      </c>
      <c r="P3" s="14">
        <f>1.7</f>
        <v>1.7</v>
      </c>
      <c r="Q3" s="15">
        <v>47413</v>
      </c>
      <c r="R3" s="16" t="s">
        <v>840</v>
      </c>
      <c r="S3" s="16" t="s">
        <v>841</v>
      </c>
      <c r="T3" s="17" t="s">
        <v>842</v>
      </c>
    </row>
    <row r="4" spans="1:20" ht="15.75" customHeight="1">
      <c r="A4" s="12">
        <v>2</v>
      </c>
      <c r="B4" s="13" t="s">
        <v>843</v>
      </c>
      <c r="C4" s="14">
        <v>2025</v>
      </c>
      <c r="D4" s="14">
        <v>34</v>
      </c>
      <c r="E4" s="14">
        <v>20</v>
      </c>
      <c r="F4" s="14">
        <v>5</v>
      </c>
      <c r="G4" s="14">
        <v>9</v>
      </c>
      <c r="H4" s="14">
        <v>74</v>
      </c>
      <c r="I4" s="14">
        <v>47</v>
      </c>
      <c r="J4" s="14">
        <f>27</f>
        <v>27</v>
      </c>
      <c r="K4" s="14">
        <v>65</v>
      </c>
      <c r="L4" s="14">
        <v>1.91</v>
      </c>
      <c r="M4" s="14">
        <v>63.8</v>
      </c>
      <c r="N4" s="14">
        <v>45.2</v>
      </c>
      <c r="O4" s="14">
        <f>18.6</f>
        <v>18.600000000000001</v>
      </c>
      <c r="P4" s="14">
        <f>0.55</f>
        <v>0.55000000000000004</v>
      </c>
      <c r="Q4" s="15">
        <v>63507</v>
      </c>
      <c r="R4" s="16" t="s">
        <v>844</v>
      </c>
      <c r="S4" s="16" t="s">
        <v>845</v>
      </c>
      <c r="T4" s="17" t="s">
        <v>842</v>
      </c>
    </row>
    <row r="5" spans="1:20" ht="15.75" customHeight="1">
      <c r="A5" s="12">
        <v>3</v>
      </c>
      <c r="B5" s="13" t="s">
        <v>846</v>
      </c>
      <c r="C5" s="14">
        <v>2025</v>
      </c>
      <c r="D5" s="14">
        <v>34</v>
      </c>
      <c r="E5" s="14">
        <v>18</v>
      </c>
      <c r="F5" s="14">
        <v>7</v>
      </c>
      <c r="G5" s="14">
        <v>9</v>
      </c>
      <c r="H5" s="14">
        <v>63</v>
      </c>
      <c r="I5" s="14">
        <v>41</v>
      </c>
      <c r="J5" s="14">
        <f>22</f>
        <v>22</v>
      </c>
      <c r="K5" s="14">
        <v>61</v>
      </c>
      <c r="L5" s="14">
        <v>1.79</v>
      </c>
      <c r="M5" s="14">
        <v>72.8</v>
      </c>
      <c r="N5" s="14">
        <v>34.799999999999997</v>
      </c>
      <c r="O5" s="14">
        <f>38</f>
        <v>38</v>
      </c>
      <c r="P5" s="14">
        <f>1.12</f>
        <v>1.1200000000000001</v>
      </c>
      <c r="Q5" s="15">
        <v>12164</v>
      </c>
      <c r="R5" s="16" t="s">
        <v>847</v>
      </c>
      <c r="S5" s="16" t="s">
        <v>848</v>
      </c>
      <c r="T5" s="17" t="s">
        <v>842</v>
      </c>
    </row>
    <row r="6" spans="1:20" ht="15.75" customHeight="1">
      <c r="A6" s="12">
        <v>4</v>
      </c>
      <c r="B6" s="13" t="s">
        <v>849</v>
      </c>
      <c r="C6" s="14">
        <v>2025</v>
      </c>
      <c r="D6" s="14">
        <v>34</v>
      </c>
      <c r="E6" s="14">
        <v>17</v>
      </c>
      <c r="F6" s="14">
        <v>9</v>
      </c>
      <c r="G6" s="14">
        <v>8</v>
      </c>
      <c r="H6" s="14">
        <v>66</v>
      </c>
      <c r="I6" s="14">
        <v>41</v>
      </c>
      <c r="J6" s="14">
        <f>25</f>
        <v>25</v>
      </c>
      <c r="K6" s="14">
        <v>60</v>
      </c>
      <c r="L6" s="14">
        <v>1.76</v>
      </c>
      <c r="M6" s="14">
        <v>61.6</v>
      </c>
      <c r="N6" s="14">
        <v>40.200000000000003</v>
      </c>
      <c r="O6" s="14">
        <f>21.4</f>
        <v>21.4</v>
      </c>
      <c r="P6" s="14">
        <f>0.63</f>
        <v>0.63</v>
      </c>
      <c r="Q6" s="15">
        <v>24299</v>
      </c>
      <c r="R6" s="16" t="s">
        <v>850</v>
      </c>
      <c r="S6" s="16" t="s">
        <v>851</v>
      </c>
      <c r="T6" s="17" t="s">
        <v>842</v>
      </c>
    </row>
    <row r="7" spans="1:20" ht="15.75" customHeight="1">
      <c r="A7" s="12">
        <v>5</v>
      </c>
      <c r="B7" s="13" t="s">
        <v>852</v>
      </c>
      <c r="C7" s="14">
        <v>2025</v>
      </c>
      <c r="D7" s="14">
        <v>34</v>
      </c>
      <c r="E7" s="14">
        <v>17</v>
      </c>
      <c r="F7" s="14">
        <v>9</v>
      </c>
      <c r="G7" s="14">
        <v>8</v>
      </c>
      <c r="H7" s="14">
        <v>52</v>
      </c>
      <c r="I7" s="14">
        <v>36</v>
      </c>
      <c r="J7" s="14">
        <f>16</f>
        <v>16</v>
      </c>
      <c r="K7" s="14">
        <v>60</v>
      </c>
      <c r="L7" s="14">
        <v>1.76</v>
      </c>
      <c r="M7" s="14">
        <v>54.7</v>
      </c>
      <c r="N7" s="14">
        <v>42.5</v>
      </c>
      <c r="O7" s="14">
        <f>12.2</f>
        <v>12.2</v>
      </c>
      <c r="P7" s="14">
        <f>0.36</f>
        <v>0.36</v>
      </c>
      <c r="Q7" s="15">
        <v>42417</v>
      </c>
      <c r="R7" s="16" t="s">
        <v>853</v>
      </c>
      <c r="S7" s="16" t="s">
        <v>854</v>
      </c>
      <c r="T7" s="17" t="s">
        <v>855</v>
      </c>
    </row>
    <row r="8" spans="1:20" ht="15.75" customHeight="1">
      <c r="A8" s="12">
        <v>6</v>
      </c>
      <c r="B8" s="13" t="s">
        <v>856</v>
      </c>
      <c r="C8" s="14">
        <v>2025</v>
      </c>
      <c r="D8" s="14">
        <v>34</v>
      </c>
      <c r="E8" s="14">
        <v>17</v>
      </c>
      <c r="F8" s="14">
        <v>6</v>
      </c>
      <c r="G8" s="14">
        <v>11</v>
      </c>
      <c r="H8" s="14">
        <v>65</v>
      </c>
      <c r="I8" s="14">
        <v>46</v>
      </c>
      <c r="J8" s="14">
        <f>19</f>
        <v>19</v>
      </c>
      <c r="K8" s="14">
        <v>57</v>
      </c>
      <c r="L8" s="14">
        <v>1.68</v>
      </c>
      <c r="M8" s="14">
        <v>60.3</v>
      </c>
      <c r="N8" s="14">
        <v>45.7</v>
      </c>
      <c r="O8" s="14">
        <f>14.6</f>
        <v>14.6</v>
      </c>
      <c r="P8" s="14">
        <f>0.43</f>
        <v>0.43</v>
      </c>
      <c r="Q8" s="15">
        <v>51191</v>
      </c>
      <c r="R8" s="16" t="s">
        <v>857</v>
      </c>
      <c r="S8" s="16" t="s">
        <v>858</v>
      </c>
      <c r="T8" s="17" t="s">
        <v>855</v>
      </c>
    </row>
    <row r="9" spans="1:20" ht="15.75" customHeight="1">
      <c r="A9" s="12">
        <v>7</v>
      </c>
      <c r="B9" s="13" t="s">
        <v>859</v>
      </c>
      <c r="C9" s="14">
        <v>2025</v>
      </c>
      <c r="D9" s="14">
        <v>34</v>
      </c>
      <c r="E9" s="14">
        <v>16</v>
      </c>
      <c r="F9" s="14">
        <v>9</v>
      </c>
      <c r="G9" s="14">
        <v>9</v>
      </c>
      <c r="H9" s="14">
        <v>56</v>
      </c>
      <c r="I9" s="14">
        <v>44</v>
      </c>
      <c r="J9" s="14">
        <f>12</f>
        <v>12</v>
      </c>
      <c r="K9" s="14">
        <v>57</v>
      </c>
      <c r="L9" s="14">
        <v>1.68</v>
      </c>
      <c r="M9" s="14">
        <v>49.3</v>
      </c>
      <c r="N9" s="14">
        <v>56.1</v>
      </c>
      <c r="O9" s="14">
        <v>-6.9</v>
      </c>
      <c r="P9" s="14">
        <v>-0.2</v>
      </c>
      <c r="Q9" s="15">
        <v>19378</v>
      </c>
      <c r="R9" s="16" t="s">
        <v>860</v>
      </c>
      <c r="S9" s="16" t="s">
        <v>861</v>
      </c>
      <c r="T9" s="17" t="s">
        <v>862</v>
      </c>
    </row>
    <row r="10" spans="1:20" ht="15.75" customHeight="1">
      <c r="A10" s="12">
        <v>8</v>
      </c>
      <c r="B10" s="13" t="s">
        <v>863</v>
      </c>
      <c r="C10" s="14">
        <v>2025</v>
      </c>
      <c r="D10" s="14">
        <v>34</v>
      </c>
      <c r="E10" s="14">
        <v>15</v>
      </c>
      <c r="F10" s="14">
        <v>7</v>
      </c>
      <c r="G10" s="14">
        <v>12</v>
      </c>
      <c r="H10" s="14">
        <v>42</v>
      </c>
      <c r="I10" s="14">
        <v>39</v>
      </c>
      <c r="J10" s="14">
        <f>3</f>
        <v>3</v>
      </c>
      <c r="K10" s="14">
        <v>52</v>
      </c>
      <c r="L10" s="14">
        <v>1.53</v>
      </c>
      <c r="M10" s="14">
        <v>51.8</v>
      </c>
      <c r="N10" s="14">
        <v>45.3</v>
      </c>
      <c r="O10" s="14">
        <f>6.5</f>
        <v>6.5</v>
      </c>
      <c r="P10" s="14">
        <f>0.19</f>
        <v>0.19</v>
      </c>
      <c r="Q10" s="15">
        <v>37971</v>
      </c>
      <c r="R10" s="16" t="s">
        <v>864</v>
      </c>
      <c r="S10" s="16" t="s">
        <v>865</v>
      </c>
      <c r="T10" s="17"/>
    </row>
    <row r="11" spans="1:20" ht="15.75" customHeight="1">
      <c r="A11" s="12">
        <v>9</v>
      </c>
      <c r="B11" s="13" t="s">
        <v>866</v>
      </c>
      <c r="C11" s="14">
        <v>2025</v>
      </c>
      <c r="D11" s="14">
        <v>34</v>
      </c>
      <c r="E11" s="14">
        <v>15</v>
      </c>
      <c r="F11" s="14">
        <v>5</v>
      </c>
      <c r="G11" s="14">
        <v>14</v>
      </c>
      <c r="H11" s="14">
        <v>52</v>
      </c>
      <c r="I11" s="14">
        <v>59</v>
      </c>
      <c r="J11" s="14">
        <v>-7</v>
      </c>
      <c r="K11" s="14">
        <v>50</v>
      </c>
      <c r="L11" s="14">
        <v>1.47</v>
      </c>
      <c r="M11" s="14">
        <v>45.4</v>
      </c>
      <c r="N11" s="14">
        <v>57.4</v>
      </c>
      <c r="O11" s="14">
        <v>-12</v>
      </c>
      <c r="P11" s="14">
        <v>-0.35</v>
      </c>
      <c r="Q11" s="15">
        <v>14536</v>
      </c>
      <c r="R11" s="16" t="s">
        <v>867</v>
      </c>
      <c r="S11" s="16" t="s">
        <v>868</v>
      </c>
      <c r="T11" s="17"/>
    </row>
    <row r="12" spans="1:20" ht="15.75" customHeight="1">
      <c r="A12" s="12">
        <v>10</v>
      </c>
      <c r="B12" s="13" t="s">
        <v>869</v>
      </c>
      <c r="C12" s="14">
        <v>2025</v>
      </c>
      <c r="D12" s="14">
        <v>34</v>
      </c>
      <c r="E12" s="14">
        <v>11</v>
      </c>
      <c r="F12" s="14">
        <v>9</v>
      </c>
      <c r="G12" s="14">
        <v>14</v>
      </c>
      <c r="H12" s="14">
        <v>44</v>
      </c>
      <c r="I12" s="14">
        <v>43</v>
      </c>
      <c r="J12" s="14">
        <f>1</f>
        <v>1</v>
      </c>
      <c r="K12" s="14">
        <v>42</v>
      </c>
      <c r="L12" s="14">
        <v>1.24</v>
      </c>
      <c r="M12" s="14">
        <v>49.1</v>
      </c>
      <c r="N12" s="14">
        <v>36.799999999999997</v>
      </c>
      <c r="O12" s="14">
        <f>12.4</f>
        <v>12.4</v>
      </c>
      <c r="P12" s="14">
        <f>0.36</f>
        <v>0.36</v>
      </c>
      <c r="Q12" s="15">
        <v>25593</v>
      </c>
      <c r="R12" s="16" t="s">
        <v>870</v>
      </c>
      <c r="S12" s="16" t="s">
        <v>871</v>
      </c>
      <c r="T12" s="17"/>
    </row>
    <row r="13" spans="1:20" ht="15.75" customHeight="1">
      <c r="A13" s="12">
        <v>11</v>
      </c>
      <c r="B13" s="13" t="s">
        <v>872</v>
      </c>
      <c r="C13" s="14">
        <v>2025</v>
      </c>
      <c r="D13" s="14">
        <v>34</v>
      </c>
      <c r="E13" s="14">
        <v>11</v>
      </c>
      <c r="F13" s="14">
        <v>9</v>
      </c>
      <c r="G13" s="14">
        <v>14</v>
      </c>
      <c r="H13" s="14">
        <v>48</v>
      </c>
      <c r="I13" s="14">
        <v>51</v>
      </c>
      <c r="J13" s="14">
        <v>-3</v>
      </c>
      <c r="K13" s="14">
        <v>42</v>
      </c>
      <c r="L13" s="14">
        <v>1.24</v>
      </c>
      <c r="M13" s="14">
        <v>41</v>
      </c>
      <c r="N13" s="14">
        <v>58.6</v>
      </c>
      <c r="O13" s="14">
        <v>-17.600000000000001</v>
      </c>
      <c r="P13" s="14">
        <v>-0.52</v>
      </c>
      <c r="Q13" s="15">
        <v>16634</v>
      </c>
      <c r="R13" s="16" t="s">
        <v>873</v>
      </c>
      <c r="S13" s="16" t="s">
        <v>874</v>
      </c>
      <c r="T13" s="17"/>
    </row>
    <row r="14" spans="1:20" ht="15.75" customHeight="1">
      <c r="A14" s="12">
        <v>12</v>
      </c>
      <c r="B14" s="13" t="s">
        <v>875</v>
      </c>
      <c r="C14" s="14">
        <v>2025</v>
      </c>
      <c r="D14" s="14">
        <v>34</v>
      </c>
      <c r="E14" s="14">
        <v>13</v>
      </c>
      <c r="F14" s="14">
        <v>2</v>
      </c>
      <c r="G14" s="14">
        <v>19</v>
      </c>
      <c r="H14" s="14">
        <v>51</v>
      </c>
      <c r="I14" s="14">
        <v>50</v>
      </c>
      <c r="J14" s="14">
        <f>1</f>
        <v>1</v>
      </c>
      <c r="K14" s="14">
        <v>41</v>
      </c>
      <c r="L14" s="14">
        <v>1.21</v>
      </c>
      <c r="M14" s="14">
        <v>48.6</v>
      </c>
      <c r="N14" s="14">
        <v>46</v>
      </c>
      <c r="O14" s="14">
        <f>2.6</f>
        <v>2.6</v>
      </c>
      <c r="P14" s="14">
        <f>0.08</f>
        <v>0.08</v>
      </c>
      <c r="Q14" s="15">
        <v>27970</v>
      </c>
      <c r="R14" s="16" t="s">
        <v>876</v>
      </c>
      <c r="S14" s="16" t="s">
        <v>877</v>
      </c>
      <c r="T14" s="17"/>
    </row>
    <row r="15" spans="1:20" ht="15.75" customHeight="1">
      <c r="A15" s="12">
        <v>13</v>
      </c>
      <c r="B15" s="13" t="s">
        <v>878</v>
      </c>
      <c r="C15" s="14">
        <v>2025</v>
      </c>
      <c r="D15" s="14">
        <v>34</v>
      </c>
      <c r="E15" s="14">
        <v>8</v>
      </c>
      <c r="F15" s="14">
        <v>12</v>
      </c>
      <c r="G15" s="14">
        <v>14</v>
      </c>
      <c r="H15" s="14">
        <v>39</v>
      </c>
      <c r="I15" s="14">
        <v>52</v>
      </c>
      <c r="J15" s="14">
        <v>-13</v>
      </c>
      <c r="K15" s="14">
        <v>36</v>
      </c>
      <c r="L15" s="14">
        <v>1.06</v>
      </c>
      <c r="M15" s="14">
        <v>39.1</v>
      </c>
      <c r="N15" s="14">
        <v>55.4</v>
      </c>
      <c r="O15" s="14">
        <v>-16.3</v>
      </c>
      <c r="P15" s="14">
        <v>-0.48</v>
      </c>
      <c r="Q15" s="15">
        <v>30317</v>
      </c>
      <c r="R15" s="16" t="s">
        <v>879</v>
      </c>
      <c r="S15" s="16" t="s">
        <v>880</v>
      </c>
      <c r="T15" s="17"/>
    </row>
    <row r="16" spans="1:20" ht="15.75" customHeight="1">
      <c r="A16" s="12">
        <v>14</v>
      </c>
      <c r="B16" s="13" t="s">
        <v>881</v>
      </c>
      <c r="C16" s="14">
        <v>2025</v>
      </c>
      <c r="D16" s="14">
        <v>34</v>
      </c>
      <c r="E16" s="14">
        <v>10</v>
      </c>
      <c r="F16" s="14">
        <v>6</v>
      </c>
      <c r="G16" s="14">
        <v>18</v>
      </c>
      <c r="H16" s="14">
        <v>32</v>
      </c>
      <c r="I16" s="14">
        <v>53</v>
      </c>
      <c r="J16" s="14">
        <v>-21</v>
      </c>
      <c r="K16" s="14">
        <v>36</v>
      </c>
      <c r="L16" s="14">
        <v>1.06</v>
      </c>
      <c r="M16" s="14">
        <v>36</v>
      </c>
      <c r="N16" s="14">
        <v>57.8</v>
      </c>
      <c r="O16" s="14">
        <v>-21.8</v>
      </c>
      <c r="P16" s="14">
        <v>-0.64</v>
      </c>
      <c r="Q16" s="15">
        <v>13142</v>
      </c>
      <c r="R16" s="16" t="s">
        <v>882</v>
      </c>
      <c r="S16" s="16" t="s">
        <v>883</v>
      </c>
      <c r="T16" s="17"/>
    </row>
    <row r="17" spans="1:20" ht="15.75" customHeight="1">
      <c r="A17" s="12">
        <v>15</v>
      </c>
      <c r="B17" s="13" t="s">
        <v>884</v>
      </c>
      <c r="C17" s="14">
        <v>2025</v>
      </c>
      <c r="D17" s="14">
        <v>34</v>
      </c>
      <c r="E17" s="14">
        <v>10</v>
      </c>
      <c r="F17" s="14">
        <v>4</v>
      </c>
      <c r="G17" s="14">
        <v>20</v>
      </c>
      <c r="H17" s="14">
        <v>40</v>
      </c>
      <c r="I17" s="14">
        <v>71</v>
      </c>
      <c r="J17" s="14">
        <v>-31</v>
      </c>
      <c r="K17" s="14">
        <v>34</v>
      </c>
      <c r="L17" s="14">
        <v>1</v>
      </c>
      <c r="M17" s="14">
        <v>41.3</v>
      </c>
      <c r="N17" s="14">
        <v>62.8</v>
      </c>
      <c r="O17" s="14">
        <v>-21.5</v>
      </c>
      <c r="P17" s="14">
        <v>-0.63</v>
      </c>
      <c r="Q17" s="15">
        <v>20218</v>
      </c>
      <c r="R17" s="16" t="s">
        <v>885</v>
      </c>
      <c r="S17" s="16" t="s">
        <v>886</v>
      </c>
      <c r="T17" s="17"/>
    </row>
    <row r="18" spans="1:20" ht="15.75" customHeight="1">
      <c r="A18" s="18">
        <v>16</v>
      </c>
      <c r="B18" s="13" t="s">
        <v>887</v>
      </c>
      <c r="C18" s="14">
        <v>2025</v>
      </c>
      <c r="D18" s="14">
        <v>34</v>
      </c>
      <c r="E18" s="14">
        <v>8</v>
      </c>
      <c r="F18" s="14">
        <v>9</v>
      </c>
      <c r="G18" s="14">
        <v>17</v>
      </c>
      <c r="H18" s="14">
        <v>33</v>
      </c>
      <c r="I18" s="14">
        <v>47</v>
      </c>
      <c r="J18" s="14">
        <v>-14</v>
      </c>
      <c r="K18" s="14">
        <v>33</v>
      </c>
      <c r="L18" s="14">
        <v>0.97</v>
      </c>
      <c r="M18" s="14">
        <v>37.4</v>
      </c>
      <c r="N18" s="14">
        <v>57.4</v>
      </c>
      <c r="O18" s="14">
        <v>-19.899999999999999</v>
      </c>
      <c r="P18" s="14">
        <v>-0.59</v>
      </c>
      <c r="Q18" s="15">
        <v>15655</v>
      </c>
      <c r="R18" s="16" t="s">
        <v>888</v>
      </c>
      <c r="S18" s="16" t="s">
        <v>889</v>
      </c>
      <c r="T18" s="17" t="s">
        <v>890</v>
      </c>
    </row>
    <row r="19" spans="1:20" ht="15.75" customHeight="1">
      <c r="A19" s="18">
        <v>17</v>
      </c>
      <c r="B19" s="13" t="s">
        <v>891</v>
      </c>
      <c r="C19" s="14">
        <v>2025</v>
      </c>
      <c r="D19" s="14">
        <v>34</v>
      </c>
      <c r="E19" s="14">
        <v>8</v>
      </c>
      <c r="F19" s="14">
        <v>6</v>
      </c>
      <c r="G19" s="14">
        <v>20</v>
      </c>
      <c r="H19" s="14">
        <v>39</v>
      </c>
      <c r="I19" s="14">
        <v>77</v>
      </c>
      <c r="J19" s="14">
        <v>-38</v>
      </c>
      <c r="K19" s="14">
        <v>30</v>
      </c>
      <c r="L19" s="14">
        <v>0.88</v>
      </c>
      <c r="M19" s="14">
        <v>36.4</v>
      </c>
      <c r="N19" s="14">
        <v>74.3</v>
      </c>
      <c r="O19" s="14">
        <v>-37.9</v>
      </c>
      <c r="P19" s="14">
        <v>-1.1499999999999999</v>
      </c>
      <c r="Q19" s="15">
        <v>30220</v>
      </c>
      <c r="R19" s="16" t="s">
        <v>892</v>
      </c>
      <c r="S19" s="16" t="s">
        <v>893</v>
      </c>
      <c r="T19" s="17" t="s">
        <v>894</v>
      </c>
    </row>
    <row r="20" spans="1:20" ht="15.75" customHeight="1">
      <c r="A20" s="19">
        <v>18</v>
      </c>
      <c r="B20" s="20" t="s">
        <v>895</v>
      </c>
      <c r="C20" s="14">
        <v>2025</v>
      </c>
      <c r="D20" s="21">
        <v>34</v>
      </c>
      <c r="E20" s="21">
        <v>4</v>
      </c>
      <c r="F20" s="21">
        <v>4</v>
      </c>
      <c r="G20" s="21">
        <v>26</v>
      </c>
      <c r="H20" s="21">
        <v>23</v>
      </c>
      <c r="I20" s="21">
        <v>79</v>
      </c>
      <c r="J20" s="21">
        <v>-56</v>
      </c>
      <c r="K20" s="21">
        <v>16</v>
      </c>
      <c r="L20" s="21">
        <v>0.47</v>
      </c>
      <c r="M20" s="21">
        <v>33.5</v>
      </c>
      <c r="N20" s="21">
        <v>63.3</v>
      </c>
      <c r="O20" s="21">
        <v>-29.9</v>
      </c>
      <c r="P20" s="21">
        <v>-0.91</v>
      </c>
      <c r="Q20" s="22">
        <v>13483</v>
      </c>
      <c r="R20" s="23" t="s">
        <v>896</v>
      </c>
      <c r="S20" s="23" t="s">
        <v>897</v>
      </c>
      <c r="T20" s="24" t="s">
        <v>894</v>
      </c>
    </row>
    <row r="21" spans="1:20" ht="15.75" customHeight="1">
      <c r="A21" s="9">
        <v>2024</v>
      </c>
    </row>
    <row r="22" spans="1:20" ht="15.75" customHeight="1">
      <c r="A22" s="10" t="s">
        <v>820</v>
      </c>
      <c r="B22" s="11" t="s">
        <v>821</v>
      </c>
      <c r="C22" s="11" t="s">
        <v>2</v>
      </c>
      <c r="D22" s="11" t="s">
        <v>822</v>
      </c>
      <c r="E22" s="11" t="s">
        <v>823</v>
      </c>
      <c r="F22" s="11" t="s">
        <v>824</v>
      </c>
      <c r="G22" s="11" t="s">
        <v>825</v>
      </c>
      <c r="H22" s="11" t="s">
        <v>826</v>
      </c>
      <c r="I22" s="11" t="s">
        <v>827</v>
      </c>
      <c r="J22" s="11" t="s">
        <v>828</v>
      </c>
      <c r="K22" s="11" t="s">
        <v>829</v>
      </c>
      <c r="L22" s="11" t="s">
        <v>830</v>
      </c>
      <c r="M22" s="11" t="s">
        <v>831</v>
      </c>
      <c r="N22" s="11" t="s">
        <v>832</v>
      </c>
      <c r="O22" s="11" t="s">
        <v>833</v>
      </c>
      <c r="P22" s="11" t="s">
        <v>834</v>
      </c>
      <c r="Q22" s="11" t="s">
        <v>835</v>
      </c>
      <c r="R22" s="11" t="s">
        <v>836</v>
      </c>
      <c r="S22" s="11" t="s">
        <v>837</v>
      </c>
      <c r="T22" s="11" t="s">
        <v>838</v>
      </c>
    </row>
    <row r="23" spans="1:20" ht="15.75" customHeight="1">
      <c r="A23" s="12">
        <v>1</v>
      </c>
      <c r="B23" s="13" t="s">
        <v>898</v>
      </c>
      <c r="C23" s="14">
        <v>2024</v>
      </c>
      <c r="D23" s="14">
        <v>34</v>
      </c>
      <c r="E23" s="14">
        <v>22</v>
      </c>
      <c r="F23" s="14">
        <v>10</v>
      </c>
      <c r="G23" s="14">
        <v>2</v>
      </c>
      <c r="H23" s="14">
        <v>81</v>
      </c>
      <c r="I23" s="14">
        <v>33</v>
      </c>
      <c r="J23" s="14">
        <f>48</f>
        <v>48</v>
      </c>
      <c r="K23" s="14">
        <v>76</v>
      </c>
      <c r="L23" s="14">
        <v>2.2400000000000002</v>
      </c>
      <c r="M23" s="14">
        <v>68.8</v>
      </c>
      <c r="N23" s="14">
        <v>40</v>
      </c>
      <c r="O23" s="14">
        <f>28.8</f>
        <v>28.8</v>
      </c>
      <c r="P23" s="14">
        <f>0.85</f>
        <v>0.85</v>
      </c>
      <c r="Q23" s="15">
        <v>46834</v>
      </c>
      <c r="R23" s="16" t="s">
        <v>899</v>
      </c>
      <c r="S23" s="16" t="s">
        <v>900</v>
      </c>
      <c r="T23" s="17" t="s">
        <v>842</v>
      </c>
    </row>
    <row r="24" spans="1:20" ht="15.75" customHeight="1">
      <c r="A24" s="12">
        <v>2</v>
      </c>
      <c r="B24" s="13" t="s">
        <v>901</v>
      </c>
      <c r="C24" s="14">
        <v>2024</v>
      </c>
      <c r="D24" s="14">
        <v>34</v>
      </c>
      <c r="E24" s="14">
        <v>20</v>
      </c>
      <c r="F24" s="14">
        <v>7</v>
      </c>
      <c r="G24" s="14">
        <v>7</v>
      </c>
      <c r="H24" s="14">
        <v>68</v>
      </c>
      <c r="I24" s="14">
        <v>42</v>
      </c>
      <c r="J24" s="14">
        <f>26</f>
        <v>26</v>
      </c>
      <c r="K24" s="14">
        <v>67</v>
      </c>
      <c r="L24" s="14">
        <v>1.97</v>
      </c>
      <c r="M24" s="14">
        <v>55</v>
      </c>
      <c r="N24" s="14">
        <v>43.5</v>
      </c>
      <c r="O24" s="14">
        <f>11.5</f>
        <v>11.5</v>
      </c>
      <c r="P24" s="14">
        <f>0.34</f>
        <v>0.34</v>
      </c>
      <c r="Q24" s="15">
        <v>7884</v>
      </c>
      <c r="R24" s="16" t="s">
        <v>902</v>
      </c>
      <c r="S24" s="16" t="s">
        <v>903</v>
      </c>
      <c r="T24" s="17" t="s">
        <v>842</v>
      </c>
    </row>
    <row r="25" spans="1:20" ht="15.75" customHeight="1">
      <c r="A25" s="12">
        <v>3</v>
      </c>
      <c r="B25" s="13" t="s">
        <v>904</v>
      </c>
      <c r="C25" s="14">
        <v>2024</v>
      </c>
      <c r="D25" s="14">
        <v>34</v>
      </c>
      <c r="E25" s="14">
        <v>17</v>
      </c>
      <c r="F25" s="14">
        <v>10</v>
      </c>
      <c r="G25" s="14">
        <v>7</v>
      </c>
      <c r="H25" s="14">
        <v>53</v>
      </c>
      <c r="I25" s="14">
        <v>34</v>
      </c>
      <c r="J25" s="14">
        <f>19</f>
        <v>19</v>
      </c>
      <c r="K25" s="14">
        <v>61</v>
      </c>
      <c r="L25" s="14">
        <v>1.79</v>
      </c>
      <c r="M25" s="14">
        <v>48.3</v>
      </c>
      <c r="N25" s="14">
        <v>39.200000000000003</v>
      </c>
      <c r="O25" s="14">
        <f>9.1</f>
        <v>9.1</v>
      </c>
      <c r="P25" s="14">
        <f>0.27</f>
        <v>0.27</v>
      </c>
      <c r="Q25" s="15">
        <v>14513</v>
      </c>
      <c r="R25" s="16" t="s">
        <v>905</v>
      </c>
      <c r="S25" s="16" t="s">
        <v>906</v>
      </c>
      <c r="T25" s="17" t="s">
        <v>842</v>
      </c>
    </row>
    <row r="26" spans="1:20" ht="15.75" customHeight="1">
      <c r="A26" s="12">
        <v>4</v>
      </c>
      <c r="B26" s="13" t="s">
        <v>907</v>
      </c>
      <c r="C26" s="14">
        <v>2024</v>
      </c>
      <c r="D26" s="14">
        <v>34</v>
      </c>
      <c r="E26" s="14">
        <v>16</v>
      </c>
      <c r="F26" s="14">
        <v>11</v>
      </c>
      <c r="G26" s="14">
        <v>7</v>
      </c>
      <c r="H26" s="14">
        <v>52</v>
      </c>
      <c r="I26" s="14">
        <v>34</v>
      </c>
      <c r="J26" s="14">
        <f>18</f>
        <v>18</v>
      </c>
      <c r="K26" s="14">
        <v>59</v>
      </c>
      <c r="L26" s="14">
        <v>1.74</v>
      </c>
      <c r="M26" s="14">
        <v>48.6</v>
      </c>
      <c r="N26" s="14">
        <v>36.5</v>
      </c>
      <c r="O26" s="14">
        <f>12.2</f>
        <v>12.2</v>
      </c>
      <c r="P26" s="14">
        <f>0.36</f>
        <v>0.36</v>
      </c>
      <c r="Q26" s="15">
        <v>39932</v>
      </c>
      <c r="R26" s="16" t="s">
        <v>908</v>
      </c>
      <c r="S26" s="16" t="s">
        <v>909</v>
      </c>
      <c r="T26" s="17" t="s">
        <v>842</v>
      </c>
    </row>
    <row r="27" spans="1:20" ht="15.75" customHeight="1">
      <c r="A27" s="12">
        <v>5</v>
      </c>
      <c r="B27" s="13" t="s">
        <v>910</v>
      </c>
      <c r="C27" s="14">
        <v>2024</v>
      </c>
      <c r="D27" s="14">
        <v>34</v>
      </c>
      <c r="E27" s="14">
        <v>15</v>
      </c>
      <c r="F27" s="14">
        <v>10</v>
      </c>
      <c r="G27" s="14">
        <v>9</v>
      </c>
      <c r="H27" s="14">
        <v>40</v>
      </c>
      <c r="I27" s="14">
        <v>29</v>
      </c>
      <c r="J27" s="14">
        <f>11</f>
        <v>11</v>
      </c>
      <c r="K27" s="14">
        <v>55</v>
      </c>
      <c r="L27" s="14">
        <v>1.62</v>
      </c>
      <c r="M27" s="14">
        <v>49.9</v>
      </c>
      <c r="N27" s="14">
        <v>35.5</v>
      </c>
      <c r="O27" s="14">
        <f>14.4</f>
        <v>14.4</v>
      </c>
      <c r="P27" s="14">
        <f>0.42</f>
        <v>0.42</v>
      </c>
      <c r="Q27" s="15">
        <v>24952</v>
      </c>
      <c r="R27" s="16" t="s">
        <v>911</v>
      </c>
      <c r="S27" s="16" t="s">
        <v>912</v>
      </c>
      <c r="T27" s="17" t="s">
        <v>855</v>
      </c>
    </row>
    <row r="28" spans="1:20" ht="15.75" customHeight="1">
      <c r="A28" s="12">
        <v>6</v>
      </c>
      <c r="B28" s="13" t="s">
        <v>913</v>
      </c>
      <c r="C28" s="14">
        <v>2024</v>
      </c>
      <c r="D28" s="14">
        <v>34</v>
      </c>
      <c r="E28" s="14">
        <v>16</v>
      </c>
      <c r="F28" s="14">
        <v>5</v>
      </c>
      <c r="G28" s="14">
        <v>13</v>
      </c>
      <c r="H28" s="14">
        <v>49</v>
      </c>
      <c r="I28" s="14">
        <v>55</v>
      </c>
      <c r="J28" s="14">
        <v>-6</v>
      </c>
      <c r="K28" s="14">
        <v>53</v>
      </c>
      <c r="L28" s="14">
        <v>1.56</v>
      </c>
      <c r="M28" s="14">
        <v>49.8</v>
      </c>
      <c r="N28" s="14">
        <v>52.4</v>
      </c>
      <c r="O28" s="14">
        <v>-2.5</v>
      </c>
      <c r="P28" s="14">
        <v>-7.0000000000000007E-2</v>
      </c>
      <c r="Q28" s="15">
        <v>45314</v>
      </c>
      <c r="R28" s="16" t="s">
        <v>914</v>
      </c>
      <c r="S28" s="16" t="s">
        <v>915</v>
      </c>
      <c r="T28" s="17" t="s">
        <v>855</v>
      </c>
    </row>
    <row r="29" spans="1:20" ht="15.75" customHeight="1">
      <c r="A29" s="12">
        <v>7</v>
      </c>
      <c r="B29" s="13" t="s">
        <v>916</v>
      </c>
      <c r="C29" s="14">
        <v>2024</v>
      </c>
      <c r="D29" s="14">
        <v>34</v>
      </c>
      <c r="E29" s="14">
        <v>14</v>
      </c>
      <c r="F29" s="14">
        <v>9</v>
      </c>
      <c r="G29" s="14">
        <v>11</v>
      </c>
      <c r="H29" s="14">
        <v>45</v>
      </c>
      <c r="I29" s="14">
        <v>37</v>
      </c>
      <c r="J29" s="14">
        <f>8</f>
        <v>8</v>
      </c>
      <c r="K29" s="14">
        <v>51</v>
      </c>
      <c r="L29" s="14">
        <v>1.5</v>
      </c>
      <c r="M29" s="14">
        <v>54.1</v>
      </c>
      <c r="N29" s="14">
        <v>46.7</v>
      </c>
      <c r="O29" s="14">
        <f>7.4</f>
        <v>7.4</v>
      </c>
      <c r="P29" s="14">
        <f>0.22</f>
        <v>0.22</v>
      </c>
      <c r="Q29" s="15">
        <v>37824</v>
      </c>
      <c r="R29" s="16" t="s">
        <v>917</v>
      </c>
      <c r="S29" s="16" t="s">
        <v>918</v>
      </c>
      <c r="T29" s="17" t="s">
        <v>862</v>
      </c>
    </row>
    <row r="30" spans="1:20" ht="15.75" customHeight="1">
      <c r="A30" s="12">
        <v>8</v>
      </c>
      <c r="B30" s="13" t="s">
        <v>919</v>
      </c>
      <c r="C30" s="14">
        <v>2024</v>
      </c>
      <c r="D30" s="14">
        <v>34</v>
      </c>
      <c r="E30" s="14">
        <v>13</v>
      </c>
      <c r="F30" s="14">
        <v>11</v>
      </c>
      <c r="G30" s="14">
        <v>10</v>
      </c>
      <c r="H30" s="14">
        <v>52</v>
      </c>
      <c r="I30" s="14">
        <v>41</v>
      </c>
      <c r="J30" s="14">
        <f>11</f>
        <v>11</v>
      </c>
      <c r="K30" s="14">
        <v>50</v>
      </c>
      <c r="L30" s="14">
        <v>1.47</v>
      </c>
      <c r="M30" s="14">
        <v>54.9</v>
      </c>
      <c r="N30" s="14">
        <v>35.4</v>
      </c>
      <c r="O30" s="14">
        <f>19.5</f>
        <v>19.5</v>
      </c>
      <c r="P30" s="14">
        <f>0.57</f>
        <v>0.56999999999999995</v>
      </c>
      <c r="Q30" s="15">
        <v>60496</v>
      </c>
      <c r="R30" s="16" t="s">
        <v>920</v>
      </c>
      <c r="S30" s="16" t="s">
        <v>921</v>
      </c>
      <c r="T30" s="17"/>
    </row>
    <row r="31" spans="1:20" ht="15.75" customHeight="1">
      <c r="A31" s="12">
        <v>9</v>
      </c>
      <c r="B31" s="13" t="s">
        <v>922</v>
      </c>
      <c r="C31" s="14">
        <v>2024</v>
      </c>
      <c r="D31" s="14">
        <v>34</v>
      </c>
      <c r="E31" s="14">
        <v>13</v>
      </c>
      <c r="F31" s="14">
        <v>8</v>
      </c>
      <c r="G31" s="14">
        <v>13</v>
      </c>
      <c r="H31" s="14">
        <v>42</v>
      </c>
      <c r="I31" s="14">
        <v>47</v>
      </c>
      <c r="J31" s="14">
        <v>-5</v>
      </c>
      <c r="K31" s="14">
        <v>47</v>
      </c>
      <c r="L31" s="14">
        <v>1.38</v>
      </c>
      <c r="M31" s="14">
        <v>44.5</v>
      </c>
      <c r="N31" s="14">
        <v>46.4</v>
      </c>
      <c r="O31" s="14">
        <v>-1.9</v>
      </c>
      <c r="P31" s="14">
        <v>-0.06</v>
      </c>
      <c r="Q31" s="15">
        <v>15716</v>
      </c>
      <c r="R31" s="16" t="s">
        <v>923</v>
      </c>
      <c r="S31" s="16" t="s">
        <v>924</v>
      </c>
      <c r="T31" s="17"/>
    </row>
    <row r="32" spans="1:20" ht="15.75" customHeight="1">
      <c r="A32" s="12">
        <v>10</v>
      </c>
      <c r="B32" s="13" t="s">
        <v>925</v>
      </c>
      <c r="C32" s="14">
        <v>2024</v>
      </c>
      <c r="D32" s="14">
        <v>34</v>
      </c>
      <c r="E32" s="14">
        <v>12</v>
      </c>
      <c r="F32" s="14">
        <v>10</v>
      </c>
      <c r="G32" s="14">
        <v>12</v>
      </c>
      <c r="H32" s="14">
        <v>53</v>
      </c>
      <c r="I32" s="14">
        <v>46</v>
      </c>
      <c r="J32" s="14">
        <f>7</f>
        <v>7</v>
      </c>
      <c r="K32" s="14">
        <v>46</v>
      </c>
      <c r="L32" s="14">
        <v>1.35</v>
      </c>
      <c r="M32" s="14">
        <v>53.1</v>
      </c>
      <c r="N32" s="14">
        <v>41.2</v>
      </c>
      <c r="O32" s="14">
        <f>11.8</f>
        <v>11.8</v>
      </c>
      <c r="P32" s="14">
        <f>0.35</f>
        <v>0.35</v>
      </c>
      <c r="Q32" s="15">
        <v>27663</v>
      </c>
      <c r="R32" s="16" t="s">
        <v>926</v>
      </c>
      <c r="S32" s="16" t="s">
        <v>927</v>
      </c>
      <c r="T32" s="17"/>
    </row>
    <row r="33" spans="1:20" ht="15.75" customHeight="1">
      <c r="A33" s="12">
        <v>11</v>
      </c>
      <c r="B33" s="13" t="s">
        <v>928</v>
      </c>
      <c r="C33" s="14">
        <v>2024</v>
      </c>
      <c r="D33" s="14">
        <v>34</v>
      </c>
      <c r="E33" s="14">
        <v>11</v>
      </c>
      <c r="F33" s="14">
        <v>10</v>
      </c>
      <c r="G33" s="14">
        <v>13</v>
      </c>
      <c r="H33" s="14">
        <v>42</v>
      </c>
      <c r="I33" s="14">
        <v>46</v>
      </c>
      <c r="J33" s="14">
        <v>-4</v>
      </c>
      <c r="K33" s="14">
        <v>43</v>
      </c>
      <c r="L33" s="14">
        <v>1.26</v>
      </c>
      <c r="M33" s="14">
        <v>40.299999999999997</v>
      </c>
      <c r="N33" s="14">
        <v>48.1</v>
      </c>
      <c r="O33" s="14">
        <v>-7.8</v>
      </c>
      <c r="P33" s="14">
        <v>-0.23</v>
      </c>
      <c r="Q33" s="15">
        <v>25806</v>
      </c>
      <c r="R33" s="16" t="s">
        <v>929</v>
      </c>
      <c r="S33" s="16" t="s">
        <v>930</v>
      </c>
      <c r="T33" s="17"/>
    </row>
    <row r="34" spans="1:20" ht="15.75" customHeight="1">
      <c r="A34" s="12">
        <v>12</v>
      </c>
      <c r="B34" s="13" t="s">
        <v>931</v>
      </c>
      <c r="C34" s="14">
        <v>2024</v>
      </c>
      <c r="D34" s="14">
        <v>34</v>
      </c>
      <c r="E34" s="14">
        <v>10</v>
      </c>
      <c r="F34" s="14">
        <v>12</v>
      </c>
      <c r="G34" s="14">
        <v>12</v>
      </c>
      <c r="H34" s="14">
        <v>43</v>
      </c>
      <c r="I34" s="14">
        <v>48</v>
      </c>
      <c r="J34" s="14">
        <v>-5</v>
      </c>
      <c r="K34" s="14">
        <v>41</v>
      </c>
      <c r="L34" s="14">
        <v>1.21</v>
      </c>
      <c r="M34" s="14">
        <v>46</v>
      </c>
      <c r="N34" s="14">
        <v>50.9</v>
      </c>
      <c r="O34" s="14">
        <v>-4.8</v>
      </c>
      <c r="P34" s="14">
        <v>-0.14000000000000001</v>
      </c>
      <c r="Q34" s="15">
        <v>13901</v>
      </c>
      <c r="R34" s="16" t="s">
        <v>932</v>
      </c>
      <c r="S34" s="16" t="s">
        <v>933</v>
      </c>
      <c r="T34" s="17" t="s">
        <v>934</v>
      </c>
    </row>
    <row r="35" spans="1:20" ht="15.75" customHeight="1">
      <c r="A35" s="12">
        <v>13</v>
      </c>
      <c r="B35" s="13" t="s">
        <v>935</v>
      </c>
      <c r="C35" s="14">
        <v>2024</v>
      </c>
      <c r="D35" s="14">
        <v>34</v>
      </c>
      <c r="E35" s="14">
        <v>10</v>
      </c>
      <c r="F35" s="14">
        <v>9</v>
      </c>
      <c r="G35" s="14">
        <v>15</v>
      </c>
      <c r="H35" s="14">
        <v>38</v>
      </c>
      <c r="I35" s="14">
        <v>50</v>
      </c>
      <c r="J35" s="14">
        <v>-12</v>
      </c>
      <c r="K35" s="14">
        <v>39</v>
      </c>
      <c r="L35" s="14">
        <v>1.1499999999999999</v>
      </c>
      <c r="M35" s="14">
        <v>41.9</v>
      </c>
      <c r="N35" s="14">
        <v>45.5</v>
      </c>
      <c r="O35" s="14">
        <v>-3.5</v>
      </c>
      <c r="P35" s="14">
        <v>-0.1</v>
      </c>
      <c r="Q35" s="15">
        <v>25334</v>
      </c>
      <c r="R35" s="16" t="s">
        <v>936</v>
      </c>
      <c r="S35" s="16" t="s">
        <v>937</v>
      </c>
      <c r="T35" s="17"/>
    </row>
    <row r="36" spans="1:20" ht="15.75" customHeight="1">
      <c r="A36" s="12">
        <v>14</v>
      </c>
      <c r="B36" s="13" t="s">
        <v>938</v>
      </c>
      <c r="C36" s="14">
        <v>2024</v>
      </c>
      <c r="D36" s="14">
        <v>34</v>
      </c>
      <c r="E36" s="14">
        <v>9</v>
      </c>
      <c r="F36" s="14">
        <v>6</v>
      </c>
      <c r="G36" s="14">
        <v>19</v>
      </c>
      <c r="H36" s="14">
        <v>30</v>
      </c>
      <c r="I36" s="14">
        <v>55</v>
      </c>
      <c r="J36" s="14">
        <v>-25</v>
      </c>
      <c r="K36" s="14">
        <v>33</v>
      </c>
      <c r="L36" s="14">
        <v>0.97</v>
      </c>
      <c r="M36" s="14">
        <v>37.6</v>
      </c>
      <c r="N36" s="14">
        <v>53</v>
      </c>
      <c r="O36" s="14">
        <v>-15.5</v>
      </c>
      <c r="P36" s="14">
        <v>-0.45</v>
      </c>
      <c r="Q36" s="15">
        <v>27555</v>
      </c>
      <c r="R36" s="16" t="s">
        <v>939</v>
      </c>
      <c r="S36" s="16" t="s">
        <v>940</v>
      </c>
      <c r="T36" s="17"/>
    </row>
    <row r="37" spans="1:20" ht="12.3">
      <c r="A37" s="12">
        <v>15</v>
      </c>
      <c r="B37" s="13" t="s">
        <v>941</v>
      </c>
      <c r="C37" s="14">
        <v>2024</v>
      </c>
      <c r="D37" s="14">
        <v>34</v>
      </c>
      <c r="E37" s="14">
        <v>7</v>
      </c>
      <c r="F37" s="14">
        <v>11</v>
      </c>
      <c r="G37" s="14">
        <v>16</v>
      </c>
      <c r="H37" s="14">
        <v>34</v>
      </c>
      <c r="I37" s="14">
        <v>45</v>
      </c>
      <c r="J37" s="14">
        <v>-11</v>
      </c>
      <c r="K37" s="14">
        <v>32</v>
      </c>
      <c r="L37" s="14">
        <v>0.94</v>
      </c>
      <c r="M37" s="14">
        <v>37.299999999999997</v>
      </c>
      <c r="N37" s="14">
        <v>50.6</v>
      </c>
      <c r="O37" s="14">
        <v>-13.3</v>
      </c>
      <c r="P37" s="14">
        <v>-0.39</v>
      </c>
      <c r="Q37" s="15">
        <v>31383</v>
      </c>
      <c r="R37" s="16" t="s">
        <v>942</v>
      </c>
      <c r="S37" s="16" t="s">
        <v>943</v>
      </c>
      <c r="T37" s="17"/>
    </row>
    <row r="38" spans="1:20" ht="12.3">
      <c r="A38" s="18">
        <v>16</v>
      </c>
      <c r="B38" s="13" t="s">
        <v>944</v>
      </c>
      <c r="C38" s="14">
        <v>2024</v>
      </c>
      <c r="D38" s="14">
        <v>34</v>
      </c>
      <c r="E38" s="14">
        <v>8</v>
      </c>
      <c r="F38" s="14">
        <v>5</v>
      </c>
      <c r="G38" s="14">
        <v>21</v>
      </c>
      <c r="H38" s="14">
        <v>35</v>
      </c>
      <c r="I38" s="14">
        <v>58</v>
      </c>
      <c r="J38" s="14">
        <v>-23</v>
      </c>
      <c r="K38" s="14">
        <v>29</v>
      </c>
      <c r="L38" s="14">
        <v>0.85</v>
      </c>
      <c r="M38" s="14">
        <v>34.200000000000003</v>
      </c>
      <c r="N38" s="14">
        <v>54.5</v>
      </c>
      <c r="O38" s="14">
        <v>-20.3</v>
      </c>
      <c r="P38" s="14">
        <v>-0.6</v>
      </c>
      <c r="Q38" s="15">
        <v>23838</v>
      </c>
      <c r="R38" s="16" t="s">
        <v>945</v>
      </c>
      <c r="S38" s="16" t="s">
        <v>946</v>
      </c>
      <c r="T38" s="17" t="s">
        <v>890</v>
      </c>
    </row>
    <row r="39" spans="1:20" ht="12.3">
      <c r="A39" s="18">
        <v>17</v>
      </c>
      <c r="B39" s="13" t="s">
        <v>947</v>
      </c>
      <c r="C39" s="14">
        <v>2024</v>
      </c>
      <c r="D39" s="14">
        <v>34</v>
      </c>
      <c r="E39" s="14">
        <v>7</v>
      </c>
      <c r="F39" s="14">
        <v>8</v>
      </c>
      <c r="G39" s="14">
        <v>19</v>
      </c>
      <c r="H39" s="14">
        <v>43</v>
      </c>
      <c r="I39" s="14">
        <v>66</v>
      </c>
      <c r="J39" s="14">
        <v>-23</v>
      </c>
      <c r="K39" s="14">
        <v>29</v>
      </c>
      <c r="L39" s="14">
        <v>0.85</v>
      </c>
      <c r="M39" s="14">
        <v>37.1</v>
      </c>
      <c r="N39" s="14">
        <v>54.5</v>
      </c>
      <c r="O39" s="14">
        <v>-17.3</v>
      </c>
      <c r="P39" s="14">
        <v>-0.51</v>
      </c>
      <c r="Q39" s="15">
        <v>15676</v>
      </c>
      <c r="R39" s="16" t="s">
        <v>948</v>
      </c>
      <c r="S39" s="16" t="s">
        <v>949</v>
      </c>
      <c r="T39" s="17" t="s">
        <v>894</v>
      </c>
    </row>
    <row r="40" spans="1:20" ht="12.3">
      <c r="A40" s="19">
        <v>18</v>
      </c>
      <c r="B40" s="20" t="s">
        <v>950</v>
      </c>
      <c r="C40" s="14">
        <v>2024</v>
      </c>
      <c r="D40" s="21">
        <v>34</v>
      </c>
      <c r="E40" s="21">
        <v>5</v>
      </c>
      <c r="F40" s="21">
        <v>10</v>
      </c>
      <c r="G40" s="21">
        <v>19</v>
      </c>
      <c r="H40" s="21">
        <v>26</v>
      </c>
      <c r="I40" s="21">
        <v>60</v>
      </c>
      <c r="J40" s="21">
        <v>-34</v>
      </c>
      <c r="K40" s="21">
        <v>25</v>
      </c>
      <c r="L40" s="21">
        <v>0.74</v>
      </c>
      <c r="M40" s="21">
        <v>36</v>
      </c>
      <c r="N40" s="21">
        <v>63.7</v>
      </c>
      <c r="O40" s="21">
        <v>-27.6</v>
      </c>
      <c r="P40" s="21">
        <v>-0.81</v>
      </c>
      <c r="Q40" s="22">
        <v>9821</v>
      </c>
      <c r="R40" s="23" t="s">
        <v>951</v>
      </c>
      <c r="S40" s="23" t="s">
        <v>952</v>
      </c>
      <c r="T40" s="24" t="s">
        <v>894</v>
      </c>
    </row>
    <row r="41" spans="1:20" ht="12.3">
      <c r="A41" s="9">
        <v>2023</v>
      </c>
    </row>
    <row r="42" spans="1:20" ht="12.3">
      <c r="A42" s="10" t="s">
        <v>820</v>
      </c>
      <c r="B42" s="11" t="s">
        <v>821</v>
      </c>
      <c r="C42" s="11" t="s">
        <v>2</v>
      </c>
      <c r="D42" s="11" t="s">
        <v>822</v>
      </c>
      <c r="E42" s="11" t="s">
        <v>823</v>
      </c>
      <c r="F42" s="11" t="s">
        <v>824</v>
      </c>
      <c r="G42" s="11" t="s">
        <v>825</v>
      </c>
      <c r="H42" s="11" t="s">
        <v>826</v>
      </c>
      <c r="I42" s="11" t="s">
        <v>827</v>
      </c>
      <c r="J42" s="11" t="s">
        <v>828</v>
      </c>
      <c r="K42" s="11" t="s">
        <v>829</v>
      </c>
      <c r="L42" s="11" t="s">
        <v>830</v>
      </c>
      <c r="M42" s="11" t="s">
        <v>831</v>
      </c>
      <c r="N42" s="11" t="s">
        <v>832</v>
      </c>
      <c r="O42" s="11" t="s">
        <v>833</v>
      </c>
      <c r="P42" s="11" t="s">
        <v>834</v>
      </c>
      <c r="Q42" s="11" t="s">
        <v>835</v>
      </c>
      <c r="R42" s="11" t="s">
        <v>836</v>
      </c>
      <c r="S42" s="11" t="s">
        <v>837</v>
      </c>
      <c r="T42" s="11" t="s">
        <v>838</v>
      </c>
    </row>
    <row r="43" spans="1:20" ht="12.3">
      <c r="A43" s="12">
        <v>1</v>
      </c>
      <c r="B43" s="13" t="s">
        <v>953</v>
      </c>
      <c r="C43" s="14">
        <v>2023</v>
      </c>
      <c r="D43" s="14">
        <v>34</v>
      </c>
      <c r="E43" s="14">
        <v>22</v>
      </c>
      <c r="F43" s="14">
        <v>10</v>
      </c>
      <c r="G43" s="14">
        <v>2</v>
      </c>
      <c r="H43" s="14">
        <v>81</v>
      </c>
      <c r="I43" s="14">
        <v>33</v>
      </c>
      <c r="J43" s="14">
        <f>48</f>
        <v>48</v>
      </c>
      <c r="K43" s="14">
        <v>76</v>
      </c>
      <c r="L43" s="14">
        <v>2.2400000000000002</v>
      </c>
      <c r="M43" s="14">
        <v>68.8</v>
      </c>
      <c r="N43" s="14">
        <v>40</v>
      </c>
      <c r="O43" s="14">
        <f>28.8</f>
        <v>28.8</v>
      </c>
      <c r="P43" s="14">
        <f>0.85</f>
        <v>0.85</v>
      </c>
      <c r="Q43" s="15">
        <v>46834</v>
      </c>
      <c r="R43" s="16" t="s">
        <v>954</v>
      </c>
      <c r="S43" s="16" t="s">
        <v>955</v>
      </c>
      <c r="T43" s="17" t="s">
        <v>842</v>
      </c>
    </row>
    <row r="44" spans="1:20" ht="12.3">
      <c r="A44" s="12">
        <v>2</v>
      </c>
      <c r="B44" s="13" t="s">
        <v>956</v>
      </c>
      <c r="C44" s="14">
        <v>2023</v>
      </c>
      <c r="D44" s="14">
        <v>34</v>
      </c>
      <c r="E44" s="14">
        <v>20</v>
      </c>
      <c r="F44" s="14">
        <v>7</v>
      </c>
      <c r="G44" s="14">
        <v>7</v>
      </c>
      <c r="H44" s="14">
        <v>68</v>
      </c>
      <c r="I44" s="14">
        <v>42</v>
      </c>
      <c r="J44" s="14">
        <f>26</f>
        <v>26</v>
      </c>
      <c r="K44" s="14">
        <v>67</v>
      </c>
      <c r="L44" s="14">
        <v>1.97</v>
      </c>
      <c r="M44" s="14">
        <v>55</v>
      </c>
      <c r="N44" s="14">
        <v>43.5</v>
      </c>
      <c r="O44" s="14">
        <f>11.5</f>
        <v>11.5</v>
      </c>
      <c r="P44" s="14">
        <f>0.34</f>
        <v>0.34</v>
      </c>
      <c r="Q44" s="15">
        <v>7884</v>
      </c>
      <c r="R44" s="16" t="s">
        <v>957</v>
      </c>
      <c r="S44" s="16" t="s">
        <v>958</v>
      </c>
      <c r="T44" s="17" t="s">
        <v>842</v>
      </c>
    </row>
    <row r="45" spans="1:20" ht="12.3">
      <c r="A45" s="12">
        <v>3</v>
      </c>
      <c r="B45" s="13" t="s">
        <v>959</v>
      </c>
      <c r="C45" s="14">
        <v>2023</v>
      </c>
      <c r="D45" s="14">
        <v>34</v>
      </c>
      <c r="E45" s="14">
        <v>17</v>
      </c>
      <c r="F45" s="14">
        <v>10</v>
      </c>
      <c r="G45" s="14">
        <v>7</v>
      </c>
      <c r="H45" s="14">
        <v>53</v>
      </c>
      <c r="I45" s="14">
        <v>34</v>
      </c>
      <c r="J45" s="14">
        <f>19</f>
        <v>19</v>
      </c>
      <c r="K45" s="14">
        <v>61</v>
      </c>
      <c r="L45" s="14">
        <v>1.79</v>
      </c>
      <c r="M45" s="14">
        <v>48.3</v>
      </c>
      <c r="N45" s="14">
        <v>39.200000000000003</v>
      </c>
      <c r="O45" s="14">
        <f>9.1</f>
        <v>9.1</v>
      </c>
      <c r="P45" s="14">
        <f>0.27</f>
        <v>0.27</v>
      </c>
      <c r="Q45" s="15">
        <v>14513</v>
      </c>
      <c r="R45" s="16" t="s">
        <v>960</v>
      </c>
      <c r="S45" s="16" t="s">
        <v>961</v>
      </c>
      <c r="T45" s="17" t="s">
        <v>842</v>
      </c>
    </row>
    <row r="46" spans="1:20" ht="12.3">
      <c r="A46" s="12">
        <v>4</v>
      </c>
      <c r="B46" s="13" t="s">
        <v>962</v>
      </c>
      <c r="C46" s="14">
        <v>2023</v>
      </c>
      <c r="D46" s="14">
        <v>34</v>
      </c>
      <c r="E46" s="14">
        <v>16</v>
      </c>
      <c r="F46" s="14">
        <v>11</v>
      </c>
      <c r="G46" s="14">
        <v>7</v>
      </c>
      <c r="H46" s="14">
        <v>52</v>
      </c>
      <c r="I46" s="14">
        <v>34</v>
      </c>
      <c r="J46" s="14">
        <f>18</f>
        <v>18</v>
      </c>
      <c r="K46" s="14">
        <v>59</v>
      </c>
      <c r="L46" s="14">
        <v>1.74</v>
      </c>
      <c r="M46" s="14">
        <v>48.6</v>
      </c>
      <c r="N46" s="14">
        <v>36.5</v>
      </c>
      <c r="O46" s="14">
        <f>12.2</f>
        <v>12.2</v>
      </c>
      <c r="P46" s="14">
        <f>0.36</f>
        <v>0.36</v>
      </c>
      <c r="Q46" s="15">
        <v>39932</v>
      </c>
      <c r="R46" s="16" t="s">
        <v>963</v>
      </c>
      <c r="S46" s="16" t="s">
        <v>964</v>
      </c>
      <c r="T46" s="17" t="s">
        <v>842</v>
      </c>
    </row>
    <row r="47" spans="1:20" ht="12.3">
      <c r="A47" s="12">
        <v>5</v>
      </c>
      <c r="B47" s="13" t="s">
        <v>965</v>
      </c>
      <c r="C47" s="14">
        <v>2023</v>
      </c>
      <c r="D47" s="14">
        <v>34</v>
      </c>
      <c r="E47" s="14">
        <v>15</v>
      </c>
      <c r="F47" s="14">
        <v>10</v>
      </c>
      <c r="G47" s="14">
        <v>9</v>
      </c>
      <c r="H47" s="14">
        <v>40</v>
      </c>
      <c r="I47" s="14">
        <v>29</v>
      </c>
      <c r="J47" s="14">
        <f>11</f>
        <v>11</v>
      </c>
      <c r="K47" s="14">
        <v>55</v>
      </c>
      <c r="L47" s="14">
        <v>1.62</v>
      </c>
      <c r="M47" s="14">
        <v>49.9</v>
      </c>
      <c r="N47" s="14">
        <v>35.5</v>
      </c>
      <c r="O47" s="14">
        <f>14.4</f>
        <v>14.4</v>
      </c>
      <c r="P47" s="14">
        <f>0.42</f>
        <v>0.42</v>
      </c>
      <c r="Q47" s="15">
        <v>24952</v>
      </c>
      <c r="R47" s="16" t="s">
        <v>966</v>
      </c>
      <c r="S47" s="16" t="s">
        <v>967</v>
      </c>
      <c r="T47" s="17" t="s">
        <v>855</v>
      </c>
    </row>
    <row r="48" spans="1:20" ht="12.3">
      <c r="A48" s="12">
        <v>6</v>
      </c>
      <c r="B48" s="13" t="s">
        <v>968</v>
      </c>
      <c r="C48" s="14">
        <v>2023</v>
      </c>
      <c r="D48" s="14">
        <v>34</v>
      </c>
      <c r="E48" s="14">
        <v>16</v>
      </c>
      <c r="F48" s="14">
        <v>5</v>
      </c>
      <c r="G48" s="14">
        <v>13</v>
      </c>
      <c r="H48" s="14">
        <v>49</v>
      </c>
      <c r="I48" s="14">
        <v>55</v>
      </c>
      <c r="J48" s="14">
        <v>-6</v>
      </c>
      <c r="K48" s="14">
        <v>53</v>
      </c>
      <c r="L48" s="14">
        <v>1.56</v>
      </c>
      <c r="M48" s="14">
        <v>49.8</v>
      </c>
      <c r="N48" s="14">
        <v>52.4</v>
      </c>
      <c r="O48" s="14">
        <v>-2.5</v>
      </c>
      <c r="P48" s="14">
        <v>-7.0000000000000007E-2</v>
      </c>
      <c r="Q48" s="15">
        <v>45314</v>
      </c>
      <c r="R48" s="16" t="s">
        <v>969</v>
      </c>
      <c r="S48" s="16" t="s">
        <v>970</v>
      </c>
      <c r="T48" s="17" t="s">
        <v>855</v>
      </c>
    </row>
    <row r="49" spans="1:20" ht="12.3">
      <c r="A49" s="12">
        <v>7</v>
      </c>
      <c r="B49" s="13" t="s">
        <v>971</v>
      </c>
      <c r="C49" s="14">
        <v>2023</v>
      </c>
      <c r="D49" s="14">
        <v>34</v>
      </c>
      <c r="E49" s="14">
        <v>14</v>
      </c>
      <c r="F49" s="14">
        <v>9</v>
      </c>
      <c r="G49" s="14">
        <v>11</v>
      </c>
      <c r="H49" s="14">
        <v>45</v>
      </c>
      <c r="I49" s="14">
        <v>37</v>
      </c>
      <c r="J49" s="14">
        <f>8</f>
        <v>8</v>
      </c>
      <c r="K49" s="14">
        <v>51</v>
      </c>
      <c r="L49" s="14">
        <v>1.5</v>
      </c>
      <c r="M49" s="14">
        <v>54.1</v>
      </c>
      <c r="N49" s="14">
        <v>46.7</v>
      </c>
      <c r="O49" s="14">
        <f>7.4</f>
        <v>7.4</v>
      </c>
      <c r="P49" s="14">
        <f>0.22</f>
        <v>0.22</v>
      </c>
      <c r="Q49" s="15">
        <v>37824</v>
      </c>
      <c r="R49" s="16" t="s">
        <v>972</v>
      </c>
      <c r="S49" s="16" t="s">
        <v>973</v>
      </c>
      <c r="T49" s="17" t="s">
        <v>862</v>
      </c>
    </row>
    <row r="50" spans="1:20" ht="12.3">
      <c r="A50" s="12">
        <v>8</v>
      </c>
      <c r="B50" s="13" t="s">
        <v>974</v>
      </c>
      <c r="C50" s="14">
        <v>2023</v>
      </c>
      <c r="D50" s="14">
        <v>34</v>
      </c>
      <c r="E50" s="14">
        <v>13</v>
      </c>
      <c r="F50" s="14">
        <v>11</v>
      </c>
      <c r="G50" s="14">
        <v>10</v>
      </c>
      <c r="H50" s="14">
        <v>52</v>
      </c>
      <c r="I50" s="14">
        <v>41</v>
      </c>
      <c r="J50" s="14">
        <f>11</f>
        <v>11</v>
      </c>
      <c r="K50" s="14">
        <v>50</v>
      </c>
      <c r="L50" s="14">
        <v>1.47</v>
      </c>
      <c r="M50" s="14">
        <v>54.9</v>
      </c>
      <c r="N50" s="14">
        <v>35.4</v>
      </c>
      <c r="O50" s="14">
        <f>19.5</f>
        <v>19.5</v>
      </c>
      <c r="P50" s="14">
        <f>0.57</f>
        <v>0.56999999999999995</v>
      </c>
      <c r="Q50" s="15">
        <v>60496</v>
      </c>
      <c r="R50" s="16" t="s">
        <v>975</v>
      </c>
      <c r="S50" s="16" t="s">
        <v>976</v>
      </c>
      <c r="T50" s="17"/>
    </row>
    <row r="51" spans="1:20" ht="12.3">
      <c r="A51" s="12">
        <v>9</v>
      </c>
      <c r="B51" s="13" t="s">
        <v>977</v>
      </c>
      <c r="C51" s="14">
        <v>2023</v>
      </c>
      <c r="D51" s="14">
        <v>34</v>
      </c>
      <c r="E51" s="14">
        <v>13</v>
      </c>
      <c r="F51" s="14">
        <v>8</v>
      </c>
      <c r="G51" s="14">
        <v>13</v>
      </c>
      <c r="H51" s="14">
        <v>42</v>
      </c>
      <c r="I51" s="14">
        <v>47</v>
      </c>
      <c r="J51" s="14">
        <v>-5</v>
      </c>
      <c r="K51" s="14">
        <v>47</v>
      </c>
      <c r="L51" s="14">
        <v>1.38</v>
      </c>
      <c r="M51" s="14">
        <v>44.5</v>
      </c>
      <c r="N51" s="14">
        <v>46.4</v>
      </c>
      <c r="O51" s="14">
        <v>-1.9</v>
      </c>
      <c r="P51" s="14">
        <v>-0.06</v>
      </c>
      <c r="Q51" s="15">
        <v>15716</v>
      </c>
      <c r="R51" s="16" t="s">
        <v>978</v>
      </c>
      <c r="S51" s="16" t="s">
        <v>979</v>
      </c>
      <c r="T51" s="17"/>
    </row>
    <row r="52" spans="1:20" ht="12.3">
      <c r="A52" s="12">
        <v>10</v>
      </c>
      <c r="B52" s="13" t="s">
        <v>980</v>
      </c>
      <c r="C52" s="14">
        <v>2023</v>
      </c>
      <c r="D52" s="14">
        <v>34</v>
      </c>
      <c r="E52" s="14">
        <v>12</v>
      </c>
      <c r="F52" s="14">
        <v>10</v>
      </c>
      <c r="G52" s="14">
        <v>12</v>
      </c>
      <c r="H52" s="14">
        <v>53</v>
      </c>
      <c r="I52" s="14">
        <v>46</v>
      </c>
      <c r="J52" s="14">
        <f>7</f>
        <v>7</v>
      </c>
      <c r="K52" s="14">
        <v>46</v>
      </c>
      <c r="L52" s="14">
        <v>1.35</v>
      </c>
      <c r="M52" s="14">
        <v>53.1</v>
      </c>
      <c r="N52" s="14">
        <v>41.2</v>
      </c>
      <c r="O52" s="14">
        <f>11.8</f>
        <v>11.8</v>
      </c>
      <c r="P52" s="14">
        <f>0.35</f>
        <v>0.35</v>
      </c>
      <c r="Q52" s="15">
        <v>27663</v>
      </c>
      <c r="R52" s="16" t="s">
        <v>981</v>
      </c>
      <c r="S52" s="16" t="s">
        <v>982</v>
      </c>
      <c r="T52" s="17"/>
    </row>
    <row r="53" spans="1:20" ht="12.3">
      <c r="A53" s="12">
        <v>11</v>
      </c>
      <c r="B53" s="13" t="s">
        <v>983</v>
      </c>
      <c r="C53" s="14">
        <v>2023</v>
      </c>
      <c r="D53" s="14">
        <v>34</v>
      </c>
      <c r="E53" s="14">
        <v>11</v>
      </c>
      <c r="F53" s="14">
        <v>10</v>
      </c>
      <c r="G53" s="14">
        <v>13</v>
      </c>
      <c r="H53" s="14">
        <v>42</v>
      </c>
      <c r="I53" s="14">
        <v>46</v>
      </c>
      <c r="J53" s="14">
        <v>-4</v>
      </c>
      <c r="K53" s="14">
        <v>43</v>
      </c>
      <c r="L53" s="14">
        <v>1.26</v>
      </c>
      <c r="M53" s="14">
        <v>40.299999999999997</v>
      </c>
      <c r="N53" s="14">
        <v>48.1</v>
      </c>
      <c r="O53" s="14">
        <v>-7.8</v>
      </c>
      <c r="P53" s="14">
        <v>-0.23</v>
      </c>
      <c r="Q53" s="15">
        <v>25806</v>
      </c>
      <c r="R53" s="16" t="s">
        <v>984</v>
      </c>
      <c r="S53" s="16" t="s">
        <v>985</v>
      </c>
      <c r="T53" s="17"/>
    </row>
    <row r="54" spans="1:20" ht="12.3">
      <c r="A54" s="12">
        <v>12</v>
      </c>
      <c r="B54" s="13" t="s">
        <v>986</v>
      </c>
      <c r="C54" s="14">
        <v>2023</v>
      </c>
      <c r="D54" s="14">
        <v>34</v>
      </c>
      <c r="E54" s="14">
        <v>10</v>
      </c>
      <c r="F54" s="14">
        <v>12</v>
      </c>
      <c r="G54" s="14">
        <v>12</v>
      </c>
      <c r="H54" s="14">
        <v>43</v>
      </c>
      <c r="I54" s="14">
        <v>48</v>
      </c>
      <c r="J54" s="14">
        <v>-5</v>
      </c>
      <c r="K54" s="14">
        <v>41</v>
      </c>
      <c r="L54" s="14">
        <v>1.21</v>
      </c>
      <c r="M54" s="14">
        <v>46</v>
      </c>
      <c r="N54" s="14">
        <v>50.9</v>
      </c>
      <c r="O54" s="14">
        <v>-4.8</v>
      </c>
      <c r="P54" s="14">
        <v>-0.14000000000000001</v>
      </c>
      <c r="Q54" s="15">
        <v>13901</v>
      </c>
      <c r="R54" s="16" t="s">
        <v>987</v>
      </c>
      <c r="S54" s="16" t="s">
        <v>988</v>
      </c>
      <c r="T54" s="17" t="s">
        <v>934</v>
      </c>
    </row>
    <row r="55" spans="1:20" ht="12.3">
      <c r="A55" s="12">
        <v>13</v>
      </c>
      <c r="B55" s="13" t="s">
        <v>989</v>
      </c>
      <c r="C55" s="14">
        <v>2023</v>
      </c>
      <c r="D55" s="14">
        <v>34</v>
      </c>
      <c r="E55" s="14">
        <v>10</v>
      </c>
      <c r="F55" s="14">
        <v>9</v>
      </c>
      <c r="G55" s="14">
        <v>15</v>
      </c>
      <c r="H55" s="14">
        <v>38</v>
      </c>
      <c r="I55" s="14">
        <v>50</v>
      </c>
      <c r="J55" s="14">
        <v>-12</v>
      </c>
      <c r="K55" s="14">
        <v>39</v>
      </c>
      <c r="L55" s="14">
        <v>1.1499999999999999</v>
      </c>
      <c r="M55" s="14">
        <v>41.9</v>
      </c>
      <c r="N55" s="14">
        <v>45.5</v>
      </c>
      <c r="O55" s="14">
        <v>-3.5</v>
      </c>
      <c r="P55" s="14">
        <v>-0.1</v>
      </c>
      <c r="Q55" s="15">
        <v>25334</v>
      </c>
      <c r="R55" s="16" t="s">
        <v>990</v>
      </c>
      <c r="S55" s="16" t="s">
        <v>991</v>
      </c>
      <c r="T55" s="17"/>
    </row>
    <row r="56" spans="1:20" ht="12.3">
      <c r="A56" s="12">
        <v>14</v>
      </c>
      <c r="B56" s="13" t="s">
        <v>992</v>
      </c>
      <c r="C56" s="14">
        <v>2023</v>
      </c>
      <c r="D56" s="14">
        <v>34</v>
      </c>
      <c r="E56" s="14">
        <v>9</v>
      </c>
      <c r="F56" s="14">
        <v>6</v>
      </c>
      <c r="G56" s="14">
        <v>19</v>
      </c>
      <c r="H56" s="14">
        <v>30</v>
      </c>
      <c r="I56" s="14">
        <v>55</v>
      </c>
      <c r="J56" s="14">
        <v>-25</v>
      </c>
      <c r="K56" s="14">
        <v>33</v>
      </c>
      <c r="L56" s="14">
        <v>0.97</v>
      </c>
      <c r="M56" s="14">
        <v>37.6</v>
      </c>
      <c r="N56" s="14">
        <v>53</v>
      </c>
      <c r="O56" s="14">
        <v>-15.5</v>
      </c>
      <c r="P56" s="14">
        <v>-0.45</v>
      </c>
      <c r="Q56" s="15">
        <v>27555</v>
      </c>
      <c r="R56" s="16" t="s">
        <v>993</v>
      </c>
      <c r="S56" s="16" t="s">
        <v>994</v>
      </c>
      <c r="T56" s="17"/>
    </row>
    <row r="57" spans="1:20" ht="12.3">
      <c r="A57" s="12">
        <v>15</v>
      </c>
      <c r="B57" s="13" t="s">
        <v>995</v>
      </c>
      <c r="C57" s="14">
        <v>2023</v>
      </c>
      <c r="D57" s="14">
        <v>34</v>
      </c>
      <c r="E57" s="14">
        <v>7</v>
      </c>
      <c r="F57" s="14">
        <v>11</v>
      </c>
      <c r="G57" s="14">
        <v>16</v>
      </c>
      <c r="H57" s="14">
        <v>34</v>
      </c>
      <c r="I57" s="14">
        <v>45</v>
      </c>
      <c r="J57" s="14">
        <v>-11</v>
      </c>
      <c r="K57" s="14">
        <v>32</v>
      </c>
      <c r="L57" s="14">
        <v>0.94</v>
      </c>
      <c r="M57" s="14">
        <v>37.299999999999997</v>
      </c>
      <c r="N57" s="14">
        <v>50.6</v>
      </c>
      <c r="O57" s="14">
        <v>-13.3</v>
      </c>
      <c r="P57" s="14">
        <v>-0.39</v>
      </c>
      <c r="Q57" s="15">
        <v>31383</v>
      </c>
      <c r="R57" s="16" t="s">
        <v>996</v>
      </c>
      <c r="S57" s="16" t="s">
        <v>997</v>
      </c>
      <c r="T57" s="17"/>
    </row>
    <row r="58" spans="1:20" ht="12.3">
      <c r="A58" s="18">
        <v>16</v>
      </c>
      <c r="B58" s="13" t="s">
        <v>998</v>
      </c>
      <c r="C58" s="14">
        <v>2023</v>
      </c>
      <c r="D58" s="14">
        <v>34</v>
      </c>
      <c r="E58" s="14">
        <v>8</v>
      </c>
      <c r="F58" s="14">
        <v>5</v>
      </c>
      <c r="G58" s="14">
        <v>21</v>
      </c>
      <c r="H58" s="14">
        <v>35</v>
      </c>
      <c r="I58" s="14">
        <v>58</v>
      </c>
      <c r="J58" s="14">
        <v>-23</v>
      </c>
      <c r="K58" s="14">
        <v>29</v>
      </c>
      <c r="L58" s="14">
        <v>0.85</v>
      </c>
      <c r="M58" s="14">
        <v>34.200000000000003</v>
      </c>
      <c r="N58" s="14">
        <v>54.5</v>
      </c>
      <c r="O58" s="14">
        <v>-20.3</v>
      </c>
      <c r="P58" s="14">
        <v>-0.6</v>
      </c>
      <c r="Q58" s="15">
        <v>23838</v>
      </c>
      <c r="R58" s="16" t="s">
        <v>999</v>
      </c>
      <c r="S58" s="16" t="s">
        <v>1000</v>
      </c>
      <c r="T58" s="17" t="s">
        <v>890</v>
      </c>
    </row>
    <row r="59" spans="1:20" ht="12.3">
      <c r="A59" s="18">
        <v>17</v>
      </c>
      <c r="B59" s="13" t="s">
        <v>1001</v>
      </c>
      <c r="C59" s="14">
        <v>2023</v>
      </c>
      <c r="D59" s="14">
        <v>34</v>
      </c>
      <c r="E59" s="14">
        <v>7</v>
      </c>
      <c r="F59" s="14">
        <v>8</v>
      </c>
      <c r="G59" s="14">
        <v>19</v>
      </c>
      <c r="H59" s="14">
        <v>43</v>
      </c>
      <c r="I59" s="14">
        <v>66</v>
      </c>
      <c r="J59" s="14">
        <v>-23</v>
      </c>
      <c r="K59" s="14">
        <v>29</v>
      </c>
      <c r="L59" s="14">
        <v>0.85</v>
      </c>
      <c r="M59" s="14">
        <v>37.1</v>
      </c>
      <c r="N59" s="14">
        <v>54.5</v>
      </c>
      <c r="O59" s="14">
        <v>-17.3</v>
      </c>
      <c r="P59" s="14">
        <v>-0.51</v>
      </c>
      <c r="Q59" s="15">
        <v>15676</v>
      </c>
      <c r="R59" s="16" t="s">
        <v>1002</v>
      </c>
      <c r="S59" s="16" t="s">
        <v>1003</v>
      </c>
      <c r="T59" s="17" t="s">
        <v>894</v>
      </c>
    </row>
    <row r="60" spans="1:20" ht="12.3">
      <c r="A60" s="19">
        <v>18</v>
      </c>
      <c r="B60" s="20" t="s">
        <v>1004</v>
      </c>
      <c r="C60" s="14">
        <v>2023</v>
      </c>
      <c r="D60" s="21">
        <v>34</v>
      </c>
      <c r="E60" s="21">
        <v>5</v>
      </c>
      <c r="F60" s="21">
        <v>10</v>
      </c>
      <c r="G60" s="21">
        <v>19</v>
      </c>
      <c r="H60" s="21">
        <v>26</v>
      </c>
      <c r="I60" s="21">
        <v>60</v>
      </c>
      <c r="J60" s="21">
        <v>-34</v>
      </c>
      <c r="K60" s="21">
        <v>25</v>
      </c>
      <c r="L60" s="21">
        <v>0.74</v>
      </c>
      <c r="M60" s="21">
        <v>36</v>
      </c>
      <c r="N60" s="21">
        <v>63.7</v>
      </c>
      <c r="O60" s="21">
        <v>-27.6</v>
      </c>
      <c r="P60" s="21">
        <v>-0.81</v>
      </c>
      <c r="Q60" s="22">
        <v>9821</v>
      </c>
      <c r="R60" s="23" t="s">
        <v>1005</v>
      </c>
      <c r="S60" s="23" t="s">
        <v>1006</v>
      </c>
      <c r="T60" s="24" t="s">
        <v>894</v>
      </c>
    </row>
    <row r="61" spans="1:20" ht="12.3">
      <c r="A61" s="9">
        <v>2022</v>
      </c>
    </row>
    <row r="62" spans="1:20" ht="12.3">
      <c r="A62" s="10" t="s">
        <v>820</v>
      </c>
      <c r="B62" s="11" t="s">
        <v>821</v>
      </c>
      <c r="C62" s="11" t="s">
        <v>2</v>
      </c>
      <c r="D62" s="11" t="s">
        <v>822</v>
      </c>
      <c r="E62" s="11" t="s">
        <v>823</v>
      </c>
      <c r="F62" s="11" t="s">
        <v>824</v>
      </c>
      <c r="G62" s="11" t="s">
        <v>825</v>
      </c>
      <c r="H62" s="11" t="s">
        <v>826</v>
      </c>
      <c r="I62" s="11" t="s">
        <v>827</v>
      </c>
      <c r="J62" s="11" t="s">
        <v>828</v>
      </c>
      <c r="K62" s="11" t="s">
        <v>829</v>
      </c>
      <c r="L62" s="11" t="s">
        <v>830</v>
      </c>
      <c r="M62" s="11" t="s">
        <v>831</v>
      </c>
      <c r="N62" s="11" t="s">
        <v>832</v>
      </c>
      <c r="O62" s="11" t="s">
        <v>833</v>
      </c>
      <c r="P62" s="11" t="s">
        <v>834</v>
      </c>
      <c r="Q62" s="11" t="s">
        <v>835</v>
      </c>
      <c r="R62" s="11" t="s">
        <v>836</v>
      </c>
      <c r="S62" s="11" t="s">
        <v>837</v>
      </c>
      <c r="T62" s="11" t="s">
        <v>838</v>
      </c>
    </row>
    <row r="63" spans="1:20" ht="12.3">
      <c r="A63" s="12">
        <v>1</v>
      </c>
      <c r="B63" s="13" t="s">
        <v>1007</v>
      </c>
      <c r="C63" s="14">
        <v>2022</v>
      </c>
      <c r="D63" s="14">
        <v>38</v>
      </c>
      <c r="E63" s="14">
        <v>27</v>
      </c>
      <c r="F63" s="14">
        <v>4</v>
      </c>
      <c r="G63" s="14">
        <v>7</v>
      </c>
      <c r="H63" s="14">
        <v>89</v>
      </c>
      <c r="I63" s="14">
        <v>40</v>
      </c>
      <c r="J63" s="14">
        <f>49</f>
        <v>49</v>
      </c>
      <c r="K63" s="14">
        <v>85</v>
      </c>
      <c r="L63" s="14">
        <v>2.2400000000000002</v>
      </c>
      <c r="M63" s="14">
        <v>78.2</v>
      </c>
      <c r="N63" s="14">
        <v>48.3</v>
      </c>
      <c r="O63" s="14">
        <f>29.9</f>
        <v>29.9</v>
      </c>
      <c r="P63" s="14">
        <f>0.79</f>
        <v>0.79</v>
      </c>
      <c r="Q63" s="15">
        <v>46334</v>
      </c>
      <c r="R63" s="16" t="s">
        <v>1008</v>
      </c>
      <c r="S63" s="16" t="s">
        <v>1009</v>
      </c>
      <c r="T63" s="17" t="s">
        <v>842</v>
      </c>
    </row>
    <row r="64" spans="1:20" ht="12.3">
      <c r="A64" s="12">
        <v>2</v>
      </c>
      <c r="B64" s="13" t="s">
        <v>1010</v>
      </c>
      <c r="C64" s="14">
        <v>2022</v>
      </c>
      <c r="D64" s="14">
        <v>38</v>
      </c>
      <c r="E64" s="14">
        <v>25</v>
      </c>
      <c r="F64" s="14">
        <v>9</v>
      </c>
      <c r="G64" s="14">
        <v>4</v>
      </c>
      <c r="H64" s="14">
        <v>68</v>
      </c>
      <c r="I64" s="14">
        <v>29</v>
      </c>
      <c r="J64" s="14">
        <f>39</f>
        <v>39</v>
      </c>
      <c r="K64" s="14">
        <v>84</v>
      </c>
      <c r="L64" s="14">
        <v>2.21</v>
      </c>
      <c r="M64" s="14">
        <v>66.7</v>
      </c>
      <c r="N64" s="14">
        <v>43.5</v>
      </c>
      <c r="O64" s="14">
        <f>23.2</f>
        <v>23.2</v>
      </c>
      <c r="P64" s="14">
        <f>0.61</f>
        <v>0.61</v>
      </c>
      <c r="Q64" s="15">
        <v>37652</v>
      </c>
      <c r="R64" s="16" t="s">
        <v>1011</v>
      </c>
      <c r="S64" s="16" t="s">
        <v>1012</v>
      </c>
      <c r="T64" s="17" t="s">
        <v>842</v>
      </c>
    </row>
    <row r="65" spans="1:20" ht="12.3">
      <c r="A65" s="12">
        <v>3</v>
      </c>
      <c r="B65" s="13" t="s">
        <v>1013</v>
      </c>
      <c r="C65" s="14">
        <v>2022</v>
      </c>
      <c r="D65" s="14">
        <v>38</v>
      </c>
      <c r="E65" s="14">
        <v>22</v>
      </c>
      <c r="F65" s="14">
        <v>7</v>
      </c>
      <c r="G65" s="14">
        <v>9</v>
      </c>
      <c r="H65" s="14">
        <v>67</v>
      </c>
      <c r="I65" s="14">
        <v>40</v>
      </c>
      <c r="J65" s="14">
        <f>27</f>
        <v>27</v>
      </c>
      <c r="K65" s="14">
        <v>73</v>
      </c>
      <c r="L65" s="14">
        <v>1.92</v>
      </c>
      <c r="M65" s="14">
        <v>65.3</v>
      </c>
      <c r="N65" s="14">
        <v>42.5</v>
      </c>
      <c r="O65" s="14">
        <f>22.8</f>
        <v>22.8</v>
      </c>
      <c r="P65" s="14">
        <f>0.6</f>
        <v>0.6</v>
      </c>
      <c r="Q65" s="15">
        <v>62687</v>
      </c>
      <c r="R65" s="16" t="s">
        <v>1014</v>
      </c>
      <c r="S65" s="16" t="s">
        <v>1015</v>
      </c>
      <c r="T65" s="17" t="s">
        <v>842</v>
      </c>
    </row>
    <row r="66" spans="1:20" ht="12.3">
      <c r="A66" s="12">
        <v>4</v>
      </c>
      <c r="B66" s="13" t="s">
        <v>1016</v>
      </c>
      <c r="C66" s="14">
        <v>2022</v>
      </c>
      <c r="D66" s="14">
        <v>38</v>
      </c>
      <c r="E66" s="14">
        <v>21</v>
      </c>
      <c r="F66" s="14">
        <v>5</v>
      </c>
      <c r="G66" s="14">
        <v>12</v>
      </c>
      <c r="H66" s="14">
        <v>69</v>
      </c>
      <c r="I66" s="14">
        <v>39</v>
      </c>
      <c r="J66" s="14">
        <f>30</f>
        <v>30</v>
      </c>
      <c r="K66" s="14">
        <v>68</v>
      </c>
      <c r="L66" s="14">
        <v>1.79</v>
      </c>
      <c r="M66" s="14">
        <v>61.4</v>
      </c>
      <c r="N66" s="14">
        <v>44.1</v>
      </c>
      <c r="O66" s="14">
        <f>17.3</f>
        <v>17.3</v>
      </c>
      <c r="P66" s="14">
        <f>0.45</f>
        <v>0.45</v>
      </c>
      <c r="Q66" s="15">
        <v>27722</v>
      </c>
      <c r="R66" s="16" t="s">
        <v>1017</v>
      </c>
      <c r="S66" s="16" t="s">
        <v>1018</v>
      </c>
      <c r="T66" s="17" t="s">
        <v>855</v>
      </c>
    </row>
    <row r="67" spans="1:20" ht="12.3">
      <c r="A67" s="12">
        <v>5</v>
      </c>
      <c r="B67" s="13" t="s">
        <v>1019</v>
      </c>
      <c r="C67" s="14">
        <v>2022</v>
      </c>
      <c r="D67" s="14">
        <v>38</v>
      </c>
      <c r="E67" s="14">
        <v>19</v>
      </c>
      <c r="F67" s="14">
        <v>10</v>
      </c>
      <c r="G67" s="14">
        <v>9</v>
      </c>
      <c r="H67" s="14">
        <v>65</v>
      </c>
      <c r="I67" s="14">
        <v>44</v>
      </c>
      <c r="J67" s="14">
        <f>21</f>
        <v>21</v>
      </c>
      <c r="K67" s="14">
        <v>67</v>
      </c>
      <c r="L67" s="14">
        <v>1.76</v>
      </c>
      <c r="M67" s="14">
        <v>68.7</v>
      </c>
      <c r="N67" s="14">
        <v>40.5</v>
      </c>
      <c r="O67" s="14">
        <f>28.2</f>
        <v>28.2</v>
      </c>
      <c r="P67" s="14">
        <f>0.74</f>
        <v>0.74</v>
      </c>
      <c r="Q67" s="15">
        <v>36148</v>
      </c>
      <c r="R67" s="16" t="s">
        <v>1020</v>
      </c>
      <c r="S67" s="16" t="s">
        <v>1021</v>
      </c>
      <c r="T67" s="17" t="s">
        <v>862</v>
      </c>
    </row>
    <row r="68" spans="1:20" ht="12.3">
      <c r="A68" s="12">
        <v>6</v>
      </c>
      <c r="B68" s="13" t="s">
        <v>1022</v>
      </c>
      <c r="C68" s="14">
        <v>2022</v>
      </c>
      <c r="D68" s="14">
        <v>38</v>
      </c>
      <c r="E68" s="14">
        <v>19</v>
      </c>
      <c r="F68" s="14">
        <v>8</v>
      </c>
      <c r="G68" s="14">
        <v>11</v>
      </c>
      <c r="H68" s="14">
        <v>70</v>
      </c>
      <c r="I68" s="14">
        <v>58</v>
      </c>
      <c r="J68" s="14">
        <f>12</f>
        <v>12</v>
      </c>
      <c r="K68" s="14">
        <v>65</v>
      </c>
      <c r="L68" s="14">
        <v>1.71</v>
      </c>
      <c r="M68" s="14">
        <v>62.1</v>
      </c>
      <c r="N68" s="14">
        <v>53.2</v>
      </c>
      <c r="O68" s="14">
        <f>8.9</f>
        <v>8.9</v>
      </c>
      <c r="P68" s="14">
        <f>0.23</f>
        <v>0.23</v>
      </c>
      <c r="Q68" s="15">
        <v>7095</v>
      </c>
      <c r="R68" s="16" t="s">
        <v>1023</v>
      </c>
      <c r="S68" s="16" t="s">
        <v>1024</v>
      </c>
      <c r="T68" s="17"/>
    </row>
    <row r="69" spans="1:20" ht="12.3">
      <c r="A69" s="12">
        <v>7</v>
      </c>
      <c r="B69" s="13" t="s">
        <v>1025</v>
      </c>
      <c r="C69" s="14">
        <v>2022</v>
      </c>
      <c r="D69" s="14">
        <v>38</v>
      </c>
      <c r="E69" s="14">
        <v>18</v>
      </c>
      <c r="F69" s="14">
        <v>8</v>
      </c>
      <c r="G69" s="14">
        <v>12</v>
      </c>
      <c r="H69" s="14">
        <v>65</v>
      </c>
      <c r="I69" s="14">
        <v>47</v>
      </c>
      <c r="J69" s="14">
        <f>18</f>
        <v>18</v>
      </c>
      <c r="K69" s="14">
        <v>62</v>
      </c>
      <c r="L69" s="14">
        <v>1.63</v>
      </c>
      <c r="M69" s="14">
        <v>61.1</v>
      </c>
      <c r="N69" s="14">
        <v>51.6</v>
      </c>
      <c r="O69" s="14">
        <f>9.5</f>
        <v>9.5</v>
      </c>
      <c r="P69" s="14">
        <f>0.25</f>
        <v>0.25</v>
      </c>
      <c r="Q69" s="15">
        <v>46058</v>
      </c>
      <c r="R69" s="16" t="s">
        <v>1026</v>
      </c>
      <c r="S69" s="16" t="s">
        <v>1027</v>
      </c>
      <c r="T69" s="17"/>
    </row>
    <row r="70" spans="1:20" ht="12.3">
      <c r="A70" s="12">
        <v>8</v>
      </c>
      <c r="B70" s="13" t="s">
        <v>1028</v>
      </c>
      <c r="C70" s="14">
        <v>2022</v>
      </c>
      <c r="D70" s="14">
        <v>38</v>
      </c>
      <c r="E70" s="14">
        <v>17</v>
      </c>
      <c r="F70" s="14">
        <v>8</v>
      </c>
      <c r="G70" s="14">
        <v>13</v>
      </c>
      <c r="H70" s="14">
        <v>45</v>
      </c>
      <c r="I70" s="14">
        <v>49</v>
      </c>
      <c r="J70" s="14">
        <v>-4</v>
      </c>
      <c r="K70" s="14">
        <v>59</v>
      </c>
      <c r="L70" s="14">
        <v>1.55</v>
      </c>
      <c r="M70" s="14">
        <v>47.5</v>
      </c>
      <c r="N70" s="14">
        <v>58.2</v>
      </c>
      <c r="O70" s="14">
        <v>-10.7</v>
      </c>
      <c r="P70" s="14">
        <v>-0.28000000000000003</v>
      </c>
      <c r="Q70" s="15">
        <v>11270</v>
      </c>
      <c r="R70" s="16" t="s">
        <v>1029</v>
      </c>
      <c r="S70" s="16" t="s">
        <v>1030</v>
      </c>
      <c r="T70" s="17"/>
    </row>
    <row r="71" spans="1:20" ht="12.3">
      <c r="A71" s="12">
        <v>9</v>
      </c>
      <c r="B71" s="13" t="s">
        <v>1031</v>
      </c>
      <c r="C71" s="14">
        <v>2022</v>
      </c>
      <c r="D71" s="14">
        <v>38</v>
      </c>
      <c r="E71" s="14">
        <v>15</v>
      </c>
      <c r="F71" s="14">
        <v>13</v>
      </c>
      <c r="G71" s="14">
        <v>10</v>
      </c>
      <c r="H71" s="14">
        <v>48</v>
      </c>
      <c r="I71" s="14">
        <v>37</v>
      </c>
      <c r="J71" s="14">
        <f>11</f>
        <v>11</v>
      </c>
      <c r="K71" s="14">
        <v>58</v>
      </c>
      <c r="L71" s="14">
        <v>1.53</v>
      </c>
      <c r="M71" s="14">
        <v>57.2</v>
      </c>
      <c r="N71" s="14">
        <v>44.6</v>
      </c>
      <c r="O71" s="14">
        <f>12.6</f>
        <v>12.6</v>
      </c>
      <c r="P71" s="14">
        <f>0.33</f>
        <v>0.33</v>
      </c>
      <c r="Q71" s="15">
        <v>22286</v>
      </c>
      <c r="R71" s="16" t="s">
        <v>1032</v>
      </c>
      <c r="S71" s="16" t="s">
        <v>1033</v>
      </c>
      <c r="T71" s="17"/>
    </row>
    <row r="72" spans="1:20" ht="12.3">
      <c r="A72" s="12">
        <v>10</v>
      </c>
      <c r="B72" s="13" t="s">
        <v>1034</v>
      </c>
      <c r="C72" s="14">
        <v>2022</v>
      </c>
      <c r="D72" s="14">
        <v>38</v>
      </c>
      <c r="E72" s="14">
        <v>15</v>
      </c>
      <c r="F72" s="14">
        <v>10</v>
      </c>
      <c r="G72" s="14">
        <v>13</v>
      </c>
      <c r="H72" s="14">
        <v>52</v>
      </c>
      <c r="I72" s="14">
        <v>53</v>
      </c>
      <c r="J72" s="14">
        <v>-1</v>
      </c>
      <c r="K72" s="14">
        <v>55</v>
      </c>
      <c r="L72" s="14">
        <v>1.45</v>
      </c>
      <c r="M72" s="14">
        <v>44.5</v>
      </c>
      <c r="N72" s="14">
        <v>58.2</v>
      </c>
      <c r="O72" s="14">
        <v>-13.6</v>
      </c>
      <c r="P72" s="14">
        <v>-0.36</v>
      </c>
      <c r="Q72" s="15">
        <v>14992</v>
      </c>
      <c r="R72" s="16" t="s">
        <v>1035</v>
      </c>
      <c r="S72" s="16" t="s">
        <v>1036</v>
      </c>
      <c r="T72" s="17"/>
    </row>
    <row r="73" spans="1:20" ht="12.3">
      <c r="A73" s="12">
        <v>11</v>
      </c>
      <c r="B73" s="13" t="s">
        <v>1037</v>
      </c>
      <c r="C73" s="14">
        <v>2022</v>
      </c>
      <c r="D73" s="14">
        <v>38</v>
      </c>
      <c r="E73" s="14">
        <v>12</v>
      </c>
      <c r="F73" s="14">
        <v>15</v>
      </c>
      <c r="G73" s="14">
        <v>11</v>
      </c>
      <c r="H73" s="14">
        <v>45</v>
      </c>
      <c r="I73" s="14">
        <v>45</v>
      </c>
      <c r="J73" s="14">
        <v>0</v>
      </c>
      <c r="K73" s="14">
        <v>51</v>
      </c>
      <c r="L73" s="14">
        <v>1.34</v>
      </c>
      <c r="M73" s="14">
        <v>61.5</v>
      </c>
      <c r="N73" s="14">
        <v>52.7</v>
      </c>
      <c r="O73" s="14">
        <f>8.9</f>
        <v>8.9</v>
      </c>
      <c r="P73" s="14">
        <f>0.23</f>
        <v>0.23</v>
      </c>
      <c r="Q73" s="15">
        <v>13290</v>
      </c>
      <c r="R73" s="16" t="s">
        <v>1038</v>
      </c>
      <c r="S73" s="16" t="s">
        <v>1039</v>
      </c>
      <c r="T73" s="17"/>
    </row>
    <row r="74" spans="1:20" ht="12.3">
      <c r="A74" s="12">
        <v>12</v>
      </c>
      <c r="B74" s="13" t="s">
        <v>1040</v>
      </c>
      <c r="C74" s="14">
        <v>2022</v>
      </c>
      <c r="D74" s="14">
        <v>38</v>
      </c>
      <c r="E74" s="14">
        <v>15</v>
      </c>
      <c r="F74" s="14">
        <v>5</v>
      </c>
      <c r="G74" s="14">
        <v>18</v>
      </c>
      <c r="H74" s="14">
        <v>65</v>
      </c>
      <c r="I74" s="14">
        <v>62</v>
      </c>
      <c r="J74" s="14">
        <f>3</f>
        <v>3</v>
      </c>
      <c r="K74" s="14">
        <v>50</v>
      </c>
      <c r="L74" s="14">
        <v>1.32</v>
      </c>
      <c r="M74" s="14">
        <v>52.2</v>
      </c>
      <c r="N74" s="14">
        <v>62.2</v>
      </c>
      <c r="O74" s="14">
        <v>-10</v>
      </c>
      <c r="P74" s="14">
        <v>-0.26</v>
      </c>
      <c r="Q74" s="15">
        <v>13804</v>
      </c>
      <c r="R74" s="16" t="s">
        <v>1041</v>
      </c>
      <c r="S74" s="16" t="s">
        <v>1042</v>
      </c>
      <c r="T74" s="17"/>
    </row>
    <row r="75" spans="1:20" ht="12.3">
      <c r="A75" s="12">
        <v>13</v>
      </c>
      <c r="B75" s="13" t="s">
        <v>1043</v>
      </c>
      <c r="C75" s="14">
        <v>2022</v>
      </c>
      <c r="D75" s="14">
        <v>38</v>
      </c>
      <c r="E75" s="14">
        <v>13</v>
      </c>
      <c r="F75" s="14">
        <v>9</v>
      </c>
      <c r="G75" s="14">
        <v>16</v>
      </c>
      <c r="H75" s="14">
        <v>51</v>
      </c>
      <c r="I75" s="14">
        <v>57</v>
      </c>
      <c r="J75" s="14">
        <v>-6</v>
      </c>
      <c r="K75" s="14">
        <v>48</v>
      </c>
      <c r="L75" s="14">
        <v>1.26</v>
      </c>
      <c r="M75" s="14">
        <v>52.5</v>
      </c>
      <c r="N75" s="14">
        <v>57</v>
      </c>
      <c r="O75" s="14">
        <v>-4.5</v>
      </c>
      <c r="P75" s="14">
        <v>-0.12</v>
      </c>
      <c r="Q75" s="15">
        <v>23966</v>
      </c>
      <c r="R75" s="16" t="s">
        <v>1044</v>
      </c>
      <c r="S75" s="16" t="s">
        <v>1045</v>
      </c>
      <c r="T75" s="17" t="s">
        <v>1046</v>
      </c>
    </row>
    <row r="76" spans="1:20" ht="12.3">
      <c r="A76" s="12">
        <v>14</v>
      </c>
      <c r="B76" s="13" t="s">
        <v>1047</v>
      </c>
      <c r="C76" s="14">
        <v>2022</v>
      </c>
      <c r="D76" s="14">
        <v>38</v>
      </c>
      <c r="E76" s="14">
        <v>11</v>
      </c>
      <c r="F76" s="14">
        <v>11</v>
      </c>
      <c r="G76" s="14">
        <v>16</v>
      </c>
      <c r="H76" s="14">
        <v>44</v>
      </c>
      <c r="I76" s="14">
        <v>54</v>
      </c>
      <c r="J76" s="14">
        <v>-10</v>
      </c>
      <c r="K76" s="14">
        <v>44</v>
      </c>
      <c r="L76" s="14">
        <v>1.1599999999999999</v>
      </c>
      <c r="M76" s="14">
        <v>43.4</v>
      </c>
      <c r="N76" s="14">
        <v>56.1</v>
      </c>
      <c r="O76" s="14">
        <v>-12.7</v>
      </c>
      <c r="P76" s="14">
        <v>-0.33</v>
      </c>
      <c r="Q76" s="15">
        <v>12667</v>
      </c>
      <c r="R76" s="16" t="s">
        <v>1048</v>
      </c>
      <c r="S76" s="16" t="s">
        <v>1049</v>
      </c>
      <c r="T76" s="17"/>
    </row>
    <row r="77" spans="1:20" ht="12.3">
      <c r="A77" s="12">
        <v>15</v>
      </c>
      <c r="B77" s="13" t="s">
        <v>1050</v>
      </c>
      <c r="C77" s="14">
        <v>2022</v>
      </c>
      <c r="D77" s="14">
        <v>38</v>
      </c>
      <c r="E77" s="14">
        <v>9</v>
      </c>
      <c r="F77" s="14">
        <v>13</v>
      </c>
      <c r="G77" s="14">
        <v>16</v>
      </c>
      <c r="H77" s="14">
        <v>51</v>
      </c>
      <c r="I77" s="14">
        <v>59</v>
      </c>
      <c r="J77" s="14">
        <v>-8</v>
      </c>
      <c r="K77" s="14">
        <v>40</v>
      </c>
      <c r="L77" s="14">
        <v>1.05</v>
      </c>
      <c r="M77" s="14">
        <v>48.5</v>
      </c>
      <c r="N77" s="14">
        <v>55.3</v>
      </c>
      <c r="O77" s="14">
        <v>-6.7</v>
      </c>
      <c r="P77" s="14">
        <v>-0.18</v>
      </c>
      <c r="Q77" s="15">
        <v>25278</v>
      </c>
      <c r="R77" s="16" t="s">
        <v>1051</v>
      </c>
      <c r="S77" s="16" t="s">
        <v>1052</v>
      </c>
      <c r="T77" s="17"/>
    </row>
    <row r="78" spans="1:20" ht="12.3">
      <c r="A78" s="12">
        <v>16</v>
      </c>
      <c r="B78" s="13" t="s">
        <v>1053</v>
      </c>
      <c r="C78" s="14">
        <v>2022</v>
      </c>
      <c r="D78" s="14">
        <v>38</v>
      </c>
      <c r="E78" s="14">
        <v>7</v>
      </c>
      <c r="F78" s="14">
        <v>15</v>
      </c>
      <c r="G78" s="14">
        <v>16</v>
      </c>
      <c r="H78" s="14">
        <v>37</v>
      </c>
      <c r="I78" s="14">
        <v>55</v>
      </c>
      <c r="J78" s="14">
        <v>-18</v>
      </c>
      <c r="K78" s="14">
        <v>36</v>
      </c>
      <c r="L78" s="14">
        <v>0.95</v>
      </c>
      <c r="M78" s="14">
        <v>42.8</v>
      </c>
      <c r="N78" s="14">
        <v>52.4</v>
      </c>
      <c r="O78" s="14">
        <v>-9.6999999999999993</v>
      </c>
      <c r="P78" s="14">
        <v>-0.25</v>
      </c>
      <c r="Q78" s="15">
        <v>30002</v>
      </c>
      <c r="R78" s="16" t="s">
        <v>1054</v>
      </c>
      <c r="S78" s="16" t="s">
        <v>1055</v>
      </c>
      <c r="T78" s="17"/>
    </row>
    <row r="79" spans="1:20" ht="12.3">
      <c r="A79" s="18">
        <v>17</v>
      </c>
      <c r="B79" s="13" t="s">
        <v>1056</v>
      </c>
      <c r="C79" s="14">
        <v>2022</v>
      </c>
      <c r="D79" s="14">
        <v>38</v>
      </c>
      <c r="E79" s="14">
        <v>8</v>
      </c>
      <c r="F79" s="14">
        <v>11</v>
      </c>
      <c r="G79" s="14">
        <v>19</v>
      </c>
      <c r="H79" s="14">
        <v>35</v>
      </c>
      <c r="I79" s="14">
        <v>63</v>
      </c>
      <c r="J79" s="14">
        <v>-28</v>
      </c>
      <c r="K79" s="14">
        <v>35</v>
      </c>
      <c r="L79" s="14">
        <v>0.92</v>
      </c>
      <c r="M79" s="14">
        <v>42.8</v>
      </c>
      <c r="N79" s="14">
        <v>58.7</v>
      </c>
      <c r="O79" s="14">
        <v>-15.9</v>
      </c>
      <c r="P79" s="14">
        <v>-0.42</v>
      </c>
      <c r="Q79" s="15">
        <v>15606</v>
      </c>
      <c r="R79" s="16" t="s">
        <v>1057</v>
      </c>
      <c r="S79" s="16" t="s">
        <v>1058</v>
      </c>
      <c r="T79" s="17" t="s">
        <v>894</v>
      </c>
    </row>
    <row r="80" spans="1:20" ht="12.3">
      <c r="A80" s="18">
        <v>18</v>
      </c>
      <c r="B80" s="13" t="s">
        <v>1059</v>
      </c>
      <c r="C80" s="14">
        <v>2022</v>
      </c>
      <c r="D80" s="14">
        <v>38</v>
      </c>
      <c r="E80" s="14">
        <v>7</v>
      </c>
      <c r="F80" s="14">
        <v>5</v>
      </c>
      <c r="G80" s="14">
        <v>26</v>
      </c>
      <c r="H80" s="14">
        <v>23</v>
      </c>
      <c r="I80" s="14">
        <v>74</v>
      </c>
      <c r="J80" s="14">
        <v>-51</v>
      </c>
      <c r="K80" s="14">
        <v>26</v>
      </c>
      <c r="L80" s="14">
        <v>0.68</v>
      </c>
      <c r="M80" s="14">
        <v>36.1</v>
      </c>
      <c r="N80" s="14">
        <v>53.9</v>
      </c>
      <c r="O80" s="14">
        <v>-17.8</v>
      </c>
      <c r="P80" s="14">
        <v>-0.47</v>
      </c>
      <c r="Q80" s="15">
        <v>7369</v>
      </c>
      <c r="R80" s="16" t="s">
        <v>1060</v>
      </c>
      <c r="S80" s="16" t="s">
        <v>1061</v>
      </c>
      <c r="T80" s="17" t="s">
        <v>894</v>
      </c>
    </row>
    <row r="81" spans="1:20" ht="12.3">
      <c r="A81" s="18">
        <v>19</v>
      </c>
      <c r="B81" s="13" t="s">
        <v>1062</v>
      </c>
      <c r="C81" s="14">
        <v>2022</v>
      </c>
      <c r="D81" s="14">
        <v>38</v>
      </c>
      <c r="E81" s="14">
        <v>4</v>
      </c>
      <c r="F81" s="14">
        <v>12</v>
      </c>
      <c r="G81" s="14">
        <v>22</v>
      </c>
      <c r="H81" s="14">
        <v>45</v>
      </c>
      <c r="I81" s="14">
        <v>81</v>
      </c>
      <c r="J81" s="14">
        <v>-36</v>
      </c>
      <c r="K81" s="14">
        <v>24</v>
      </c>
      <c r="L81" s="14">
        <v>0.63</v>
      </c>
      <c r="M81" s="14">
        <v>39.1</v>
      </c>
      <c r="N81" s="14">
        <v>78</v>
      </c>
      <c r="O81" s="14">
        <v>-38.9</v>
      </c>
      <c r="P81" s="14">
        <v>-1.02</v>
      </c>
      <c r="Q81" s="15">
        <v>10004</v>
      </c>
      <c r="R81" s="16" t="s">
        <v>1063</v>
      </c>
      <c r="S81" s="16" t="s">
        <v>1064</v>
      </c>
      <c r="T81" s="17" t="s">
        <v>894</v>
      </c>
    </row>
    <row r="82" spans="1:20" ht="12.3">
      <c r="A82" s="25">
        <v>20</v>
      </c>
      <c r="B82" s="20" t="s">
        <v>1065</v>
      </c>
      <c r="C82" s="14">
        <v>2022</v>
      </c>
      <c r="D82" s="26">
        <v>38</v>
      </c>
      <c r="E82" s="26">
        <v>4</v>
      </c>
      <c r="F82" s="26">
        <v>6</v>
      </c>
      <c r="G82" s="26">
        <v>28</v>
      </c>
      <c r="H82" s="26">
        <v>33</v>
      </c>
      <c r="I82" s="26">
        <v>81</v>
      </c>
      <c r="J82" s="26">
        <v>-48</v>
      </c>
      <c r="K82" s="26">
        <v>18</v>
      </c>
      <c r="L82" s="26">
        <v>0.47</v>
      </c>
      <c r="M82" s="26">
        <v>40.9</v>
      </c>
      <c r="N82" s="26">
        <v>61.7</v>
      </c>
      <c r="O82" s="26">
        <v>-20.8</v>
      </c>
      <c r="P82" s="26">
        <v>-0.55000000000000004</v>
      </c>
      <c r="Q82" s="27">
        <v>9630</v>
      </c>
      <c r="R82" s="23" t="s">
        <v>1066</v>
      </c>
      <c r="S82" s="23" t="s">
        <v>1067</v>
      </c>
      <c r="T82" s="28" t="s">
        <v>894</v>
      </c>
    </row>
    <row r="83" spans="1:20" ht="13.8">
      <c r="A83" s="29">
        <v>2021</v>
      </c>
    </row>
    <row r="84" spans="1:20" ht="12.3">
      <c r="A84" s="10" t="s">
        <v>820</v>
      </c>
      <c r="B84" s="11" t="s">
        <v>821</v>
      </c>
      <c r="C84" s="11" t="s">
        <v>2</v>
      </c>
      <c r="D84" s="11" t="s">
        <v>822</v>
      </c>
      <c r="E84" s="11" t="s">
        <v>823</v>
      </c>
      <c r="F84" s="11" t="s">
        <v>824</v>
      </c>
      <c r="G84" s="11" t="s">
        <v>825</v>
      </c>
      <c r="H84" s="11" t="s">
        <v>826</v>
      </c>
      <c r="I84" s="11" t="s">
        <v>827</v>
      </c>
      <c r="J84" s="11" t="s">
        <v>828</v>
      </c>
      <c r="K84" s="11" t="s">
        <v>829</v>
      </c>
      <c r="L84" s="11" t="s">
        <v>830</v>
      </c>
      <c r="M84" s="11" t="s">
        <v>831</v>
      </c>
      <c r="N84" s="11" t="s">
        <v>832</v>
      </c>
      <c r="O84" s="11" t="s">
        <v>833</v>
      </c>
      <c r="P84" s="11" t="s">
        <v>834</v>
      </c>
      <c r="Q84" s="11" t="s">
        <v>835</v>
      </c>
      <c r="R84" s="11" t="s">
        <v>836</v>
      </c>
      <c r="S84" s="11" t="s">
        <v>837</v>
      </c>
      <c r="T84" s="11" t="s">
        <v>838</v>
      </c>
    </row>
    <row r="85" spans="1:20" ht="12.3">
      <c r="A85" s="12">
        <v>1</v>
      </c>
      <c r="B85" s="13" t="s">
        <v>1068</v>
      </c>
      <c r="C85" s="14">
        <v>2021</v>
      </c>
      <c r="D85" s="14">
        <v>38</v>
      </c>
      <c r="E85" s="14">
        <v>26</v>
      </c>
      <c r="F85" s="14">
        <v>8</v>
      </c>
      <c r="G85" s="14">
        <v>4</v>
      </c>
      <c r="H85" s="14">
        <v>90</v>
      </c>
      <c r="I85" s="14">
        <v>36</v>
      </c>
      <c r="J85" s="14">
        <f>54</f>
        <v>54</v>
      </c>
      <c r="K85" s="14">
        <v>86</v>
      </c>
      <c r="L85" s="14">
        <v>2.2599999999999998</v>
      </c>
      <c r="M85" s="14">
        <v>76.7</v>
      </c>
      <c r="N85" s="14">
        <v>39.799999999999997</v>
      </c>
      <c r="O85" s="14">
        <f>36.9</f>
        <v>36.9</v>
      </c>
      <c r="P85" s="14">
        <f>0.97</f>
        <v>0.97</v>
      </c>
      <c r="Q85" s="15">
        <v>41589</v>
      </c>
      <c r="R85" s="16" t="s">
        <v>1069</v>
      </c>
      <c r="S85" s="16" t="s">
        <v>1070</v>
      </c>
      <c r="T85" s="17" t="s">
        <v>842</v>
      </c>
    </row>
    <row r="86" spans="1:20" ht="12.3">
      <c r="A86" s="12">
        <v>2</v>
      </c>
      <c r="B86" s="13" t="s">
        <v>1071</v>
      </c>
      <c r="C86" s="14">
        <v>2021</v>
      </c>
      <c r="D86" s="14">
        <v>38</v>
      </c>
      <c r="E86" s="14">
        <v>21</v>
      </c>
      <c r="F86" s="14">
        <v>8</v>
      </c>
      <c r="G86" s="14">
        <v>9</v>
      </c>
      <c r="H86" s="14">
        <v>63</v>
      </c>
      <c r="I86" s="14">
        <v>38</v>
      </c>
      <c r="J86" s="14">
        <f t="shared" ref="J86:J87" si="0">25</f>
        <v>25</v>
      </c>
      <c r="K86" s="14">
        <v>71</v>
      </c>
      <c r="L86" s="14">
        <v>1.87</v>
      </c>
      <c r="M86" s="14">
        <v>58.2</v>
      </c>
      <c r="N86" s="14">
        <v>39</v>
      </c>
      <c r="O86" s="14">
        <f>19.2</f>
        <v>19.2</v>
      </c>
      <c r="P86" s="14">
        <f>0.51</f>
        <v>0.51</v>
      </c>
      <c r="Q86" s="15">
        <v>51755</v>
      </c>
      <c r="R86" s="16" t="s">
        <v>1072</v>
      </c>
      <c r="S86" s="16" t="s">
        <v>1073</v>
      </c>
      <c r="T86" s="17" t="s">
        <v>842</v>
      </c>
    </row>
    <row r="87" spans="1:20" ht="12.3">
      <c r="A87" s="12">
        <v>3</v>
      </c>
      <c r="B87" s="13" t="s">
        <v>1074</v>
      </c>
      <c r="C87" s="14">
        <v>2021</v>
      </c>
      <c r="D87" s="14">
        <v>38</v>
      </c>
      <c r="E87" s="14">
        <v>20</v>
      </c>
      <c r="F87" s="14">
        <v>9</v>
      </c>
      <c r="G87" s="14">
        <v>9</v>
      </c>
      <c r="H87" s="14">
        <v>65</v>
      </c>
      <c r="I87" s="14">
        <v>40</v>
      </c>
      <c r="J87" s="14">
        <f t="shared" si="0"/>
        <v>25</v>
      </c>
      <c r="K87" s="14">
        <v>69</v>
      </c>
      <c r="L87" s="14">
        <v>1.82</v>
      </c>
      <c r="M87" s="14">
        <v>59.4</v>
      </c>
      <c r="N87" s="14">
        <v>40.299999999999997</v>
      </c>
      <c r="O87" s="14">
        <f>19</f>
        <v>19</v>
      </c>
      <c r="P87" s="14">
        <f>0.5</f>
        <v>0.5</v>
      </c>
      <c r="Q87" s="15">
        <v>5877</v>
      </c>
      <c r="R87" s="16" t="s">
        <v>1075</v>
      </c>
      <c r="S87" s="16" t="s">
        <v>1076</v>
      </c>
      <c r="T87" s="17" t="s">
        <v>842</v>
      </c>
    </row>
    <row r="88" spans="1:20" ht="12.3">
      <c r="A88" s="12">
        <v>4</v>
      </c>
      <c r="B88" s="13" t="s">
        <v>1077</v>
      </c>
      <c r="C88" s="14">
        <v>2021</v>
      </c>
      <c r="D88" s="14">
        <v>38</v>
      </c>
      <c r="E88" s="14">
        <v>20</v>
      </c>
      <c r="F88" s="14">
        <v>6</v>
      </c>
      <c r="G88" s="14">
        <v>12</v>
      </c>
      <c r="H88" s="14">
        <v>82</v>
      </c>
      <c r="I88" s="14">
        <v>40</v>
      </c>
      <c r="J88" s="14">
        <f>42</f>
        <v>42</v>
      </c>
      <c r="K88" s="14">
        <v>66</v>
      </c>
      <c r="L88" s="14">
        <v>1.74</v>
      </c>
      <c r="M88" s="14">
        <v>62.8</v>
      </c>
      <c r="N88" s="14">
        <v>42.9</v>
      </c>
      <c r="O88" s="14">
        <f>19.8</f>
        <v>19.8</v>
      </c>
      <c r="P88" s="14">
        <f>0.52</f>
        <v>0.52</v>
      </c>
      <c r="Q88" s="15">
        <v>25493</v>
      </c>
      <c r="R88" s="16" t="s">
        <v>1078</v>
      </c>
      <c r="S88" s="16" t="s">
        <v>1079</v>
      </c>
      <c r="T88" s="17" t="s">
        <v>855</v>
      </c>
    </row>
    <row r="89" spans="1:20" ht="12.3">
      <c r="A89" s="12">
        <v>5</v>
      </c>
      <c r="B89" s="13" t="s">
        <v>1080</v>
      </c>
      <c r="C89" s="14">
        <v>2021</v>
      </c>
      <c r="D89" s="14">
        <v>38</v>
      </c>
      <c r="E89" s="14">
        <v>20</v>
      </c>
      <c r="F89" s="14">
        <v>7</v>
      </c>
      <c r="G89" s="14">
        <v>11</v>
      </c>
      <c r="H89" s="14">
        <v>52</v>
      </c>
      <c r="I89" s="14">
        <v>36</v>
      </c>
      <c r="J89" s="14">
        <f>16</f>
        <v>16</v>
      </c>
      <c r="K89" s="14">
        <v>66</v>
      </c>
      <c r="L89" s="14">
        <v>1.74</v>
      </c>
      <c r="M89" s="14">
        <v>55.6</v>
      </c>
      <c r="N89" s="14">
        <v>42.5</v>
      </c>
      <c r="O89" s="14">
        <f>13.1</f>
        <v>13.1</v>
      </c>
      <c r="P89" s="14">
        <f>0.35</f>
        <v>0.35</v>
      </c>
      <c r="Q89" s="15">
        <v>16055</v>
      </c>
      <c r="R89" s="16" t="s">
        <v>1081</v>
      </c>
      <c r="S89" s="16" t="s">
        <v>1082</v>
      </c>
      <c r="T89" s="17" t="s">
        <v>1083</v>
      </c>
    </row>
    <row r="90" spans="1:20" ht="12.3">
      <c r="A90" s="12">
        <v>6</v>
      </c>
      <c r="B90" s="13" t="s">
        <v>1084</v>
      </c>
      <c r="C90" s="14">
        <v>2021</v>
      </c>
      <c r="D90" s="14">
        <v>38</v>
      </c>
      <c r="E90" s="14">
        <v>17</v>
      </c>
      <c r="F90" s="14">
        <v>12</v>
      </c>
      <c r="G90" s="14">
        <v>9</v>
      </c>
      <c r="H90" s="14">
        <v>60</v>
      </c>
      <c r="I90" s="14">
        <v>43</v>
      </c>
      <c r="J90" s="14">
        <f>17</f>
        <v>17</v>
      </c>
      <c r="K90" s="14">
        <v>63</v>
      </c>
      <c r="L90" s="14">
        <v>1.66</v>
      </c>
      <c r="M90" s="14">
        <v>55.6</v>
      </c>
      <c r="N90" s="14">
        <v>43.5</v>
      </c>
      <c r="O90" s="14">
        <f>12.1</f>
        <v>12.1</v>
      </c>
      <c r="P90" s="14">
        <f>0.32</f>
        <v>0.32</v>
      </c>
      <c r="Q90" s="15">
        <v>23555</v>
      </c>
      <c r="R90" s="16" t="s">
        <v>1085</v>
      </c>
      <c r="S90" s="16" t="s">
        <v>1086</v>
      </c>
      <c r="T90" s="17"/>
    </row>
    <row r="91" spans="1:20" ht="12.3">
      <c r="A91" s="12">
        <v>7</v>
      </c>
      <c r="B91" s="13" t="s">
        <v>1087</v>
      </c>
      <c r="C91" s="14">
        <v>2021</v>
      </c>
      <c r="D91" s="14">
        <v>38</v>
      </c>
      <c r="E91" s="14">
        <v>17</v>
      </c>
      <c r="F91" s="14">
        <v>11</v>
      </c>
      <c r="G91" s="14">
        <v>10</v>
      </c>
      <c r="H91" s="14">
        <v>62</v>
      </c>
      <c r="I91" s="14">
        <v>48</v>
      </c>
      <c r="J91" s="14">
        <f>14</f>
        <v>14</v>
      </c>
      <c r="K91" s="14">
        <v>62</v>
      </c>
      <c r="L91" s="14">
        <v>1.63</v>
      </c>
      <c r="M91" s="14">
        <v>50.2</v>
      </c>
      <c r="N91" s="14">
        <v>42.7</v>
      </c>
      <c r="O91" s="14">
        <f>7.5</f>
        <v>7.5</v>
      </c>
      <c r="P91" s="14">
        <f>0.2</f>
        <v>0.2</v>
      </c>
      <c r="Q91" s="15">
        <v>28950</v>
      </c>
      <c r="R91" s="16" t="s">
        <v>1088</v>
      </c>
      <c r="S91" s="16" t="s">
        <v>1089</v>
      </c>
      <c r="T91" s="17"/>
    </row>
    <row r="92" spans="1:20" ht="12.3">
      <c r="A92" s="12">
        <v>8</v>
      </c>
      <c r="B92" s="13" t="s">
        <v>1090</v>
      </c>
      <c r="C92" s="14">
        <v>2021</v>
      </c>
      <c r="D92" s="14">
        <v>38</v>
      </c>
      <c r="E92" s="14">
        <v>17</v>
      </c>
      <c r="F92" s="14">
        <v>11</v>
      </c>
      <c r="G92" s="14">
        <v>10</v>
      </c>
      <c r="H92" s="14">
        <v>66</v>
      </c>
      <c r="I92" s="14">
        <v>51</v>
      </c>
      <c r="J92" s="14">
        <f>15</f>
        <v>15</v>
      </c>
      <c r="K92" s="14">
        <v>61</v>
      </c>
      <c r="L92" s="14">
        <v>1.61</v>
      </c>
      <c r="M92" s="14">
        <v>66.900000000000006</v>
      </c>
      <c r="N92" s="14">
        <v>54.6</v>
      </c>
      <c r="O92" s="14">
        <f>12.4</f>
        <v>12.4</v>
      </c>
      <c r="P92" s="14">
        <f>0.33</f>
        <v>0.33</v>
      </c>
      <c r="Q92" s="15">
        <v>32329</v>
      </c>
      <c r="R92" s="16" t="s">
        <v>1091</v>
      </c>
      <c r="S92" s="16" t="s">
        <v>1092</v>
      </c>
      <c r="T92" s="17" t="s">
        <v>1093</v>
      </c>
    </row>
    <row r="93" spans="1:20" ht="12.3">
      <c r="A93" s="12">
        <v>9</v>
      </c>
      <c r="B93" s="13" t="s">
        <v>1094</v>
      </c>
      <c r="C93" s="14">
        <v>2021</v>
      </c>
      <c r="D93" s="14">
        <v>38</v>
      </c>
      <c r="E93" s="14">
        <v>15</v>
      </c>
      <c r="F93" s="14">
        <v>10</v>
      </c>
      <c r="G93" s="14">
        <v>13</v>
      </c>
      <c r="H93" s="14">
        <v>55</v>
      </c>
      <c r="I93" s="14">
        <v>48</v>
      </c>
      <c r="J93" s="14">
        <f>7</f>
        <v>7</v>
      </c>
      <c r="K93" s="14">
        <v>55</v>
      </c>
      <c r="L93" s="14">
        <v>1.45</v>
      </c>
      <c r="M93" s="14">
        <v>45.5</v>
      </c>
      <c r="N93" s="14">
        <v>52.7</v>
      </c>
      <c r="O93" s="14">
        <v>-7.2</v>
      </c>
      <c r="P93" s="14">
        <v>-0.19</v>
      </c>
      <c r="Q93" s="15">
        <v>20803</v>
      </c>
      <c r="R93" s="16" t="s">
        <v>1095</v>
      </c>
      <c r="S93" s="16" t="s">
        <v>1096</v>
      </c>
      <c r="T93" s="17" t="s">
        <v>1046</v>
      </c>
    </row>
    <row r="94" spans="1:20" ht="12.3">
      <c r="A94" s="12">
        <v>10</v>
      </c>
      <c r="B94" s="13" t="s">
        <v>1097</v>
      </c>
      <c r="C94" s="14">
        <v>2021</v>
      </c>
      <c r="D94" s="14">
        <v>38</v>
      </c>
      <c r="E94" s="14">
        <v>14</v>
      </c>
      <c r="F94" s="14">
        <v>13</v>
      </c>
      <c r="G94" s="14">
        <v>11</v>
      </c>
      <c r="H94" s="14">
        <v>48</v>
      </c>
      <c r="I94" s="14">
        <v>48</v>
      </c>
      <c r="J94" s="14">
        <v>0</v>
      </c>
      <c r="K94" s="14">
        <v>55</v>
      </c>
      <c r="L94" s="14">
        <v>1.45</v>
      </c>
      <c r="M94" s="14">
        <v>50.5</v>
      </c>
      <c r="N94" s="14">
        <v>39.9</v>
      </c>
      <c r="O94" s="14">
        <f>10.6</f>
        <v>10.6</v>
      </c>
      <c r="P94" s="14">
        <f>0.28</f>
        <v>0.28000000000000003</v>
      </c>
      <c r="Q94" s="15">
        <v>34346</v>
      </c>
      <c r="R94" s="16" t="s">
        <v>1098</v>
      </c>
      <c r="S94" s="16" t="s">
        <v>1099</v>
      </c>
      <c r="T94" s="17"/>
    </row>
    <row r="95" spans="1:20" ht="12.3">
      <c r="A95" s="12">
        <v>11</v>
      </c>
      <c r="B95" s="13" t="s">
        <v>1100</v>
      </c>
      <c r="C95" s="14">
        <v>2021</v>
      </c>
      <c r="D95" s="14">
        <v>38</v>
      </c>
      <c r="E95" s="14">
        <v>13</v>
      </c>
      <c r="F95" s="14">
        <v>9</v>
      </c>
      <c r="G95" s="14">
        <v>16</v>
      </c>
      <c r="H95" s="14">
        <v>49</v>
      </c>
      <c r="I95" s="14">
        <v>57</v>
      </c>
      <c r="J95" s="14">
        <v>-8</v>
      </c>
      <c r="K95" s="14">
        <v>48</v>
      </c>
      <c r="L95" s="14">
        <v>1.26</v>
      </c>
      <c r="M95" s="14">
        <v>43.4</v>
      </c>
      <c r="N95" s="14">
        <v>56.3</v>
      </c>
      <c r="O95" s="14">
        <v>-12.8</v>
      </c>
      <c r="P95" s="14">
        <v>-0.34</v>
      </c>
      <c r="Q95" s="15">
        <v>11804</v>
      </c>
      <c r="R95" s="16" t="s">
        <v>1101</v>
      </c>
      <c r="S95" s="16" t="s">
        <v>1102</v>
      </c>
      <c r="T95" s="17"/>
    </row>
    <row r="96" spans="1:20" ht="12.3">
      <c r="A96" s="12">
        <v>12</v>
      </c>
      <c r="B96" s="13" t="s">
        <v>1103</v>
      </c>
      <c r="C96" s="14">
        <v>2021</v>
      </c>
      <c r="D96" s="14">
        <v>38</v>
      </c>
      <c r="E96" s="14">
        <v>11</v>
      </c>
      <c r="F96" s="14">
        <v>13</v>
      </c>
      <c r="G96" s="14">
        <v>14</v>
      </c>
      <c r="H96" s="14">
        <v>43</v>
      </c>
      <c r="I96" s="14">
        <v>44</v>
      </c>
      <c r="J96" s="14">
        <v>-1</v>
      </c>
      <c r="K96" s="14">
        <v>46</v>
      </c>
      <c r="L96" s="14">
        <v>1.21</v>
      </c>
      <c r="M96" s="14">
        <v>37.700000000000003</v>
      </c>
      <c r="N96" s="14">
        <v>46.4</v>
      </c>
      <c r="O96" s="14">
        <v>-8.6999999999999993</v>
      </c>
      <c r="P96" s="14">
        <v>-0.23</v>
      </c>
      <c r="Q96" s="15">
        <v>11071</v>
      </c>
      <c r="R96" s="16" t="s">
        <v>1104</v>
      </c>
      <c r="S96" s="16" t="s">
        <v>1105</v>
      </c>
      <c r="T96" s="17"/>
    </row>
    <row r="97" spans="1:20" ht="12.3">
      <c r="A97" s="12">
        <v>13</v>
      </c>
      <c r="B97" s="13" t="s">
        <v>1106</v>
      </c>
      <c r="C97" s="14">
        <v>2021</v>
      </c>
      <c r="D97" s="14">
        <v>38</v>
      </c>
      <c r="E97" s="14">
        <v>12</v>
      </c>
      <c r="F97" s="14">
        <v>7</v>
      </c>
      <c r="G97" s="14">
        <v>19</v>
      </c>
      <c r="H97" s="14">
        <v>49</v>
      </c>
      <c r="I97" s="14">
        <v>61</v>
      </c>
      <c r="J97" s="14">
        <v>-12</v>
      </c>
      <c r="K97" s="14">
        <v>43</v>
      </c>
      <c r="L97" s="14">
        <v>1.1299999999999999</v>
      </c>
      <c r="M97" s="14">
        <v>42.7</v>
      </c>
      <c r="N97" s="14">
        <v>57.1</v>
      </c>
      <c r="O97" s="14">
        <v>-14.4</v>
      </c>
      <c r="P97" s="14">
        <v>-0.38</v>
      </c>
      <c r="Q97" s="15">
        <v>10711</v>
      </c>
      <c r="R97" s="16" t="s">
        <v>1107</v>
      </c>
      <c r="S97" s="16" t="s">
        <v>1108</v>
      </c>
      <c r="T97" s="17"/>
    </row>
    <row r="98" spans="1:20" ht="12.3">
      <c r="A98" s="12">
        <v>14</v>
      </c>
      <c r="B98" s="13" t="s">
        <v>1109</v>
      </c>
      <c r="C98" s="14">
        <v>2021</v>
      </c>
      <c r="D98" s="14">
        <v>38</v>
      </c>
      <c r="E98" s="14">
        <v>10</v>
      </c>
      <c r="F98" s="14">
        <v>11</v>
      </c>
      <c r="G98" s="14">
        <v>17</v>
      </c>
      <c r="H98" s="14">
        <v>44</v>
      </c>
      <c r="I98" s="14">
        <v>55</v>
      </c>
      <c r="J98" s="14">
        <v>-11</v>
      </c>
      <c r="K98" s="14">
        <v>41</v>
      </c>
      <c r="L98" s="14">
        <v>1.08</v>
      </c>
      <c r="M98" s="14">
        <v>46.5</v>
      </c>
      <c r="N98" s="14">
        <v>50</v>
      </c>
      <c r="O98" s="14">
        <v>-3.6</v>
      </c>
      <c r="P98" s="14">
        <v>-0.09</v>
      </c>
      <c r="Q98" s="15">
        <v>7758</v>
      </c>
      <c r="R98" s="16" t="s">
        <v>1110</v>
      </c>
      <c r="S98" s="16" t="s">
        <v>1111</v>
      </c>
      <c r="T98" s="17"/>
    </row>
    <row r="99" spans="1:20" ht="12.3">
      <c r="A99" s="12">
        <v>15</v>
      </c>
      <c r="B99" s="13" t="s">
        <v>1112</v>
      </c>
      <c r="C99" s="14">
        <v>2021</v>
      </c>
      <c r="D99" s="14">
        <v>38</v>
      </c>
      <c r="E99" s="14">
        <v>9</v>
      </c>
      <c r="F99" s="14">
        <v>11</v>
      </c>
      <c r="G99" s="14">
        <v>18</v>
      </c>
      <c r="H99" s="14">
        <v>37</v>
      </c>
      <c r="I99" s="14">
        <v>53</v>
      </c>
      <c r="J99" s="14">
        <v>-16</v>
      </c>
      <c r="K99" s="14">
        <v>38</v>
      </c>
      <c r="L99" s="14">
        <v>1</v>
      </c>
      <c r="M99" s="14">
        <v>39.200000000000003</v>
      </c>
      <c r="N99" s="14">
        <v>50.8</v>
      </c>
      <c r="O99" s="14">
        <v>-11.5</v>
      </c>
      <c r="P99" s="14">
        <v>-0.3</v>
      </c>
      <c r="Q99" s="15">
        <v>9491</v>
      </c>
      <c r="R99" s="16" t="s">
        <v>1113</v>
      </c>
      <c r="S99" s="16" t="s">
        <v>1114</v>
      </c>
      <c r="T99" s="17"/>
    </row>
    <row r="100" spans="1:20" ht="12.3">
      <c r="A100" s="12">
        <v>16</v>
      </c>
      <c r="B100" s="13" t="s">
        <v>1115</v>
      </c>
      <c r="C100" s="14">
        <v>2021</v>
      </c>
      <c r="D100" s="14">
        <v>38</v>
      </c>
      <c r="E100" s="14">
        <v>8</v>
      </c>
      <c r="F100" s="14">
        <v>12</v>
      </c>
      <c r="G100" s="14">
        <v>18</v>
      </c>
      <c r="H100" s="14">
        <v>35</v>
      </c>
      <c r="I100" s="14">
        <v>63</v>
      </c>
      <c r="J100" s="14">
        <v>-28</v>
      </c>
      <c r="K100" s="14">
        <v>36</v>
      </c>
      <c r="L100" s="14">
        <v>0.95</v>
      </c>
      <c r="M100" s="14">
        <v>41.3</v>
      </c>
      <c r="N100" s="14">
        <v>50.5</v>
      </c>
      <c r="O100" s="14">
        <v>-9.1999999999999993</v>
      </c>
      <c r="P100" s="14">
        <v>-0.24</v>
      </c>
      <c r="Q100" s="15">
        <v>12738</v>
      </c>
      <c r="R100" s="16" t="s">
        <v>1116</v>
      </c>
      <c r="S100" s="16" t="s">
        <v>1117</v>
      </c>
      <c r="T100" s="17"/>
    </row>
    <row r="101" spans="1:20" ht="12.3">
      <c r="A101" s="12">
        <v>17</v>
      </c>
      <c r="B101" s="13" t="s">
        <v>1118</v>
      </c>
      <c r="C101" s="14">
        <v>2021</v>
      </c>
      <c r="D101" s="14">
        <v>38</v>
      </c>
      <c r="E101" s="14">
        <v>9</v>
      </c>
      <c r="F101" s="14">
        <v>9</v>
      </c>
      <c r="G101" s="14">
        <v>20</v>
      </c>
      <c r="H101" s="14">
        <v>38</v>
      </c>
      <c r="I101" s="14">
        <v>69</v>
      </c>
      <c r="J101" s="14">
        <v>-31</v>
      </c>
      <c r="K101" s="14">
        <v>36</v>
      </c>
      <c r="L101" s="14">
        <v>0.95</v>
      </c>
      <c r="M101" s="14">
        <v>44.4</v>
      </c>
      <c r="N101" s="14">
        <v>52.4</v>
      </c>
      <c r="O101" s="14">
        <v>-8</v>
      </c>
      <c r="P101" s="14">
        <v>-0.21</v>
      </c>
      <c r="Q101" s="15">
        <v>10569</v>
      </c>
      <c r="R101" s="16" t="s">
        <v>1119</v>
      </c>
      <c r="S101" s="16" t="s">
        <v>1120</v>
      </c>
      <c r="T101" s="17"/>
    </row>
    <row r="102" spans="1:20" ht="12.3">
      <c r="A102" s="18">
        <v>18</v>
      </c>
      <c r="B102" s="13" t="s">
        <v>1121</v>
      </c>
      <c r="C102" s="14">
        <v>2021</v>
      </c>
      <c r="D102" s="14">
        <v>38</v>
      </c>
      <c r="E102" s="14">
        <v>7</v>
      </c>
      <c r="F102" s="14">
        <v>11</v>
      </c>
      <c r="G102" s="14">
        <v>20</v>
      </c>
      <c r="H102" s="14">
        <v>42</v>
      </c>
      <c r="I102" s="14">
        <v>77</v>
      </c>
      <c r="J102" s="14">
        <v>-35</v>
      </c>
      <c r="K102" s="14">
        <v>32</v>
      </c>
      <c r="L102" s="14">
        <v>0.84</v>
      </c>
      <c r="M102" s="14">
        <v>38.299999999999997</v>
      </c>
      <c r="N102" s="14">
        <v>58.3</v>
      </c>
      <c r="O102" s="14">
        <v>-20</v>
      </c>
      <c r="P102" s="14">
        <v>-0.53</v>
      </c>
      <c r="Q102" s="15">
        <v>21806</v>
      </c>
      <c r="R102" s="16" t="s">
        <v>1122</v>
      </c>
      <c r="S102" s="16" t="s">
        <v>1123</v>
      </c>
      <c r="T102" s="17" t="s">
        <v>890</v>
      </c>
    </row>
    <row r="103" spans="1:20" ht="12.3">
      <c r="A103" s="18">
        <v>19</v>
      </c>
      <c r="B103" s="13" t="s">
        <v>1124</v>
      </c>
      <c r="C103" s="14">
        <v>2021</v>
      </c>
      <c r="D103" s="14">
        <v>38</v>
      </c>
      <c r="E103" s="14">
        <v>6</v>
      </c>
      <c r="F103" s="14">
        <v>13</v>
      </c>
      <c r="G103" s="14">
        <v>19</v>
      </c>
      <c r="H103" s="14">
        <v>35</v>
      </c>
      <c r="I103" s="14">
        <v>69</v>
      </c>
      <c r="J103" s="14">
        <v>-34</v>
      </c>
      <c r="K103" s="14">
        <v>31</v>
      </c>
      <c r="L103" s="14">
        <v>0.82</v>
      </c>
      <c r="M103" s="14">
        <v>29.2</v>
      </c>
      <c r="N103" s="14">
        <v>62.5</v>
      </c>
      <c r="O103" s="14">
        <v>-33.4</v>
      </c>
      <c r="P103" s="14">
        <v>-0.88</v>
      </c>
      <c r="Q103" s="15">
        <v>14876</v>
      </c>
      <c r="R103" s="16" t="s">
        <v>1125</v>
      </c>
      <c r="S103" s="16" t="s">
        <v>1126</v>
      </c>
      <c r="T103" s="17" t="s">
        <v>894</v>
      </c>
    </row>
    <row r="104" spans="1:20" ht="12.3">
      <c r="A104" s="19">
        <v>20</v>
      </c>
      <c r="B104" s="20" t="s">
        <v>1127</v>
      </c>
      <c r="C104" s="14">
        <v>2021</v>
      </c>
      <c r="D104" s="21">
        <v>38</v>
      </c>
      <c r="E104" s="21">
        <v>6</v>
      </c>
      <c r="F104" s="21">
        <v>13</v>
      </c>
      <c r="G104" s="21">
        <v>19</v>
      </c>
      <c r="H104" s="21">
        <v>52</v>
      </c>
      <c r="I104" s="21">
        <v>91</v>
      </c>
      <c r="J104" s="21">
        <v>-39</v>
      </c>
      <c r="K104" s="21">
        <v>31</v>
      </c>
      <c r="L104" s="21">
        <v>0.82</v>
      </c>
      <c r="M104" s="21">
        <v>44.9</v>
      </c>
      <c r="N104" s="21">
        <v>66.8</v>
      </c>
      <c r="O104" s="21">
        <v>-21.9</v>
      </c>
      <c r="P104" s="21">
        <v>-0.57999999999999996</v>
      </c>
      <c r="Q104" s="22">
        <v>22141</v>
      </c>
      <c r="R104" s="23" t="s">
        <v>1128</v>
      </c>
      <c r="S104" s="23" t="s">
        <v>1129</v>
      </c>
      <c r="T104" s="24" t="s">
        <v>1130</v>
      </c>
    </row>
    <row r="105" spans="1:20" ht="12.3">
      <c r="A105" s="9">
        <v>2020</v>
      </c>
    </row>
    <row r="106" spans="1:20" ht="12.3">
      <c r="A106" s="10" t="s">
        <v>820</v>
      </c>
      <c r="B106" s="11" t="s">
        <v>821</v>
      </c>
      <c r="C106" s="11" t="s">
        <v>2</v>
      </c>
      <c r="D106" s="11" t="s">
        <v>822</v>
      </c>
      <c r="E106" s="11" t="s">
        <v>823</v>
      </c>
      <c r="F106" s="11" t="s">
        <v>824</v>
      </c>
      <c r="G106" s="11" t="s">
        <v>825</v>
      </c>
      <c r="H106" s="11" t="s">
        <v>826</v>
      </c>
      <c r="I106" s="11" t="s">
        <v>827</v>
      </c>
      <c r="J106" s="11" t="s">
        <v>828</v>
      </c>
      <c r="K106" s="11" t="s">
        <v>829</v>
      </c>
      <c r="L106" s="11" t="s">
        <v>830</v>
      </c>
      <c r="M106" s="11" t="s">
        <v>831</v>
      </c>
      <c r="N106" s="11" t="s">
        <v>832</v>
      </c>
      <c r="O106" s="11" t="s">
        <v>833</v>
      </c>
      <c r="P106" s="11" t="s">
        <v>834</v>
      </c>
      <c r="Q106" s="11" t="s">
        <v>835</v>
      </c>
      <c r="R106" s="11" t="s">
        <v>836</v>
      </c>
      <c r="S106" s="11" t="s">
        <v>837</v>
      </c>
      <c r="T106" s="11" t="s">
        <v>838</v>
      </c>
    </row>
    <row r="107" spans="1:20" ht="12.3">
      <c r="A107" s="12">
        <v>1</v>
      </c>
      <c r="B107" s="13" t="s">
        <v>1131</v>
      </c>
      <c r="C107" s="14">
        <v>2020</v>
      </c>
      <c r="D107" s="14">
        <v>38</v>
      </c>
      <c r="E107" s="14">
        <v>24</v>
      </c>
      <c r="F107" s="14">
        <v>11</v>
      </c>
      <c r="G107" s="14">
        <v>3</v>
      </c>
      <c r="H107" s="14">
        <v>64</v>
      </c>
      <c r="I107" s="14">
        <v>23</v>
      </c>
      <c r="J107" s="14">
        <f>41</f>
        <v>41</v>
      </c>
      <c r="K107" s="14">
        <v>83</v>
      </c>
      <c r="L107" s="14">
        <v>2.1800000000000002</v>
      </c>
      <c r="M107" s="14">
        <v>48.5</v>
      </c>
      <c r="N107" s="14">
        <v>29.8</v>
      </c>
      <c r="O107" s="14">
        <f>18.7</f>
        <v>18.7</v>
      </c>
      <c r="P107" s="14">
        <f>0.49</f>
        <v>0.49</v>
      </c>
      <c r="Q107" s="14">
        <v>209</v>
      </c>
      <c r="R107" s="16" t="s">
        <v>1132</v>
      </c>
      <c r="S107" s="16" t="s">
        <v>1133</v>
      </c>
      <c r="T107" s="17" t="s">
        <v>842</v>
      </c>
    </row>
    <row r="108" spans="1:20" ht="12.3">
      <c r="A108" s="12">
        <v>2</v>
      </c>
      <c r="B108" s="13" t="s">
        <v>1134</v>
      </c>
      <c r="C108" s="14">
        <v>2020</v>
      </c>
      <c r="D108" s="14">
        <v>38</v>
      </c>
      <c r="E108" s="14">
        <v>26</v>
      </c>
      <c r="F108" s="14">
        <v>4</v>
      </c>
      <c r="G108" s="14">
        <v>8</v>
      </c>
      <c r="H108" s="14">
        <v>86</v>
      </c>
      <c r="I108" s="14">
        <v>28</v>
      </c>
      <c r="J108" s="14">
        <f>58</f>
        <v>58</v>
      </c>
      <c r="K108" s="14">
        <v>82</v>
      </c>
      <c r="L108" s="14">
        <v>2.16</v>
      </c>
      <c r="M108" s="14">
        <v>80.099999999999994</v>
      </c>
      <c r="N108" s="14">
        <v>40.6</v>
      </c>
      <c r="O108" s="14">
        <f>39.5</f>
        <v>39.5</v>
      </c>
      <c r="P108" s="14">
        <f>1.04</f>
        <v>1.04</v>
      </c>
      <c r="Q108" s="14"/>
      <c r="R108" s="16" t="s">
        <v>1135</v>
      </c>
      <c r="S108" s="16" t="s">
        <v>1136</v>
      </c>
      <c r="T108" s="17" t="s">
        <v>842</v>
      </c>
    </row>
    <row r="109" spans="1:20" ht="12.3">
      <c r="A109" s="12">
        <v>3</v>
      </c>
      <c r="B109" s="13" t="s">
        <v>1137</v>
      </c>
      <c r="C109" s="14">
        <v>2020</v>
      </c>
      <c r="D109" s="14">
        <v>38</v>
      </c>
      <c r="E109" s="14">
        <v>24</v>
      </c>
      <c r="F109" s="14">
        <v>6</v>
      </c>
      <c r="G109" s="14">
        <v>8</v>
      </c>
      <c r="H109" s="14">
        <v>76</v>
      </c>
      <c r="I109" s="14">
        <v>42</v>
      </c>
      <c r="J109" s="14">
        <f>34</f>
        <v>34</v>
      </c>
      <c r="K109" s="14">
        <v>78</v>
      </c>
      <c r="L109" s="14">
        <v>2.0499999999999998</v>
      </c>
      <c r="M109" s="14">
        <v>68.7</v>
      </c>
      <c r="N109" s="14">
        <v>34.6</v>
      </c>
      <c r="O109" s="14">
        <f>34.1</f>
        <v>34.1</v>
      </c>
      <c r="P109" s="14">
        <f>0.9</f>
        <v>0.9</v>
      </c>
      <c r="Q109" s="14"/>
      <c r="R109" s="16" t="s">
        <v>1138</v>
      </c>
      <c r="S109" s="16" t="s">
        <v>1139</v>
      </c>
      <c r="T109" s="17" t="s">
        <v>842</v>
      </c>
    </row>
    <row r="110" spans="1:20" ht="12.3">
      <c r="A110" s="12">
        <v>4</v>
      </c>
      <c r="B110" s="13" t="s">
        <v>1140</v>
      </c>
      <c r="C110" s="14">
        <v>2020</v>
      </c>
      <c r="D110" s="14">
        <v>38</v>
      </c>
      <c r="E110" s="14">
        <v>22</v>
      </c>
      <c r="F110" s="14">
        <v>10</v>
      </c>
      <c r="G110" s="14">
        <v>6</v>
      </c>
      <c r="H110" s="14">
        <v>81</v>
      </c>
      <c r="I110" s="14">
        <v>43</v>
      </c>
      <c r="J110" s="14">
        <f>38</f>
        <v>38</v>
      </c>
      <c r="K110" s="14">
        <v>76</v>
      </c>
      <c r="L110" s="14">
        <v>2</v>
      </c>
      <c r="M110" s="14">
        <v>81.400000000000006</v>
      </c>
      <c r="N110" s="14">
        <v>41.5</v>
      </c>
      <c r="O110" s="14">
        <f>40</f>
        <v>40</v>
      </c>
      <c r="P110" s="14">
        <f>1.05</f>
        <v>1.05</v>
      </c>
      <c r="Q110" s="14">
        <v>231</v>
      </c>
      <c r="R110" s="16" t="s">
        <v>1141</v>
      </c>
      <c r="S110" s="16" t="s">
        <v>1142</v>
      </c>
      <c r="T110" s="17" t="s">
        <v>855</v>
      </c>
    </row>
    <row r="111" spans="1:20" ht="12.3">
      <c r="A111" s="12">
        <v>5</v>
      </c>
      <c r="B111" s="13" t="s">
        <v>1143</v>
      </c>
      <c r="C111" s="14">
        <v>2020</v>
      </c>
      <c r="D111" s="14">
        <v>38</v>
      </c>
      <c r="E111" s="14">
        <v>16</v>
      </c>
      <c r="F111" s="14">
        <v>12</v>
      </c>
      <c r="G111" s="14">
        <v>10</v>
      </c>
      <c r="H111" s="14">
        <v>54</v>
      </c>
      <c r="I111" s="14">
        <v>47</v>
      </c>
      <c r="J111" s="14">
        <f>7</f>
        <v>7</v>
      </c>
      <c r="K111" s="14">
        <v>60</v>
      </c>
      <c r="L111" s="14">
        <v>1.58</v>
      </c>
      <c r="M111" s="14">
        <v>47</v>
      </c>
      <c r="N111" s="14">
        <v>47.4</v>
      </c>
      <c r="O111" s="14">
        <v>-0.4</v>
      </c>
      <c r="P111" s="14">
        <v>-0.01</v>
      </c>
      <c r="Q111" s="14"/>
      <c r="R111" s="16" t="s">
        <v>1144</v>
      </c>
      <c r="S111" s="16" t="s">
        <v>1145</v>
      </c>
      <c r="T111" s="17" t="s">
        <v>1146</v>
      </c>
    </row>
    <row r="112" spans="1:20" ht="12.3">
      <c r="A112" s="12">
        <v>6</v>
      </c>
      <c r="B112" s="13" t="s">
        <v>1147</v>
      </c>
      <c r="C112" s="14">
        <v>2020</v>
      </c>
      <c r="D112" s="14">
        <v>38</v>
      </c>
      <c r="E112" s="14">
        <v>16</v>
      </c>
      <c r="F112" s="14">
        <v>10</v>
      </c>
      <c r="G112" s="14">
        <v>12</v>
      </c>
      <c r="H112" s="14">
        <v>52</v>
      </c>
      <c r="I112" s="14">
        <v>40</v>
      </c>
      <c r="J112" s="14">
        <f>12</f>
        <v>12</v>
      </c>
      <c r="K112" s="14">
        <v>58</v>
      </c>
      <c r="L112" s="14">
        <v>1.53</v>
      </c>
      <c r="M112" s="14">
        <v>47.8</v>
      </c>
      <c r="N112" s="14">
        <v>38.1</v>
      </c>
      <c r="O112" s="14">
        <f>9.7</f>
        <v>9.6999999999999993</v>
      </c>
      <c r="P112" s="14">
        <f>0.26</f>
        <v>0.26</v>
      </c>
      <c r="Q112" s="14"/>
      <c r="R112" s="16" t="s">
        <v>1148</v>
      </c>
      <c r="S112" s="16" t="s">
        <v>1149</v>
      </c>
      <c r="T112" s="17" t="s">
        <v>1150</v>
      </c>
    </row>
    <row r="113" spans="1:20" ht="12.3">
      <c r="A113" s="12">
        <v>7</v>
      </c>
      <c r="B113" s="13" t="s">
        <v>1151</v>
      </c>
      <c r="C113" s="14">
        <v>2020</v>
      </c>
      <c r="D113" s="14">
        <v>38</v>
      </c>
      <c r="E113" s="14">
        <v>15</v>
      </c>
      <c r="F113" s="14">
        <v>12</v>
      </c>
      <c r="G113" s="14">
        <v>11</v>
      </c>
      <c r="H113" s="14">
        <v>55</v>
      </c>
      <c r="I113" s="14">
        <v>54</v>
      </c>
      <c r="J113" s="14">
        <f>1</f>
        <v>1</v>
      </c>
      <c r="K113" s="14">
        <v>57</v>
      </c>
      <c r="L113" s="14">
        <v>1.5</v>
      </c>
      <c r="M113" s="14">
        <v>56.4</v>
      </c>
      <c r="N113" s="14">
        <v>46.8</v>
      </c>
      <c r="O113" s="14">
        <f>9.6</f>
        <v>9.6</v>
      </c>
      <c r="P113" s="14">
        <f>0.25</f>
        <v>0.25</v>
      </c>
      <c r="Q113" s="14"/>
      <c r="R113" s="16" t="s">
        <v>1152</v>
      </c>
      <c r="S113" s="16" t="s">
        <v>1153</v>
      </c>
      <c r="T113" s="17"/>
    </row>
    <row r="114" spans="1:20" ht="12.3">
      <c r="A114" s="12">
        <v>8</v>
      </c>
      <c r="B114" s="13" t="s">
        <v>1154</v>
      </c>
      <c r="C114" s="14">
        <v>2020</v>
      </c>
      <c r="D114" s="14">
        <v>38</v>
      </c>
      <c r="E114" s="14">
        <v>14</v>
      </c>
      <c r="F114" s="14">
        <v>12</v>
      </c>
      <c r="G114" s="14">
        <v>12</v>
      </c>
      <c r="H114" s="14">
        <v>60</v>
      </c>
      <c r="I114" s="14">
        <v>62</v>
      </c>
      <c r="J114" s="14">
        <v>-2</v>
      </c>
      <c r="K114" s="14">
        <v>54</v>
      </c>
      <c r="L114" s="14">
        <v>1.42</v>
      </c>
      <c r="M114" s="14">
        <v>51.9</v>
      </c>
      <c r="N114" s="14">
        <v>66.2</v>
      </c>
      <c r="O114" s="14">
        <v>-14.3</v>
      </c>
      <c r="P114" s="14">
        <v>-0.38</v>
      </c>
      <c r="Q114" s="14"/>
      <c r="R114" s="16" t="s">
        <v>1155</v>
      </c>
      <c r="S114" s="16" t="s">
        <v>1156</v>
      </c>
      <c r="T114" s="17"/>
    </row>
    <row r="115" spans="1:20" ht="12.3">
      <c r="A115" s="12">
        <v>9</v>
      </c>
      <c r="B115" s="13" t="s">
        <v>1157</v>
      </c>
      <c r="C115" s="14">
        <v>2020</v>
      </c>
      <c r="D115" s="14">
        <v>38</v>
      </c>
      <c r="E115" s="14">
        <v>15</v>
      </c>
      <c r="F115" s="14">
        <v>7</v>
      </c>
      <c r="G115" s="14">
        <v>16</v>
      </c>
      <c r="H115" s="14">
        <v>50</v>
      </c>
      <c r="I115" s="14">
        <v>53</v>
      </c>
      <c r="J115" s="14">
        <v>-3</v>
      </c>
      <c r="K115" s="14">
        <v>52</v>
      </c>
      <c r="L115" s="14">
        <v>1.37</v>
      </c>
      <c r="M115" s="14">
        <v>47.9</v>
      </c>
      <c r="N115" s="14">
        <v>55.6</v>
      </c>
      <c r="O115" s="14">
        <v>-7.6</v>
      </c>
      <c r="P115" s="14">
        <v>-0.2</v>
      </c>
      <c r="Q115" s="14"/>
      <c r="R115" s="16" t="s">
        <v>1158</v>
      </c>
      <c r="S115" s="16" t="s">
        <v>1159</v>
      </c>
      <c r="T115" s="17"/>
    </row>
    <row r="116" spans="1:20" ht="12.3">
      <c r="A116" s="12">
        <v>10</v>
      </c>
      <c r="B116" s="13" t="s">
        <v>1160</v>
      </c>
      <c r="C116" s="14">
        <v>2020</v>
      </c>
      <c r="D116" s="14">
        <v>38</v>
      </c>
      <c r="E116" s="14">
        <v>12</v>
      </c>
      <c r="F116" s="14">
        <v>11</v>
      </c>
      <c r="G116" s="14">
        <v>15</v>
      </c>
      <c r="H116" s="14">
        <v>44</v>
      </c>
      <c r="I116" s="14">
        <v>48</v>
      </c>
      <c r="J116" s="14">
        <v>-4</v>
      </c>
      <c r="K116" s="14">
        <v>47</v>
      </c>
      <c r="L116" s="14">
        <v>1.24</v>
      </c>
      <c r="M116" s="14">
        <v>44.1</v>
      </c>
      <c r="N116" s="14">
        <v>49.2</v>
      </c>
      <c r="O116" s="14">
        <v>-5.2</v>
      </c>
      <c r="P116" s="14">
        <v>-0.14000000000000001</v>
      </c>
      <c r="Q116" s="14">
        <v>498</v>
      </c>
      <c r="R116" s="16" t="s">
        <v>1161</v>
      </c>
      <c r="S116" s="16" t="s">
        <v>1162</v>
      </c>
      <c r="T116" s="17"/>
    </row>
    <row r="117" spans="1:20" ht="12.3">
      <c r="A117" s="12">
        <v>11</v>
      </c>
      <c r="B117" s="13" t="s">
        <v>1163</v>
      </c>
      <c r="C117" s="14">
        <v>2020</v>
      </c>
      <c r="D117" s="14">
        <v>38</v>
      </c>
      <c r="E117" s="14">
        <v>12</v>
      </c>
      <c r="F117" s="14">
        <v>10</v>
      </c>
      <c r="G117" s="14">
        <v>16</v>
      </c>
      <c r="H117" s="14">
        <v>42</v>
      </c>
      <c r="I117" s="14">
        <v>54</v>
      </c>
      <c r="J117" s="14">
        <v>-12</v>
      </c>
      <c r="K117" s="14">
        <v>46</v>
      </c>
      <c r="L117" s="14">
        <v>1.21</v>
      </c>
      <c r="M117" s="14">
        <v>48.7</v>
      </c>
      <c r="N117" s="14">
        <v>50.1</v>
      </c>
      <c r="O117" s="14">
        <v>-1.4</v>
      </c>
      <c r="P117" s="14">
        <v>-0.04</v>
      </c>
      <c r="Q117" s="14"/>
      <c r="R117" s="16" t="s">
        <v>1164</v>
      </c>
      <c r="S117" s="16" t="s">
        <v>1165</v>
      </c>
      <c r="T117" s="17"/>
    </row>
    <row r="118" spans="1:20" ht="12.3">
      <c r="A118" s="12">
        <v>12</v>
      </c>
      <c r="B118" s="13" t="s">
        <v>1166</v>
      </c>
      <c r="C118" s="14">
        <v>2020</v>
      </c>
      <c r="D118" s="14">
        <v>38</v>
      </c>
      <c r="E118" s="14">
        <v>13</v>
      </c>
      <c r="F118" s="14">
        <v>6</v>
      </c>
      <c r="G118" s="14">
        <v>19</v>
      </c>
      <c r="H118" s="14">
        <v>42</v>
      </c>
      <c r="I118" s="14">
        <v>56</v>
      </c>
      <c r="J118" s="14">
        <v>-14</v>
      </c>
      <c r="K118" s="14">
        <v>45</v>
      </c>
      <c r="L118" s="14">
        <v>1.18</v>
      </c>
      <c r="M118" s="14">
        <v>43.5</v>
      </c>
      <c r="N118" s="14">
        <v>54.9</v>
      </c>
      <c r="O118" s="14">
        <v>-11.4</v>
      </c>
      <c r="P118" s="14">
        <v>-0.3</v>
      </c>
      <c r="Q118" s="14"/>
      <c r="R118" s="16" t="s">
        <v>1167</v>
      </c>
      <c r="S118" s="16" t="s">
        <v>1168</v>
      </c>
      <c r="T118" s="17"/>
    </row>
    <row r="119" spans="1:20" ht="12.3">
      <c r="A119" s="12">
        <v>13</v>
      </c>
      <c r="B119" s="13" t="s">
        <v>1169</v>
      </c>
      <c r="C119" s="14">
        <v>2020</v>
      </c>
      <c r="D119" s="14">
        <v>38</v>
      </c>
      <c r="E119" s="14">
        <v>12</v>
      </c>
      <c r="F119" s="14">
        <v>8</v>
      </c>
      <c r="G119" s="14">
        <v>18</v>
      </c>
      <c r="H119" s="14">
        <v>40</v>
      </c>
      <c r="I119" s="14">
        <v>58</v>
      </c>
      <c r="J119" s="14">
        <v>-18</v>
      </c>
      <c r="K119" s="14">
        <v>44</v>
      </c>
      <c r="L119" s="14">
        <v>1.1599999999999999</v>
      </c>
      <c r="M119" s="14">
        <v>41.6</v>
      </c>
      <c r="N119" s="14">
        <v>52.3</v>
      </c>
      <c r="O119" s="14">
        <v>-10.7</v>
      </c>
      <c r="P119" s="14">
        <v>-0.28000000000000003</v>
      </c>
      <c r="Q119" s="14"/>
      <c r="R119" s="16" t="s">
        <v>1170</v>
      </c>
      <c r="S119" s="16" t="s">
        <v>1171</v>
      </c>
      <c r="T119" s="17"/>
    </row>
    <row r="120" spans="1:20" ht="12.3">
      <c r="A120" s="12">
        <v>14</v>
      </c>
      <c r="B120" s="13" t="s">
        <v>1172</v>
      </c>
      <c r="C120" s="14">
        <v>2020</v>
      </c>
      <c r="D120" s="14">
        <v>38</v>
      </c>
      <c r="E120" s="14">
        <v>9</v>
      </c>
      <c r="F120" s="14">
        <v>15</v>
      </c>
      <c r="G120" s="14">
        <v>14</v>
      </c>
      <c r="H120" s="14">
        <v>42</v>
      </c>
      <c r="I120" s="14">
        <v>50</v>
      </c>
      <c r="J120" s="14">
        <v>-8</v>
      </c>
      <c r="K120" s="14">
        <v>42</v>
      </c>
      <c r="L120" s="14">
        <v>1.1100000000000001</v>
      </c>
      <c r="M120" s="14">
        <v>32.700000000000003</v>
      </c>
      <c r="N120" s="14">
        <v>59</v>
      </c>
      <c r="O120" s="14">
        <v>-26.3</v>
      </c>
      <c r="P120" s="14">
        <v>-0.69</v>
      </c>
      <c r="Q120" s="14"/>
      <c r="R120" s="16" t="s">
        <v>1173</v>
      </c>
      <c r="S120" s="16" t="s">
        <v>1174</v>
      </c>
      <c r="T120" s="17"/>
    </row>
    <row r="121" spans="1:20" ht="12.3">
      <c r="A121" s="12">
        <v>15</v>
      </c>
      <c r="B121" s="13" t="s">
        <v>1175</v>
      </c>
      <c r="C121" s="14">
        <v>2020</v>
      </c>
      <c r="D121" s="14">
        <v>38</v>
      </c>
      <c r="E121" s="14">
        <v>11</v>
      </c>
      <c r="F121" s="14">
        <v>9</v>
      </c>
      <c r="G121" s="14">
        <v>18</v>
      </c>
      <c r="H121" s="14">
        <v>49</v>
      </c>
      <c r="I121" s="14">
        <v>58</v>
      </c>
      <c r="J121" s="14">
        <v>-9</v>
      </c>
      <c r="K121" s="14">
        <v>42</v>
      </c>
      <c r="L121" s="14">
        <v>1.1100000000000001</v>
      </c>
      <c r="M121" s="14">
        <v>52.8</v>
      </c>
      <c r="N121" s="14">
        <v>50.7</v>
      </c>
      <c r="O121" s="14">
        <f>2.1</f>
        <v>2.1</v>
      </c>
      <c r="P121" s="14">
        <f>0.06</f>
        <v>0.06</v>
      </c>
      <c r="Q121" s="14"/>
      <c r="R121" s="16" t="s">
        <v>1176</v>
      </c>
      <c r="S121" s="16" t="s">
        <v>1177</v>
      </c>
      <c r="T121" s="17"/>
    </row>
    <row r="122" spans="1:20" ht="12.3">
      <c r="A122" s="12">
        <v>16</v>
      </c>
      <c r="B122" s="13" t="s">
        <v>1178</v>
      </c>
      <c r="C122" s="14">
        <v>2020</v>
      </c>
      <c r="D122" s="14">
        <v>38</v>
      </c>
      <c r="E122" s="14">
        <v>11</v>
      </c>
      <c r="F122" s="14">
        <v>9</v>
      </c>
      <c r="G122" s="14">
        <v>18</v>
      </c>
      <c r="H122" s="14">
        <v>50</v>
      </c>
      <c r="I122" s="14">
        <v>68</v>
      </c>
      <c r="J122" s="14">
        <v>-18</v>
      </c>
      <c r="K122" s="14">
        <v>42</v>
      </c>
      <c r="L122" s="14">
        <v>1.1100000000000001</v>
      </c>
      <c r="M122" s="14">
        <v>48.6</v>
      </c>
      <c r="N122" s="14">
        <v>52.5</v>
      </c>
      <c r="O122" s="14">
        <v>-4</v>
      </c>
      <c r="P122" s="14">
        <v>-0.1</v>
      </c>
      <c r="Q122" s="14"/>
      <c r="R122" s="16" t="s">
        <v>1179</v>
      </c>
      <c r="S122" s="16" t="s">
        <v>1180</v>
      </c>
      <c r="T122" s="17"/>
    </row>
    <row r="123" spans="1:20" ht="12.3">
      <c r="A123" s="12">
        <v>17</v>
      </c>
      <c r="B123" s="13" t="s">
        <v>1181</v>
      </c>
      <c r="C123" s="14">
        <v>2020</v>
      </c>
      <c r="D123" s="14">
        <v>38</v>
      </c>
      <c r="E123" s="14">
        <v>11</v>
      </c>
      <c r="F123" s="14">
        <v>8</v>
      </c>
      <c r="G123" s="14">
        <v>19</v>
      </c>
      <c r="H123" s="14">
        <v>50</v>
      </c>
      <c r="I123" s="14">
        <v>66</v>
      </c>
      <c r="J123" s="14">
        <v>-16</v>
      </c>
      <c r="K123" s="14">
        <v>41</v>
      </c>
      <c r="L123" s="14">
        <v>1.08</v>
      </c>
      <c r="M123" s="14">
        <v>50</v>
      </c>
      <c r="N123" s="14">
        <v>58.1</v>
      </c>
      <c r="O123" s="14">
        <v>-8.1</v>
      </c>
      <c r="P123" s="14">
        <v>-0.21</v>
      </c>
      <c r="Q123" s="14"/>
      <c r="R123" s="16" t="s">
        <v>1182</v>
      </c>
      <c r="S123" s="16" t="s">
        <v>1183</v>
      </c>
      <c r="T123" s="17"/>
    </row>
    <row r="124" spans="1:20" ht="12.3">
      <c r="A124" s="18">
        <v>18</v>
      </c>
      <c r="B124" s="13" t="s">
        <v>1184</v>
      </c>
      <c r="C124" s="14">
        <v>2020</v>
      </c>
      <c r="D124" s="14">
        <v>38</v>
      </c>
      <c r="E124" s="14">
        <v>9</v>
      </c>
      <c r="F124" s="14">
        <v>13</v>
      </c>
      <c r="G124" s="14">
        <v>16</v>
      </c>
      <c r="H124" s="14">
        <v>47</v>
      </c>
      <c r="I124" s="14">
        <v>55</v>
      </c>
      <c r="J124" s="14">
        <v>-8</v>
      </c>
      <c r="K124" s="14">
        <v>40</v>
      </c>
      <c r="L124" s="14">
        <v>1.05</v>
      </c>
      <c r="M124" s="14">
        <v>49</v>
      </c>
      <c r="N124" s="14">
        <v>53.7</v>
      </c>
      <c r="O124" s="14">
        <v>-4.7</v>
      </c>
      <c r="P124" s="14">
        <v>-0.12</v>
      </c>
      <c r="Q124" s="14"/>
      <c r="R124" s="16" t="s">
        <v>1185</v>
      </c>
      <c r="S124" s="16" t="s">
        <v>1186</v>
      </c>
      <c r="T124" s="17" t="s">
        <v>890</v>
      </c>
    </row>
    <row r="125" spans="1:20" ht="12.3">
      <c r="A125" s="18">
        <v>19</v>
      </c>
      <c r="B125" s="13" t="s">
        <v>1187</v>
      </c>
      <c r="C125" s="14">
        <v>2020</v>
      </c>
      <c r="D125" s="14">
        <v>38</v>
      </c>
      <c r="E125" s="14">
        <v>9</v>
      </c>
      <c r="F125" s="14">
        <v>8</v>
      </c>
      <c r="G125" s="14">
        <v>21</v>
      </c>
      <c r="H125" s="14">
        <v>40</v>
      </c>
      <c r="I125" s="14">
        <v>71</v>
      </c>
      <c r="J125" s="14">
        <v>-31</v>
      </c>
      <c r="K125" s="14">
        <v>35</v>
      </c>
      <c r="L125" s="14">
        <v>0.92</v>
      </c>
      <c r="M125" s="14">
        <v>43.3</v>
      </c>
      <c r="N125" s="14">
        <v>64.2</v>
      </c>
      <c r="O125" s="14">
        <v>-20.9</v>
      </c>
      <c r="P125" s="14">
        <v>-0.55000000000000004</v>
      </c>
      <c r="Q125" s="14"/>
      <c r="R125" s="16" t="s">
        <v>1188</v>
      </c>
      <c r="S125" s="16" t="s">
        <v>1189</v>
      </c>
      <c r="T125" s="17" t="s">
        <v>894</v>
      </c>
    </row>
    <row r="126" spans="1:20" ht="12.3">
      <c r="A126" s="19">
        <v>20</v>
      </c>
      <c r="B126" s="20" t="s">
        <v>1190</v>
      </c>
      <c r="C126" s="14">
        <v>2020</v>
      </c>
      <c r="D126" s="21">
        <v>38</v>
      </c>
      <c r="E126" s="21">
        <v>4</v>
      </c>
      <c r="F126" s="21">
        <v>9</v>
      </c>
      <c r="G126" s="21">
        <v>25</v>
      </c>
      <c r="H126" s="21">
        <v>25</v>
      </c>
      <c r="I126" s="21">
        <v>73</v>
      </c>
      <c r="J126" s="21">
        <v>-48</v>
      </c>
      <c r="K126" s="21">
        <v>21</v>
      </c>
      <c r="L126" s="21">
        <v>0.55000000000000004</v>
      </c>
      <c r="M126" s="21">
        <v>33.700000000000003</v>
      </c>
      <c r="N126" s="21">
        <v>72.5</v>
      </c>
      <c r="O126" s="21">
        <v>-38.799999999999997</v>
      </c>
      <c r="P126" s="21">
        <v>-1.02</v>
      </c>
      <c r="Q126" s="21"/>
      <c r="R126" s="23" t="s">
        <v>1191</v>
      </c>
      <c r="S126" s="23" t="s">
        <v>1192</v>
      </c>
      <c r="T126" s="24" t="s">
        <v>894</v>
      </c>
    </row>
    <row r="127" spans="1:20" ht="12.3">
      <c r="A127" s="9">
        <v>2019</v>
      </c>
    </row>
    <row r="128" spans="1:20" ht="12.3">
      <c r="A128" s="10" t="s">
        <v>820</v>
      </c>
      <c r="B128" s="11" t="s">
        <v>821</v>
      </c>
      <c r="C128" s="11" t="s">
        <v>2</v>
      </c>
      <c r="D128" s="11" t="s">
        <v>822</v>
      </c>
      <c r="E128" s="11" t="s">
        <v>823</v>
      </c>
      <c r="F128" s="11" t="s">
        <v>824</v>
      </c>
      <c r="G128" s="11" t="s">
        <v>825</v>
      </c>
      <c r="H128" s="11" t="s">
        <v>826</v>
      </c>
      <c r="I128" s="11" t="s">
        <v>827</v>
      </c>
      <c r="J128" s="11" t="s">
        <v>828</v>
      </c>
      <c r="K128" s="11" t="s">
        <v>829</v>
      </c>
      <c r="L128" s="11" t="s">
        <v>830</v>
      </c>
      <c r="M128" s="11" t="s">
        <v>831</v>
      </c>
      <c r="N128" s="11" t="s">
        <v>832</v>
      </c>
      <c r="O128" s="11" t="s">
        <v>833</v>
      </c>
      <c r="P128" s="11" t="s">
        <v>834</v>
      </c>
      <c r="Q128" s="11" t="s">
        <v>835</v>
      </c>
      <c r="R128" s="11" t="s">
        <v>836</v>
      </c>
      <c r="S128" s="11" t="s">
        <v>837</v>
      </c>
      <c r="T128" s="11" t="s">
        <v>838</v>
      </c>
    </row>
    <row r="129" spans="1:20" ht="12.3">
      <c r="A129" s="12">
        <v>1</v>
      </c>
      <c r="B129" s="13" t="s">
        <v>1193</v>
      </c>
      <c r="C129" s="14">
        <v>2019</v>
      </c>
      <c r="D129" s="14">
        <v>27</v>
      </c>
      <c r="E129" s="14">
        <v>22</v>
      </c>
      <c r="F129" s="14">
        <v>2</v>
      </c>
      <c r="G129" s="14">
        <v>3</v>
      </c>
      <c r="H129" s="14">
        <v>75</v>
      </c>
      <c r="I129" s="14">
        <v>24</v>
      </c>
      <c r="J129" s="14">
        <f>51</f>
        <v>51</v>
      </c>
      <c r="K129" s="14">
        <v>68</v>
      </c>
      <c r="L129" s="14">
        <v>2.52</v>
      </c>
      <c r="M129" s="14">
        <v>74.2</v>
      </c>
      <c r="N129" s="14">
        <v>23.1</v>
      </c>
      <c r="O129" s="14">
        <f>51.1</f>
        <v>51.1</v>
      </c>
      <c r="P129" s="14">
        <f>1.89</f>
        <v>1.89</v>
      </c>
      <c r="Q129" s="15">
        <v>47517</v>
      </c>
      <c r="R129" s="16" t="s">
        <v>1194</v>
      </c>
      <c r="S129" s="16" t="s">
        <v>1195</v>
      </c>
      <c r="T129" s="17" t="s">
        <v>842</v>
      </c>
    </row>
    <row r="130" spans="1:20" ht="12.3">
      <c r="A130" s="12">
        <v>2</v>
      </c>
      <c r="B130" s="13" t="s">
        <v>1196</v>
      </c>
      <c r="C130" s="14">
        <v>2019</v>
      </c>
      <c r="D130" s="14">
        <v>28</v>
      </c>
      <c r="E130" s="14">
        <v>16</v>
      </c>
      <c r="F130" s="14">
        <v>8</v>
      </c>
      <c r="G130" s="14">
        <v>4</v>
      </c>
      <c r="H130" s="14">
        <v>41</v>
      </c>
      <c r="I130" s="14">
        <v>29</v>
      </c>
      <c r="J130" s="14">
        <f>12</f>
        <v>12</v>
      </c>
      <c r="K130" s="14">
        <v>56</v>
      </c>
      <c r="L130" s="14">
        <v>2</v>
      </c>
      <c r="M130" s="14">
        <v>36.200000000000003</v>
      </c>
      <c r="N130" s="14">
        <v>31.8</v>
      </c>
      <c r="O130" s="14">
        <f>4.4</f>
        <v>4.4000000000000004</v>
      </c>
      <c r="P130" s="14">
        <f>0.16</f>
        <v>0.16</v>
      </c>
      <c r="Q130" s="15">
        <v>52805</v>
      </c>
      <c r="R130" s="16" t="s">
        <v>1197</v>
      </c>
      <c r="S130" s="16" t="s">
        <v>1198</v>
      </c>
      <c r="T130" s="17" t="s">
        <v>842</v>
      </c>
    </row>
    <row r="131" spans="1:20" ht="12.3">
      <c r="A131" s="12">
        <v>3</v>
      </c>
      <c r="B131" s="13" t="s">
        <v>1199</v>
      </c>
      <c r="C131" s="14">
        <v>2019</v>
      </c>
      <c r="D131" s="14">
        <v>28</v>
      </c>
      <c r="E131" s="14">
        <v>15</v>
      </c>
      <c r="F131" s="14">
        <v>5</v>
      </c>
      <c r="G131" s="14">
        <v>8</v>
      </c>
      <c r="H131" s="14">
        <v>38</v>
      </c>
      <c r="I131" s="14">
        <v>24</v>
      </c>
      <c r="J131" s="14">
        <f>14</f>
        <v>14</v>
      </c>
      <c r="K131" s="14">
        <v>50</v>
      </c>
      <c r="L131" s="14">
        <v>1.79</v>
      </c>
      <c r="M131" s="14">
        <v>37.1</v>
      </c>
      <c r="N131" s="14">
        <v>30.2</v>
      </c>
      <c r="O131" s="14">
        <f>6.9</f>
        <v>6.9</v>
      </c>
      <c r="P131" s="14">
        <f>0.25</f>
        <v>0.25</v>
      </c>
      <c r="Q131" s="15">
        <v>25893</v>
      </c>
      <c r="R131" s="16" t="s">
        <v>1200</v>
      </c>
      <c r="S131" s="16" t="s">
        <v>1201</v>
      </c>
      <c r="T131" s="17" t="s">
        <v>842</v>
      </c>
    </row>
    <row r="132" spans="1:20" ht="12.3">
      <c r="A132" s="12">
        <v>4</v>
      </c>
      <c r="B132" s="13" t="s">
        <v>1202</v>
      </c>
      <c r="C132" s="14">
        <v>2019</v>
      </c>
      <c r="D132" s="14">
        <v>28</v>
      </c>
      <c r="E132" s="14">
        <v>15</v>
      </c>
      <c r="F132" s="14">
        <v>4</v>
      </c>
      <c r="G132" s="14">
        <v>9</v>
      </c>
      <c r="H132" s="14">
        <v>35</v>
      </c>
      <c r="I132" s="14">
        <v>27</v>
      </c>
      <c r="J132" s="14">
        <f>8</f>
        <v>8</v>
      </c>
      <c r="K132" s="14">
        <v>49</v>
      </c>
      <c r="L132" s="14">
        <v>1.75</v>
      </c>
      <c r="M132" s="14">
        <v>40.299999999999997</v>
      </c>
      <c r="N132" s="14">
        <v>31.4</v>
      </c>
      <c r="O132" s="14">
        <f>8.8</f>
        <v>8.8000000000000007</v>
      </c>
      <c r="P132" s="14">
        <f>0.32</f>
        <v>0.32</v>
      </c>
      <c r="Q132" s="15">
        <v>36404</v>
      </c>
      <c r="R132" s="16" t="s">
        <v>1203</v>
      </c>
      <c r="S132" s="16" t="s">
        <v>1204</v>
      </c>
      <c r="T132" s="17" t="s">
        <v>855</v>
      </c>
    </row>
    <row r="133" spans="1:20" ht="12.3">
      <c r="A133" s="12">
        <v>5</v>
      </c>
      <c r="B133" s="13" t="s">
        <v>1205</v>
      </c>
      <c r="C133" s="14">
        <v>2019</v>
      </c>
      <c r="D133" s="14">
        <v>28</v>
      </c>
      <c r="E133" s="14">
        <v>11</v>
      </c>
      <c r="F133" s="14">
        <v>8</v>
      </c>
      <c r="G133" s="14">
        <v>9</v>
      </c>
      <c r="H133" s="14">
        <v>41</v>
      </c>
      <c r="I133" s="14">
        <v>38</v>
      </c>
      <c r="J133" s="14">
        <f>3</f>
        <v>3</v>
      </c>
      <c r="K133" s="14">
        <v>41</v>
      </c>
      <c r="L133" s="14">
        <v>1.46</v>
      </c>
      <c r="M133" s="14">
        <v>35.700000000000003</v>
      </c>
      <c r="N133" s="14">
        <v>43.9</v>
      </c>
      <c r="O133" s="14">
        <v>-8.1999999999999993</v>
      </c>
      <c r="P133" s="14">
        <v>-0.28999999999999998</v>
      </c>
      <c r="Q133" s="15">
        <v>19225</v>
      </c>
      <c r="R133" s="16" t="s">
        <v>1206</v>
      </c>
      <c r="S133" s="16" t="s">
        <v>1207</v>
      </c>
      <c r="T133" s="17" t="s">
        <v>855</v>
      </c>
    </row>
    <row r="134" spans="1:20" ht="12.3">
      <c r="A134" s="12">
        <v>6</v>
      </c>
      <c r="B134" s="13" t="s">
        <v>1208</v>
      </c>
      <c r="C134" s="14">
        <v>2019</v>
      </c>
      <c r="D134" s="14">
        <v>28</v>
      </c>
      <c r="E134" s="14">
        <v>10</v>
      </c>
      <c r="F134" s="14">
        <v>11</v>
      </c>
      <c r="G134" s="14">
        <v>7</v>
      </c>
      <c r="H134" s="14">
        <v>26</v>
      </c>
      <c r="I134" s="14">
        <v>21</v>
      </c>
      <c r="J134" s="14">
        <f>5</f>
        <v>5</v>
      </c>
      <c r="K134" s="14">
        <v>41</v>
      </c>
      <c r="L134" s="14">
        <v>1.46</v>
      </c>
      <c r="M134" s="14">
        <v>30.6</v>
      </c>
      <c r="N134" s="14">
        <v>28.5</v>
      </c>
      <c r="O134" s="14">
        <f>2.1</f>
        <v>2.1</v>
      </c>
      <c r="P134" s="14">
        <f>0.08</f>
        <v>0.08</v>
      </c>
      <c r="Q134" s="15">
        <v>12932</v>
      </c>
      <c r="R134" s="16" t="s">
        <v>1209</v>
      </c>
      <c r="S134" s="16" t="s">
        <v>1210</v>
      </c>
      <c r="T134" s="17" t="s">
        <v>855</v>
      </c>
    </row>
    <row r="135" spans="1:20" ht="12.3">
      <c r="A135" s="12">
        <v>7</v>
      </c>
      <c r="B135" s="13" t="s">
        <v>1211</v>
      </c>
      <c r="C135" s="14">
        <v>2019</v>
      </c>
      <c r="D135" s="14">
        <v>28</v>
      </c>
      <c r="E135" s="14">
        <v>11</v>
      </c>
      <c r="F135" s="14">
        <v>7</v>
      </c>
      <c r="G135" s="14">
        <v>10</v>
      </c>
      <c r="H135" s="14">
        <v>42</v>
      </c>
      <c r="I135" s="14">
        <v>27</v>
      </c>
      <c r="J135" s="14">
        <f>15</f>
        <v>15</v>
      </c>
      <c r="K135" s="14">
        <v>40</v>
      </c>
      <c r="L135" s="14">
        <v>1.43</v>
      </c>
      <c r="M135" s="14">
        <v>37.6</v>
      </c>
      <c r="N135" s="14">
        <v>27.1</v>
      </c>
      <c r="O135" s="14">
        <f>10.6</f>
        <v>10.6</v>
      </c>
      <c r="P135" s="14">
        <f>0.38</f>
        <v>0.38</v>
      </c>
      <c r="Q135" s="15">
        <v>47299</v>
      </c>
      <c r="R135" s="16" t="s">
        <v>1212</v>
      </c>
      <c r="S135" s="16" t="s">
        <v>1213</v>
      </c>
      <c r="T135" s="17"/>
    </row>
    <row r="136" spans="1:20" ht="12.3">
      <c r="A136" s="12">
        <v>8</v>
      </c>
      <c r="B136" s="13" t="s">
        <v>1214</v>
      </c>
      <c r="C136" s="14">
        <v>2019</v>
      </c>
      <c r="D136" s="14">
        <v>28</v>
      </c>
      <c r="E136" s="14">
        <v>11</v>
      </c>
      <c r="F136" s="14">
        <v>7</v>
      </c>
      <c r="G136" s="14">
        <v>10</v>
      </c>
      <c r="H136" s="14">
        <v>35</v>
      </c>
      <c r="I136" s="14">
        <v>34</v>
      </c>
      <c r="J136" s="14">
        <f>1</f>
        <v>1</v>
      </c>
      <c r="K136" s="14">
        <v>40</v>
      </c>
      <c r="L136" s="14">
        <v>1.43</v>
      </c>
      <c r="M136" s="14">
        <v>35.299999999999997</v>
      </c>
      <c r="N136" s="14">
        <v>34.700000000000003</v>
      </c>
      <c r="O136" s="14">
        <f>0.5</f>
        <v>0.5</v>
      </c>
      <c r="P136" s="14">
        <f>0.02</f>
        <v>0.02</v>
      </c>
      <c r="Q136" s="15">
        <v>14147</v>
      </c>
      <c r="R136" s="16" t="s">
        <v>1215</v>
      </c>
      <c r="S136" s="16" t="s">
        <v>1216</v>
      </c>
      <c r="T136" s="17"/>
    </row>
    <row r="137" spans="1:20" ht="12.3">
      <c r="A137" s="12">
        <v>9</v>
      </c>
      <c r="B137" s="13" t="s">
        <v>1217</v>
      </c>
      <c r="C137" s="14">
        <v>2019</v>
      </c>
      <c r="D137" s="14">
        <v>28</v>
      </c>
      <c r="E137" s="14">
        <v>11</v>
      </c>
      <c r="F137" s="14">
        <v>7</v>
      </c>
      <c r="G137" s="14">
        <v>10</v>
      </c>
      <c r="H137" s="14">
        <v>44</v>
      </c>
      <c r="I137" s="14">
        <v>44</v>
      </c>
      <c r="J137" s="14">
        <v>0</v>
      </c>
      <c r="K137" s="14">
        <v>40</v>
      </c>
      <c r="L137" s="14">
        <v>1.43</v>
      </c>
      <c r="M137" s="14">
        <v>48.9</v>
      </c>
      <c r="N137" s="14">
        <v>42.7</v>
      </c>
      <c r="O137" s="14">
        <f>6.1</f>
        <v>6.1</v>
      </c>
      <c r="P137" s="14">
        <f>0.22</f>
        <v>0.22</v>
      </c>
      <c r="Q137" s="15">
        <v>6451</v>
      </c>
      <c r="R137" s="16" t="s">
        <v>1218</v>
      </c>
      <c r="S137" s="16" t="s">
        <v>1219</v>
      </c>
      <c r="T137" s="17"/>
    </row>
    <row r="138" spans="1:20" ht="12.3">
      <c r="A138" s="12">
        <v>10</v>
      </c>
      <c r="B138" s="13" t="s">
        <v>1220</v>
      </c>
      <c r="C138" s="14">
        <v>2019</v>
      </c>
      <c r="D138" s="14">
        <v>27</v>
      </c>
      <c r="E138" s="14">
        <v>11</v>
      </c>
      <c r="F138" s="14">
        <v>5</v>
      </c>
      <c r="G138" s="14">
        <v>11</v>
      </c>
      <c r="H138" s="14">
        <v>32</v>
      </c>
      <c r="I138" s="14">
        <v>32</v>
      </c>
      <c r="J138" s="14">
        <v>0</v>
      </c>
      <c r="K138" s="14">
        <v>38</v>
      </c>
      <c r="L138" s="14">
        <v>1.41</v>
      </c>
      <c r="M138" s="14">
        <v>34.200000000000003</v>
      </c>
      <c r="N138" s="14">
        <v>32.200000000000003</v>
      </c>
      <c r="O138" s="14">
        <f>2</f>
        <v>2</v>
      </c>
      <c r="P138" s="14">
        <f>0.07</f>
        <v>7.0000000000000007E-2</v>
      </c>
      <c r="Q138" s="15">
        <v>24985</v>
      </c>
      <c r="R138" s="16" t="s">
        <v>1221</v>
      </c>
      <c r="S138" s="16" t="s">
        <v>1222</v>
      </c>
      <c r="T138" s="17"/>
    </row>
    <row r="139" spans="1:20" ht="12.3">
      <c r="A139" s="12">
        <v>11</v>
      </c>
      <c r="B139" s="13" t="s">
        <v>1223</v>
      </c>
      <c r="C139" s="14">
        <v>2019</v>
      </c>
      <c r="D139" s="14">
        <v>28</v>
      </c>
      <c r="E139" s="14">
        <v>11</v>
      </c>
      <c r="F139" s="14">
        <v>6</v>
      </c>
      <c r="G139" s="14">
        <v>11</v>
      </c>
      <c r="H139" s="14">
        <v>28</v>
      </c>
      <c r="I139" s="14">
        <v>33</v>
      </c>
      <c r="J139" s="14">
        <v>-5</v>
      </c>
      <c r="K139" s="14">
        <v>39</v>
      </c>
      <c r="L139" s="14">
        <v>1.39</v>
      </c>
      <c r="M139" s="14">
        <v>29.3</v>
      </c>
      <c r="N139" s="14">
        <v>28.4</v>
      </c>
      <c r="O139" s="14">
        <f>0.9</f>
        <v>0.9</v>
      </c>
      <c r="P139" s="14">
        <f>0.03</f>
        <v>0.03</v>
      </c>
      <c r="Q139" s="15">
        <v>9825</v>
      </c>
      <c r="R139" s="16" t="s">
        <v>1224</v>
      </c>
      <c r="S139" s="16" t="s">
        <v>1225</v>
      </c>
      <c r="T139" s="17"/>
    </row>
    <row r="140" spans="1:20" ht="12.3">
      <c r="A140" s="12">
        <v>12</v>
      </c>
      <c r="B140" s="13" t="s">
        <v>1226</v>
      </c>
      <c r="C140" s="14">
        <v>2019</v>
      </c>
      <c r="D140" s="14">
        <v>28</v>
      </c>
      <c r="E140" s="14">
        <v>9</v>
      </c>
      <c r="F140" s="14">
        <v>10</v>
      </c>
      <c r="G140" s="14">
        <v>9</v>
      </c>
      <c r="H140" s="14">
        <v>40</v>
      </c>
      <c r="I140" s="14">
        <v>34</v>
      </c>
      <c r="J140" s="14">
        <f>6</f>
        <v>6</v>
      </c>
      <c r="K140" s="14">
        <v>37</v>
      </c>
      <c r="L140" s="14">
        <v>1.32</v>
      </c>
      <c r="M140" s="14">
        <v>30.4</v>
      </c>
      <c r="N140" s="14">
        <v>36.9</v>
      </c>
      <c r="O140" s="14">
        <v>-6.6</v>
      </c>
      <c r="P140" s="14">
        <v>-0.23</v>
      </c>
      <c r="Q140" s="15">
        <v>23430</v>
      </c>
      <c r="R140" s="16" t="s">
        <v>1227</v>
      </c>
      <c r="S140" s="16" t="s">
        <v>1228</v>
      </c>
      <c r="T140" s="17"/>
    </row>
    <row r="141" spans="1:20" ht="12.3">
      <c r="A141" s="12">
        <v>13</v>
      </c>
      <c r="B141" s="13" t="s">
        <v>1229</v>
      </c>
      <c r="C141" s="14">
        <v>2019</v>
      </c>
      <c r="D141" s="14">
        <v>28</v>
      </c>
      <c r="E141" s="14">
        <v>11</v>
      </c>
      <c r="F141" s="14">
        <v>4</v>
      </c>
      <c r="G141" s="14">
        <v>13</v>
      </c>
      <c r="H141" s="14">
        <v>28</v>
      </c>
      <c r="I141" s="14">
        <v>31</v>
      </c>
      <c r="J141" s="14">
        <v>-3</v>
      </c>
      <c r="K141" s="14">
        <v>37</v>
      </c>
      <c r="L141" s="14">
        <v>1.32</v>
      </c>
      <c r="M141" s="14">
        <v>30.2</v>
      </c>
      <c r="N141" s="14">
        <v>31.5</v>
      </c>
      <c r="O141" s="14">
        <v>-1.2</v>
      </c>
      <c r="P141" s="14">
        <v>-0.04</v>
      </c>
      <c r="Q141" s="15">
        <v>24635</v>
      </c>
      <c r="R141" s="16" t="s">
        <v>1230</v>
      </c>
      <c r="S141" s="16" t="s">
        <v>1231</v>
      </c>
      <c r="T141" s="17"/>
    </row>
    <row r="142" spans="1:20" ht="12.3">
      <c r="A142" s="12">
        <v>14</v>
      </c>
      <c r="B142" s="13" t="s">
        <v>1232</v>
      </c>
      <c r="C142" s="14">
        <v>2019</v>
      </c>
      <c r="D142" s="14">
        <v>28</v>
      </c>
      <c r="E142" s="14">
        <v>8</v>
      </c>
      <c r="F142" s="14">
        <v>10</v>
      </c>
      <c r="G142" s="14">
        <v>10</v>
      </c>
      <c r="H142" s="14">
        <v>34</v>
      </c>
      <c r="I142" s="14">
        <v>37</v>
      </c>
      <c r="J142" s="14">
        <v>-3</v>
      </c>
      <c r="K142" s="14">
        <v>34</v>
      </c>
      <c r="L142" s="14">
        <v>1.21</v>
      </c>
      <c r="M142" s="14">
        <v>30.7</v>
      </c>
      <c r="N142" s="14">
        <v>45.5</v>
      </c>
      <c r="O142" s="14">
        <v>-14.8</v>
      </c>
      <c r="P142" s="14">
        <v>-0.53</v>
      </c>
      <c r="Q142" s="15">
        <v>13713</v>
      </c>
      <c r="R142" s="16" t="s">
        <v>1233</v>
      </c>
      <c r="S142" s="16" t="s">
        <v>1234</v>
      </c>
      <c r="T142" s="17"/>
    </row>
    <row r="143" spans="1:20" ht="12.3">
      <c r="A143" s="12">
        <v>15</v>
      </c>
      <c r="B143" s="13" t="s">
        <v>1235</v>
      </c>
      <c r="C143" s="14">
        <v>2019</v>
      </c>
      <c r="D143" s="14">
        <v>28</v>
      </c>
      <c r="E143" s="14">
        <v>8</v>
      </c>
      <c r="F143" s="14">
        <v>10</v>
      </c>
      <c r="G143" s="14">
        <v>10</v>
      </c>
      <c r="H143" s="14">
        <v>27</v>
      </c>
      <c r="I143" s="14">
        <v>35</v>
      </c>
      <c r="J143" s="14">
        <v>-8</v>
      </c>
      <c r="K143" s="14">
        <v>34</v>
      </c>
      <c r="L143" s="14">
        <v>1.21</v>
      </c>
      <c r="M143" s="14">
        <v>27.1</v>
      </c>
      <c r="N143" s="14">
        <v>38.1</v>
      </c>
      <c r="O143" s="14">
        <v>-11</v>
      </c>
      <c r="P143" s="14">
        <v>-0.39</v>
      </c>
      <c r="Q143" s="15">
        <v>16583</v>
      </c>
      <c r="R143" s="16" t="s">
        <v>1236</v>
      </c>
      <c r="S143" s="16" t="s">
        <v>1237</v>
      </c>
      <c r="T143" s="17"/>
    </row>
    <row r="144" spans="1:20" ht="12.3">
      <c r="A144" s="12">
        <v>16</v>
      </c>
      <c r="B144" s="13" t="s">
        <v>1238</v>
      </c>
      <c r="C144" s="14">
        <v>2019</v>
      </c>
      <c r="D144" s="14">
        <v>28</v>
      </c>
      <c r="E144" s="14">
        <v>7</v>
      </c>
      <c r="F144" s="14">
        <v>9</v>
      </c>
      <c r="G144" s="14">
        <v>12</v>
      </c>
      <c r="H144" s="14">
        <v>27</v>
      </c>
      <c r="I144" s="14">
        <v>37</v>
      </c>
      <c r="J144" s="14">
        <v>-10</v>
      </c>
      <c r="K144" s="14">
        <v>30</v>
      </c>
      <c r="L144" s="14">
        <v>1.07</v>
      </c>
      <c r="M144" s="14">
        <v>30.5</v>
      </c>
      <c r="N144" s="14">
        <v>38.4</v>
      </c>
      <c r="O144" s="14">
        <v>-8</v>
      </c>
      <c r="P144" s="14">
        <v>-0.28000000000000003</v>
      </c>
      <c r="Q144" s="15">
        <v>12707</v>
      </c>
      <c r="R144" s="16" t="s">
        <v>1239</v>
      </c>
      <c r="S144" s="16" t="s">
        <v>1240</v>
      </c>
      <c r="T144" s="17"/>
    </row>
    <row r="145" spans="1:20" ht="12.3">
      <c r="A145" s="12">
        <v>17</v>
      </c>
      <c r="B145" s="13" t="s">
        <v>1241</v>
      </c>
      <c r="C145" s="14">
        <v>2019</v>
      </c>
      <c r="D145" s="14">
        <v>28</v>
      </c>
      <c r="E145" s="14">
        <v>8</v>
      </c>
      <c r="F145" s="14">
        <v>6</v>
      </c>
      <c r="G145" s="14">
        <v>14</v>
      </c>
      <c r="H145" s="14">
        <v>29</v>
      </c>
      <c r="I145" s="14">
        <v>45</v>
      </c>
      <c r="J145" s="14">
        <v>-16</v>
      </c>
      <c r="K145" s="14">
        <v>30</v>
      </c>
      <c r="L145" s="14">
        <v>1.07</v>
      </c>
      <c r="M145" s="14">
        <v>31.4</v>
      </c>
      <c r="N145" s="14">
        <v>38.799999999999997</v>
      </c>
      <c r="O145" s="14">
        <v>-7.4</v>
      </c>
      <c r="P145" s="14">
        <v>-0.26</v>
      </c>
      <c r="Q145" s="15">
        <v>23205</v>
      </c>
      <c r="R145" s="16" t="s">
        <v>1242</v>
      </c>
      <c r="S145" s="16" t="s">
        <v>1243</v>
      </c>
      <c r="T145" s="17"/>
    </row>
    <row r="146" spans="1:20" ht="12.3">
      <c r="A146" s="12">
        <v>18</v>
      </c>
      <c r="B146" s="13" t="s">
        <v>1244</v>
      </c>
      <c r="C146" s="14">
        <v>2019</v>
      </c>
      <c r="D146" s="14">
        <v>28</v>
      </c>
      <c r="E146" s="14">
        <v>7</v>
      </c>
      <c r="F146" s="14">
        <v>6</v>
      </c>
      <c r="G146" s="14">
        <v>15</v>
      </c>
      <c r="H146" s="14">
        <v>29</v>
      </c>
      <c r="I146" s="14">
        <v>44</v>
      </c>
      <c r="J146" s="14">
        <v>-15</v>
      </c>
      <c r="K146" s="14">
        <v>27</v>
      </c>
      <c r="L146" s="14">
        <v>0.96</v>
      </c>
      <c r="M146" s="14">
        <v>30.3</v>
      </c>
      <c r="N146" s="14">
        <v>40.9</v>
      </c>
      <c r="O146" s="14">
        <v>-10.6</v>
      </c>
      <c r="P146" s="14">
        <v>-0.38</v>
      </c>
      <c r="Q146" s="15">
        <v>12555</v>
      </c>
      <c r="R146" s="16" t="s">
        <v>1245</v>
      </c>
      <c r="S146" s="16" t="s">
        <v>1246</v>
      </c>
      <c r="T146" s="17"/>
    </row>
    <row r="147" spans="1:20" ht="12.3">
      <c r="A147" s="18">
        <v>19</v>
      </c>
      <c r="B147" s="13" t="s">
        <v>1247</v>
      </c>
      <c r="C147" s="14">
        <v>2019</v>
      </c>
      <c r="D147" s="14">
        <v>28</v>
      </c>
      <c r="E147" s="14">
        <v>4</v>
      </c>
      <c r="F147" s="14">
        <v>11</v>
      </c>
      <c r="G147" s="14">
        <v>13</v>
      </c>
      <c r="H147" s="14">
        <v>31</v>
      </c>
      <c r="I147" s="14">
        <v>50</v>
      </c>
      <c r="J147" s="14">
        <v>-19</v>
      </c>
      <c r="K147" s="14">
        <v>23</v>
      </c>
      <c r="L147" s="14">
        <v>0.82</v>
      </c>
      <c r="M147" s="14">
        <v>27.4</v>
      </c>
      <c r="N147" s="14">
        <v>39.299999999999997</v>
      </c>
      <c r="O147" s="14">
        <v>-11.9</v>
      </c>
      <c r="P147" s="14">
        <v>-0.43</v>
      </c>
      <c r="Q147" s="15">
        <v>11616</v>
      </c>
      <c r="R147" s="16" t="s">
        <v>1248</v>
      </c>
      <c r="S147" s="16" t="s">
        <v>1249</v>
      </c>
      <c r="T147" s="17" t="s">
        <v>894</v>
      </c>
    </row>
    <row r="148" spans="1:20" ht="12.3">
      <c r="A148" s="19">
        <v>20</v>
      </c>
      <c r="B148" s="20" t="s">
        <v>1250</v>
      </c>
      <c r="C148" s="14">
        <v>2019</v>
      </c>
      <c r="D148" s="21">
        <v>28</v>
      </c>
      <c r="E148" s="21">
        <v>3</v>
      </c>
      <c r="F148" s="21">
        <v>4</v>
      </c>
      <c r="G148" s="21">
        <v>21</v>
      </c>
      <c r="H148" s="21">
        <v>22</v>
      </c>
      <c r="I148" s="21">
        <v>58</v>
      </c>
      <c r="J148" s="21">
        <v>-36</v>
      </c>
      <c r="K148" s="21">
        <v>13</v>
      </c>
      <c r="L148" s="21">
        <v>0.46</v>
      </c>
      <c r="M148" s="21">
        <v>31.7</v>
      </c>
      <c r="N148" s="21">
        <v>45.6</v>
      </c>
      <c r="O148" s="21">
        <v>-13.9</v>
      </c>
      <c r="P148" s="21">
        <v>-0.5</v>
      </c>
      <c r="Q148" s="22">
        <v>14200</v>
      </c>
      <c r="R148" s="23" t="s">
        <v>1251</v>
      </c>
      <c r="S148" s="23" t="s">
        <v>1252</v>
      </c>
      <c r="T148" s="24" t="s">
        <v>894</v>
      </c>
    </row>
    <row r="149" spans="1:20" ht="12.3">
      <c r="A149" s="9">
        <v>2018</v>
      </c>
    </row>
    <row r="150" spans="1:20" ht="12.3">
      <c r="A150" s="10" t="s">
        <v>820</v>
      </c>
      <c r="B150" s="11" t="s">
        <v>821</v>
      </c>
      <c r="C150" s="11" t="s">
        <v>2</v>
      </c>
      <c r="D150" s="11" t="s">
        <v>822</v>
      </c>
      <c r="E150" s="11" t="s">
        <v>823</v>
      </c>
      <c r="F150" s="11" t="s">
        <v>824</v>
      </c>
      <c r="G150" s="11" t="s">
        <v>825</v>
      </c>
      <c r="H150" s="11" t="s">
        <v>826</v>
      </c>
      <c r="I150" s="11" t="s">
        <v>827</v>
      </c>
      <c r="J150" s="11" t="s">
        <v>828</v>
      </c>
      <c r="K150" s="11" t="s">
        <v>829</v>
      </c>
      <c r="L150" s="11" t="s">
        <v>830</v>
      </c>
      <c r="M150" s="11" t="s">
        <v>831</v>
      </c>
      <c r="N150" s="11" t="s">
        <v>832</v>
      </c>
      <c r="O150" s="11" t="s">
        <v>833</v>
      </c>
      <c r="P150" s="11" t="s">
        <v>834</v>
      </c>
      <c r="Q150" s="11" t="s">
        <v>835</v>
      </c>
      <c r="R150" s="11" t="s">
        <v>836</v>
      </c>
      <c r="S150" s="11" t="s">
        <v>837</v>
      </c>
      <c r="T150" s="11" t="s">
        <v>838</v>
      </c>
    </row>
    <row r="151" spans="1:20" ht="12.3">
      <c r="A151" s="12">
        <v>1</v>
      </c>
      <c r="B151" s="13" t="s">
        <v>1253</v>
      </c>
      <c r="C151" s="14">
        <v>2018</v>
      </c>
      <c r="D151" s="14">
        <v>38</v>
      </c>
      <c r="E151" s="14">
        <v>29</v>
      </c>
      <c r="F151" s="14">
        <v>4</v>
      </c>
      <c r="G151" s="14">
        <v>5</v>
      </c>
      <c r="H151" s="14">
        <v>105</v>
      </c>
      <c r="I151" s="14">
        <v>35</v>
      </c>
      <c r="J151" s="14">
        <f>70</f>
        <v>70</v>
      </c>
      <c r="K151" s="14">
        <v>91</v>
      </c>
      <c r="L151" s="14">
        <v>2.39</v>
      </c>
      <c r="M151" s="14">
        <v>88.9</v>
      </c>
      <c r="N151" s="14">
        <v>37.6</v>
      </c>
      <c r="O151" s="14">
        <f>51.3</f>
        <v>51.3</v>
      </c>
      <c r="P151" s="14">
        <f>1.35</f>
        <v>1.35</v>
      </c>
      <c r="Q151" s="15">
        <v>46911</v>
      </c>
      <c r="R151" s="16" t="s">
        <v>1254</v>
      </c>
      <c r="S151" s="16" t="s">
        <v>1255</v>
      </c>
      <c r="T151" s="17" t="s">
        <v>842</v>
      </c>
    </row>
    <row r="152" spans="1:20" ht="12.3">
      <c r="A152" s="12">
        <v>2</v>
      </c>
      <c r="B152" s="13" t="s">
        <v>1256</v>
      </c>
      <c r="C152" s="14">
        <v>2018</v>
      </c>
      <c r="D152" s="14">
        <v>38</v>
      </c>
      <c r="E152" s="14">
        <v>22</v>
      </c>
      <c r="F152" s="14">
        <v>9</v>
      </c>
      <c r="G152" s="14">
        <v>7</v>
      </c>
      <c r="H152" s="14">
        <v>68</v>
      </c>
      <c r="I152" s="14">
        <v>33</v>
      </c>
      <c r="J152" s="14">
        <f>35</f>
        <v>35</v>
      </c>
      <c r="K152" s="14">
        <v>75</v>
      </c>
      <c r="L152" s="14">
        <v>1.97</v>
      </c>
      <c r="M152" s="14">
        <v>59.5</v>
      </c>
      <c r="N152" s="14">
        <v>42.1</v>
      </c>
      <c r="O152" s="14">
        <f>17.4</f>
        <v>17.399999999999999</v>
      </c>
      <c r="P152" s="14">
        <f>0.46</f>
        <v>0.46</v>
      </c>
      <c r="Q152" s="15">
        <v>34079</v>
      </c>
      <c r="R152" s="16" t="s">
        <v>1257</v>
      </c>
      <c r="S152" s="16" t="s">
        <v>1258</v>
      </c>
      <c r="T152" s="17" t="s">
        <v>842</v>
      </c>
    </row>
    <row r="153" spans="1:20" ht="12.3">
      <c r="A153" s="12">
        <v>3</v>
      </c>
      <c r="B153" s="13" t="s">
        <v>1259</v>
      </c>
      <c r="C153" s="14">
        <v>2018</v>
      </c>
      <c r="D153" s="14">
        <v>38</v>
      </c>
      <c r="E153" s="14">
        <v>21</v>
      </c>
      <c r="F153" s="14">
        <v>9</v>
      </c>
      <c r="G153" s="14">
        <v>8</v>
      </c>
      <c r="H153" s="14">
        <v>70</v>
      </c>
      <c r="I153" s="14">
        <v>47</v>
      </c>
      <c r="J153" s="14">
        <f>23</f>
        <v>23</v>
      </c>
      <c r="K153" s="14">
        <v>72</v>
      </c>
      <c r="L153" s="14">
        <v>1.89</v>
      </c>
      <c r="M153" s="14">
        <v>73.7</v>
      </c>
      <c r="N153" s="14">
        <v>43.9</v>
      </c>
      <c r="O153" s="14">
        <f>29.8</f>
        <v>29.8</v>
      </c>
      <c r="P153" s="14">
        <f>0.78</f>
        <v>0.78</v>
      </c>
      <c r="Q153" s="15">
        <v>49079</v>
      </c>
      <c r="R153" s="16" t="s">
        <v>1260</v>
      </c>
      <c r="S153" s="16" t="s">
        <v>1261</v>
      </c>
      <c r="T153" s="17" t="s">
        <v>842</v>
      </c>
    </row>
    <row r="154" spans="1:20" ht="12.3">
      <c r="A154" s="12">
        <v>4</v>
      </c>
      <c r="B154" s="13" t="s">
        <v>1262</v>
      </c>
      <c r="C154" s="14">
        <v>2018</v>
      </c>
      <c r="D154" s="14">
        <v>38</v>
      </c>
      <c r="E154" s="14">
        <v>19</v>
      </c>
      <c r="F154" s="14">
        <v>9</v>
      </c>
      <c r="G154" s="14">
        <v>10</v>
      </c>
      <c r="H154" s="14">
        <v>59</v>
      </c>
      <c r="I154" s="14">
        <v>41</v>
      </c>
      <c r="J154" s="14">
        <f>18</f>
        <v>18</v>
      </c>
      <c r="K154" s="14">
        <v>66</v>
      </c>
      <c r="L154" s="14">
        <v>1.74</v>
      </c>
      <c r="M154" s="14">
        <v>56.7</v>
      </c>
      <c r="N154" s="14">
        <v>50.4</v>
      </c>
      <c r="O154" s="14">
        <f>6.3</f>
        <v>6.3</v>
      </c>
      <c r="P154" s="14">
        <f>0.17</f>
        <v>0.17</v>
      </c>
      <c r="Q154" s="15">
        <v>28400</v>
      </c>
      <c r="R154" s="16" t="s">
        <v>1263</v>
      </c>
      <c r="S154" s="16" t="s">
        <v>1264</v>
      </c>
      <c r="T154" s="17" t="s">
        <v>855</v>
      </c>
    </row>
    <row r="155" spans="1:20" ht="12.3">
      <c r="A155" s="12">
        <v>5</v>
      </c>
      <c r="B155" s="13" t="s">
        <v>1265</v>
      </c>
      <c r="C155" s="14">
        <v>2018</v>
      </c>
      <c r="D155" s="14">
        <v>38</v>
      </c>
      <c r="E155" s="14">
        <v>18</v>
      </c>
      <c r="F155" s="14">
        <v>7</v>
      </c>
      <c r="G155" s="14">
        <v>13</v>
      </c>
      <c r="H155" s="14">
        <v>60</v>
      </c>
      <c r="I155" s="14">
        <v>52</v>
      </c>
      <c r="J155" s="14">
        <f>8</f>
        <v>8</v>
      </c>
      <c r="K155" s="14">
        <v>61</v>
      </c>
      <c r="L155" s="14">
        <v>1.61</v>
      </c>
      <c r="M155" s="14">
        <v>52.7</v>
      </c>
      <c r="N155" s="14">
        <v>45.6</v>
      </c>
      <c r="O155" s="14">
        <f>7.1</f>
        <v>7.1</v>
      </c>
      <c r="P155" s="14">
        <f>0.19</f>
        <v>0.19</v>
      </c>
      <c r="Q155" s="15">
        <v>50140</v>
      </c>
      <c r="R155" s="16" t="s">
        <v>1266</v>
      </c>
      <c r="S155" s="16" t="s">
        <v>1267</v>
      </c>
      <c r="T155" s="17"/>
    </row>
    <row r="156" spans="1:20" ht="12.3">
      <c r="A156" s="12">
        <v>6</v>
      </c>
      <c r="B156" s="13" t="s">
        <v>1268</v>
      </c>
      <c r="C156" s="14">
        <v>2018</v>
      </c>
      <c r="D156" s="14">
        <v>38</v>
      </c>
      <c r="E156" s="14">
        <v>15</v>
      </c>
      <c r="F156" s="14">
        <v>14</v>
      </c>
      <c r="G156" s="14">
        <v>9</v>
      </c>
      <c r="H156" s="14">
        <v>53</v>
      </c>
      <c r="I156" s="14">
        <v>42</v>
      </c>
      <c r="J156" s="14">
        <f>11</f>
        <v>11</v>
      </c>
      <c r="K156" s="14">
        <v>59</v>
      </c>
      <c r="L156" s="14">
        <v>1.55</v>
      </c>
      <c r="M156" s="14">
        <v>50.1</v>
      </c>
      <c r="N156" s="14">
        <v>41.8</v>
      </c>
      <c r="O156" s="14">
        <f>8.2</f>
        <v>8.1999999999999993</v>
      </c>
      <c r="P156" s="14">
        <f>0.22</f>
        <v>0.22</v>
      </c>
      <c r="Q156" s="15">
        <v>13829</v>
      </c>
      <c r="R156" s="16" t="s">
        <v>1269</v>
      </c>
      <c r="S156" s="16" t="s">
        <v>1270</v>
      </c>
      <c r="T156" s="17"/>
    </row>
    <row r="157" spans="1:20" ht="12.3">
      <c r="A157" s="12">
        <v>7</v>
      </c>
      <c r="B157" s="13" t="s">
        <v>1271</v>
      </c>
      <c r="C157" s="14">
        <v>2018</v>
      </c>
      <c r="D157" s="14">
        <v>38</v>
      </c>
      <c r="E157" s="14">
        <v>15</v>
      </c>
      <c r="F157" s="14">
        <v>11</v>
      </c>
      <c r="G157" s="14">
        <v>12</v>
      </c>
      <c r="H157" s="14">
        <v>30</v>
      </c>
      <c r="I157" s="14">
        <v>35</v>
      </c>
      <c r="J157" s="14">
        <v>-5</v>
      </c>
      <c r="K157" s="14">
        <v>56</v>
      </c>
      <c r="L157" s="14">
        <v>1.47</v>
      </c>
      <c r="M157" s="14">
        <v>46.3</v>
      </c>
      <c r="N157" s="14">
        <v>50</v>
      </c>
      <c r="O157" s="14">
        <v>-3.7</v>
      </c>
      <c r="P157" s="14">
        <v>-0.1</v>
      </c>
      <c r="Q157" s="15">
        <v>19126</v>
      </c>
      <c r="R157" s="16" t="s">
        <v>1272</v>
      </c>
      <c r="S157" s="16" t="s">
        <v>1273</v>
      </c>
      <c r="T157" s="17"/>
    </row>
    <row r="158" spans="1:20" ht="12.3">
      <c r="A158" s="12">
        <v>8</v>
      </c>
      <c r="B158" s="13" t="s">
        <v>1274</v>
      </c>
      <c r="C158" s="14">
        <v>2018</v>
      </c>
      <c r="D158" s="14">
        <v>38</v>
      </c>
      <c r="E158" s="14">
        <v>13</v>
      </c>
      <c r="F158" s="14">
        <v>16</v>
      </c>
      <c r="G158" s="14">
        <v>9</v>
      </c>
      <c r="H158" s="14">
        <v>39</v>
      </c>
      <c r="I158" s="14">
        <v>42</v>
      </c>
      <c r="J158" s="14">
        <v>-3</v>
      </c>
      <c r="K158" s="14">
        <v>55</v>
      </c>
      <c r="L158" s="14">
        <v>1.45</v>
      </c>
      <c r="M158" s="14">
        <v>38.1</v>
      </c>
      <c r="N158" s="14">
        <v>45</v>
      </c>
      <c r="O158" s="14">
        <v>-6.9</v>
      </c>
      <c r="P158" s="14">
        <v>-0.18</v>
      </c>
      <c r="Q158" s="15">
        <v>14342</v>
      </c>
      <c r="R158" s="16" t="s">
        <v>1275</v>
      </c>
      <c r="S158" s="16" t="s">
        <v>1276</v>
      </c>
      <c r="T158" s="17"/>
    </row>
    <row r="159" spans="1:20" ht="12.3">
      <c r="A159" s="12">
        <v>9</v>
      </c>
      <c r="B159" s="13" t="s">
        <v>1277</v>
      </c>
      <c r="C159" s="14">
        <v>2018</v>
      </c>
      <c r="D159" s="14">
        <v>38</v>
      </c>
      <c r="E159" s="14">
        <v>15</v>
      </c>
      <c r="F159" s="14">
        <v>8</v>
      </c>
      <c r="G159" s="14">
        <v>15</v>
      </c>
      <c r="H159" s="14">
        <v>57</v>
      </c>
      <c r="I159" s="14">
        <v>58</v>
      </c>
      <c r="J159" s="14">
        <v>-1</v>
      </c>
      <c r="K159" s="14">
        <v>53</v>
      </c>
      <c r="L159" s="14">
        <v>1.39</v>
      </c>
      <c r="M159" s="14">
        <v>50</v>
      </c>
      <c r="N159" s="14">
        <v>56.5</v>
      </c>
      <c r="O159" s="14">
        <v>-6.5</v>
      </c>
      <c r="P159" s="14">
        <v>-0.17</v>
      </c>
      <c r="Q159" s="15">
        <v>13994</v>
      </c>
      <c r="R159" s="16" t="s">
        <v>1278</v>
      </c>
      <c r="S159" s="16" t="s">
        <v>1279</v>
      </c>
      <c r="T159" s="17"/>
    </row>
    <row r="160" spans="1:20" ht="12.3">
      <c r="A160" s="12">
        <v>10</v>
      </c>
      <c r="B160" s="13" t="s">
        <v>1280</v>
      </c>
      <c r="C160" s="14">
        <v>2018</v>
      </c>
      <c r="D160" s="14">
        <v>38</v>
      </c>
      <c r="E160" s="14">
        <v>13</v>
      </c>
      <c r="F160" s="14">
        <v>13</v>
      </c>
      <c r="G160" s="14">
        <v>12</v>
      </c>
      <c r="H160" s="14">
        <v>55</v>
      </c>
      <c r="I160" s="14">
        <v>52</v>
      </c>
      <c r="J160" s="14">
        <f>3</f>
        <v>3</v>
      </c>
      <c r="K160" s="14">
        <v>52</v>
      </c>
      <c r="L160" s="14">
        <v>1.37</v>
      </c>
      <c r="M160" s="14">
        <v>55.6</v>
      </c>
      <c r="N160" s="14">
        <v>47.6</v>
      </c>
      <c r="O160" s="14">
        <f>8</f>
        <v>8</v>
      </c>
      <c r="P160" s="14">
        <f>0.21</f>
        <v>0.21</v>
      </c>
      <c r="Q160" s="15">
        <v>23675</v>
      </c>
      <c r="R160" s="16" t="s">
        <v>1281</v>
      </c>
      <c r="S160" s="16" t="s">
        <v>1282</v>
      </c>
      <c r="T160" s="17" t="s">
        <v>1283</v>
      </c>
    </row>
    <row r="161" spans="1:20" ht="12.3">
      <c r="A161" s="12">
        <v>11</v>
      </c>
      <c r="B161" s="13" t="s">
        <v>1284</v>
      </c>
      <c r="C161" s="14">
        <v>2018</v>
      </c>
      <c r="D161" s="14">
        <v>38</v>
      </c>
      <c r="E161" s="14">
        <v>11</v>
      </c>
      <c r="F161" s="14">
        <v>16</v>
      </c>
      <c r="G161" s="14">
        <v>11</v>
      </c>
      <c r="H161" s="14">
        <v>58</v>
      </c>
      <c r="I161" s="14">
        <v>48</v>
      </c>
      <c r="J161" s="14">
        <f>10</f>
        <v>10</v>
      </c>
      <c r="K161" s="14">
        <v>49</v>
      </c>
      <c r="L161" s="14">
        <v>1.29</v>
      </c>
      <c r="M161" s="14">
        <v>41.3</v>
      </c>
      <c r="N161" s="14">
        <v>51.2</v>
      </c>
      <c r="O161" s="14">
        <v>-9.9</v>
      </c>
      <c r="P161" s="14">
        <v>-0.26</v>
      </c>
      <c r="Q161" s="15">
        <v>25216</v>
      </c>
      <c r="R161" s="16" t="s">
        <v>1285</v>
      </c>
      <c r="S161" s="16" t="s">
        <v>1286</v>
      </c>
      <c r="T161" s="17" t="s">
        <v>1287</v>
      </c>
    </row>
    <row r="162" spans="1:20" ht="12.3">
      <c r="A162" s="12">
        <v>12</v>
      </c>
      <c r="B162" s="13" t="s">
        <v>1288</v>
      </c>
      <c r="C162" s="14">
        <v>2018</v>
      </c>
      <c r="D162" s="14">
        <v>38</v>
      </c>
      <c r="E162" s="14">
        <v>13</v>
      </c>
      <c r="F162" s="14">
        <v>9</v>
      </c>
      <c r="G162" s="14">
        <v>16</v>
      </c>
      <c r="H162" s="14">
        <v>48</v>
      </c>
      <c r="I162" s="14">
        <v>48</v>
      </c>
      <c r="J162" s="14">
        <v>0</v>
      </c>
      <c r="K162" s="14">
        <v>48</v>
      </c>
      <c r="L162" s="14">
        <v>1.26</v>
      </c>
      <c r="M162" s="14">
        <v>49.1</v>
      </c>
      <c r="N162" s="14">
        <v>47</v>
      </c>
      <c r="O162" s="14">
        <f>2.1</f>
        <v>2.1</v>
      </c>
      <c r="P162" s="14">
        <f>0.05</f>
        <v>0.05</v>
      </c>
      <c r="Q162" s="15">
        <v>25185</v>
      </c>
      <c r="R162" s="16" t="s">
        <v>1289</v>
      </c>
      <c r="S162" s="16" t="s">
        <v>1290</v>
      </c>
      <c r="T162" s="17"/>
    </row>
    <row r="163" spans="1:20" ht="12.3">
      <c r="A163" s="12">
        <v>13</v>
      </c>
      <c r="B163" s="13" t="s">
        <v>1291</v>
      </c>
      <c r="C163" s="14">
        <v>2018</v>
      </c>
      <c r="D163" s="14">
        <v>38</v>
      </c>
      <c r="E163" s="14">
        <v>10</v>
      </c>
      <c r="F163" s="14">
        <v>16</v>
      </c>
      <c r="G163" s="14">
        <v>12</v>
      </c>
      <c r="H163" s="14">
        <v>44</v>
      </c>
      <c r="I163" s="14">
        <v>49</v>
      </c>
      <c r="J163" s="14">
        <v>-5</v>
      </c>
      <c r="K163" s="14">
        <v>46</v>
      </c>
      <c r="L163" s="14">
        <v>1.21</v>
      </c>
      <c r="M163" s="14">
        <v>50.7</v>
      </c>
      <c r="N163" s="14">
        <v>47.9</v>
      </c>
      <c r="O163" s="14">
        <f>2.8</f>
        <v>2.8</v>
      </c>
      <c r="P163" s="14">
        <f>0.07</f>
        <v>7.0000000000000007E-2</v>
      </c>
      <c r="Q163" s="15">
        <v>11189</v>
      </c>
      <c r="R163" s="16" t="s">
        <v>1292</v>
      </c>
      <c r="S163" s="16" t="s">
        <v>1293</v>
      </c>
      <c r="T163" s="17"/>
    </row>
    <row r="164" spans="1:20" ht="12.3">
      <c r="A164" s="12">
        <v>14</v>
      </c>
      <c r="B164" s="13" t="s">
        <v>1294</v>
      </c>
      <c r="C164" s="14">
        <v>2018</v>
      </c>
      <c r="D164" s="14">
        <v>38</v>
      </c>
      <c r="E164" s="14">
        <v>10</v>
      </c>
      <c r="F164" s="14">
        <v>11</v>
      </c>
      <c r="G164" s="14">
        <v>17</v>
      </c>
      <c r="H164" s="14">
        <v>34</v>
      </c>
      <c r="I164" s="14">
        <v>42</v>
      </c>
      <c r="J164" s="14">
        <v>-8</v>
      </c>
      <c r="K164" s="14">
        <v>41</v>
      </c>
      <c r="L164" s="14">
        <v>1.08</v>
      </c>
      <c r="M164" s="14">
        <v>39.700000000000003</v>
      </c>
      <c r="N164" s="14">
        <v>53.5</v>
      </c>
      <c r="O164" s="14">
        <v>-13.7</v>
      </c>
      <c r="P164" s="14">
        <v>-0.36</v>
      </c>
      <c r="Q164" s="15">
        <v>20838</v>
      </c>
      <c r="R164" s="16" t="s">
        <v>1295</v>
      </c>
      <c r="S164" s="16" t="s">
        <v>1296</v>
      </c>
      <c r="T164" s="17"/>
    </row>
    <row r="165" spans="1:20" ht="12.3">
      <c r="A165" s="12">
        <v>15</v>
      </c>
      <c r="B165" s="13" t="s">
        <v>1297</v>
      </c>
      <c r="C165" s="14">
        <v>2018</v>
      </c>
      <c r="D165" s="14">
        <v>38</v>
      </c>
      <c r="E165" s="14">
        <v>9</v>
      </c>
      <c r="F165" s="14">
        <v>11</v>
      </c>
      <c r="G165" s="14">
        <v>18</v>
      </c>
      <c r="H165" s="14">
        <v>31</v>
      </c>
      <c r="I165" s="14">
        <v>52</v>
      </c>
      <c r="J165" s="14">
        <v>-21</v>
      </c>
      <c r="K165" s="14">
        <v>38</v>
      </c>
      <c r="L165" s="14">
        <v>1</v>
      </c>
      <c r="M165" s="14">
        <v>35.4</v>
      </c>
      <c r="N165" s="14">
        <v>49.8</v>
      </c>
      <c r="O165" s="14">
        <v>-14.5</v>
      </c>
      <c r="P165" s="14">
        <v>-0.38</v>
      </c>
      <c r="Q165" s="15">
        <v>11043</v>
      </c>
      <c r="R165" s="16" t="s">
        <v>1298</v>
      </c>
      <c r="S165" s="16" t="s">
        <v>1299</v>
      </c>
      <c r="T165" s="17"/>
    </row>
    <row r="166" spans="1:20" ht="12.3">
      <c r="A166" s="12">
        <v>16</v>
      </c>
      <c r="B166" s="13" t="s">
        <v>1300</v>
      </c>
      <c r="C166" s="14">
        <v>2018</v>
      </c>
      <c r="D166" s="14">
        <v>38</v>
      </c>
      <c r="E166" s="14">
        <v>8</v>
      </c>
      <c r="F166" s="14">
        <v>14</v>
      </c>
      <c r="G166" s="14">
        <v>16</v>
      </c>
      <c r="H166" s="14">
        <v>35</v>
      </c>
      <c r="I166" s="14">
        <v>57</v>
      </c>
      <c r="J166" s="14">
        <v>-22</v>
      </c>
      <c r="K166" s="14">
        <v>38</v>
      </c>
      <c r="L166" s="14">
        <v>1</v>
      </c>
      <c r="M166" s="14">
        <v>45.7</v>
      </c>
      <c r="N166" s="14">
        <v>56.4</v>
      </c>
      <c r="O166" s="14">
        <v>-10.7</v>
      </c>
      <c r="P166" s="14">
        <v>-0.28000000000000003</v>
      </c>
      <c r="Q166" s="15">
        <v>16224</v>
      </c>
      <c r="R166" s="16" t="s">
        <v>1301</v>
      </c>
      <c r="S166" s="16" t="s">
        <v>1302</v>
      </c>
      <c r="T166" s="17"/>
    </row>
    <row r="167" spans="1:20" ht="12.3">
      <c r="A167" s="12">
        <v>17</v>
      </c>
      <c r="B167" s="13" t="s">
        <v>1303</v>
      </c>
      <c r="C167" s="14">
        <v>2018</v>
      </c>
      <c r="D167" s="14">
        <v>38</v>
      </c>
      <c r="E167" s="14">
        <v>8</v>
      </c>
      <c r="F167" s="14">
        <v>12</v>
      </c>
      <c r="G167" s="14">
        <v>18</v>
      </c>
      <c r="H167" s="14">
        <v>38</v>
      </c>
      <c r="I167" s="14">
        <v>57</v>
      </c>
      <c r="J167" s="14">
        <v>-19</v>
      </c>
      <c r="K167" s="14">
        <v>36</v>
      </c>
      <c r="L167" s="14">
        <v>0.95</v>
      </c>
      <c r="M167" s="14">
        <v>47.4</v>
      </c>
      <c r="N167" s="14">
        <v>50.2</v>
      </c>
      <c r="O167" s="14">
        <v>-2.8</v>
      </c>
      <c r="P167" s="14">
        <v>-7.0000000000000007E-2</v>
      </c>
      <c r="Q167" s="15">
        <v>8447</v>
      </c>
      <c r="R167" s="16" t="s">
        <v>1304</v>
      </c>
      <c r="S167" s="16" t="s">
        <v>1305</v>
      </c>
      <c r="T167" s="17"/>
    </row>
    <row r="168" spans="1:20" ht="12.3">
      <c r="A168" s="18">
        <v>18</v>
      </c>
      <c r="B168" s="13" t="s">
        <v>1306</v>
      </c>
      <c r="C168" s="14">
        <v>2018</v>
      </c>
      <c r="D168" s="14">
        <v>38</v>
      </c>
      <c r="E168" s="14">
        <v>9</v>
      </c>
      <c r="F168" s="14">
        <v>7</v>
      </c>
      <c r="G168" s="14">
        <v>22</v>
      </c>
      <c r="H168" s="14">
        <v>31</v>
      </c>
      <c r="I168" s="14">
        <v>60</v>
      </c>
      <c r="J168" s="14">
        <v>-29</v>
      </c>
      <c r="K168" s="14">
        <v>34</v>
      </c>
      <c r="L168" s="14">
        <v>0.89</v>
      </c>
      <c r="M168" s="14">
        <v>39.799999999999997</v>
      </c>
      <c r="N168" s="14">
        <v>58.2</v>
      </c>
      <c r="O168" s="14">
        <v>-18.5</v>
      </c>
      <c r="P168" s="14">
        <v>-0.49</v>
      </c>
      <c r="Q168" s="15">
        <v>13044</v>
      </c>
      <c r="R168" s="16" t="s">
        <v>1307</v>
      </c>
      <c r="S168" s="16" t="s">
        <v>1308</v>
      </c>
      <c r="T168" s="17" t="s">
        <v>890</v>
      </c>
    </row>
    <row r="169" spans="1:20" ht="12.3">
      <c r="A169" s="18">
        <v>19</v>
      </c>
      <c r="B169" s="13" t="s">
        <v>1309</v>
      </c>
      <c r="C169" s="14">
        <v>2018</v>
      </c>
      <c r="D169" s="14">
        <v>38</v>
      </c>
      <c r="E169" s="14">
        <v>7</v>
      </c>
      <c r="F169" s="14">
        <v>12</v>
      </c>
      <c r="G169" s="14">
        <v>19</v>
      </c>
      <c r="H169" s="14">
        <v>29</v>
      </c>
      <c r="I169" s="14">
        <v>54</v>
      </c>
      <c r="J169" s="14">
        <v>-25</v>
      </c>
      <c r="K169" s="14">
        <v>33</v>
      </c>
      <c r="L169" s="14">
        <v>0.87</v>
      </c>
      <c r="M169" s="14">
        <v>31</v>
      </c>
      <c r="N169" s="14">
        <v>63.8</v>
      </c>
      <c r="O169" s="14">
        <v>-32.799999999999997</v>
      </c>
      <c r="P169" s="14">
        <v>-0.86</v>
      </c>
      <c r="Q169" s="15">
        <v>16654</v>
      </c>
      <c r="R169" s="16" t="s">
        <v>1310</v>
      </c>
      <c r="S169" s="16" t="s">
        <v>1311</v>
      </c>
      <c r="T169" s="17" t="s">
        <v>894</v>
      </c>
    </row>
    <row r="170" spans="1:20" ht="12.3">
      <c r="A170" s="19">
        <v>20</v>
      </c>
      <c r="B170" s="20" t="s">
        <v>1312</v>
      </c>
      <c r="C170" s="14">
        <v>2018</v>
      </c>
      <c r="D170" s="21">
        <v>38</v>
      </c>
      <c r="E170" s="21">
        <v>5</v>
      </c>
      <c r="F170" s="21">
        <v>12</v>
      </c>
      <c r="G170" s="21">
        <v>21</v>
      </c>
      <c r="H170" s="21">
        <v>28</v>
      </c>
      <c r="I170" s="21">
        <v>68</v>
      </c>
      <c r="J170" s="21">
        <v>-40</v>
      </c>
      <c r="K170" s="21">
        <v>27</v>
      </c>
      <c r="L170" s="21">
        <v>0.71</v>
      </c>
      <c r="M170" s="21">
        <v>40.4</v>
      </c>
      <c r="N170" s="21">
        <v>53.4</v>
      </c>
      <c r="O170" s="21">
        <v>-12.9</v>
      </c>
      <c r="P170" s="21">
        <v>-0.34</v>
      </c>
      <c r="Q170" s="22">
        <v>14731</v>
      </c>
      <c r="R170" s="23" t="s">
        <v>1313</v>
      </c>
      <c r="S170" s="23" t="s">
        <v>1314</v>
      </c>
      <c r="T170" s="24" t="s">
        <v>1315</v>
      </c>
    </row>
    <row r="171" spans="1:20" ht="12.3">
      <c r="A171" s="9">
        <v>2017</v>
      </c>
    </row>
    <row r="172" spans="1:20" ht="12.3">
      <c r="A172" s="10" t="s">
        <v>820</v>
      </c>
      <c r="B172" s="11" t="s">
        <v>821</v>
      </c>
      <c r="C172" s="11" t="s">
        <v>2</v>
      </c>
      <c r="D172" s="11" t="s">
        <v>822</v>
      </c>
      <c r="E172" s="11" t="s">
        <v>823</v>
      </c>
      <c r="F172" s="11" t="s">
        <v>824</v>
      </c>
      <c r="G172" s="11" t="s">
        <v>825</v>
      </c>
      <c r="H172" s="11" t="s">
        <v>826</v>
      </c>
      <c r="I172" s="11" t="s">
        <v>827</v>
      </c>
      <c r="J172" s="11" t="s">
        <v>828</v>
      </c>
      <c r="K172" s="11" t="s">
        <v>829</v>
      </c>
      <c r="L172" s="11" t="s">
        <v>830</v>
      </c>
      <c r="M172" s="11" t="s">
        <v>831</v>
      </c>
      <c r="N172" s="11" t="s">
        <v>832</v>
      </c>
      <c r="O172" s="11" t="s">
        <v>833</v>
      </c>
      <c r="P172" s="11" t="s">
        <v>834</v>
      </c>
      <c r="Q172" s="11" t="s">
        <v>835</v>
      </c>
      <c r="R172" s="11" t="s">
        <v>836</v>
      </c>
      <c r="S172" s="11" t="s">
        <v>837</v>
      </c>
      <c r="T172" s="11" t="s">
        <v>838</v>
      </c>
    </row>
    <row r="173" spans="1:20" ht="12.3">
      <c r="A173" s="12">
        <v>1</v>
      </c>
      <c r="B173" s="13" t="s">
        <v>1316</v>
      </c>
      <c r="C173" s="14">
        <v>2017</v>
      </c>
      <c r="D173" s="14">
        <v>38</v>
      </c>
      <c r="E173" s="14">
        <v>29</v>
      </c>
      <c r="F173" s="14">
        <v>6</v>
      </c>
      <c r="G173" s="14">
        <v>3</v>
      </c>
      <c r="H173" s="14">
        <v>108</v>
      </c>
      <c r="I173" s="14">
        <v>29</v>
      </c>
      <c r="J173" s="14">
        <f>79</f>
        <v>79</v>
      </c>
      <c r="K173" s="14">
        <v>93</v>
      </c>
      <c r="L173" s="14">
        <v>2.4500000000000002</v>
      </c>
      <c r="M173" s="14">
        <v>86.1</v>
      </c>
      <c r="N173" s="14">
        <v>34.299999999999997</v>
      </c>
      <c r="O173" s="14">
        <f>51.7</f>
        <v>51.7</v>
      </c>
      <c r="P173" s="14">
        <f>1.36</f>
        <v>1.36</v>
      </c>
      <c r="Q173" s="15">
        <v>46930</v>
      </c>
      <c r="R173" s="16" t="s">
        <v>1317</v>
      </c>
      <c r="S173" s="16" t="s">
        <v>1318</v>
      </c>
      <c r="T173" s="17" t="s">
        <v>842</v>
      </c>
    </row>
    <row r="174" spans="1:20" ht="12.3">
      <c r="A174" s="12">
        <v>2</v>
      </c>
      <c r="B174" s="13" t="s">
        <v>1319</v>
      </c>
      <c r="C174" s="14">
        <v>2017</v>
      </c>
      <c r="D174" s="14">
        <v>38</v>
      </c>
      <c r="E174" s="14">
        <v>24</v>
      </c>
      <c r="F174" s="14">
        <v>8</v>
      </c>
      <c r="G174" s="14">
        <v>6</v>
      </c>
      <c r="H174" s="14">
        <v>85</v>
      </c>
      <c r="I174" s="14">
        <v>45</v>
      </c>
      <c r="J174" s="14">
        <f>40</f>
        <v>40</v>
      </c>
      <c r="K174" s="14">
        <v>80</v>
      </c>
      <c r="L174" s="14">
        <v>2.11</v>
      </c>
      <c r="M174" s="14">
        <v>62.3</v>
      </c>
      <c r="N174" s="14">
        <v>48.5</v>
      </c>
      <c r="O174" s="14">
        <f>13.8</f>
        <v>13.8</v>
      </c>
      <c r="P174" s="14">
        <f>0.36</f>
        <v>0.36</v>
      </c>
      <c r="Q174" s="15">
        <v>9243</v>
      </c>
      <c r="R174" s="16" t="s">
        <v>1320</v>
      </c>
      <c r="S174" s="16" t="s">
        <v>1321</v>
      </c>
      <c r="T174" s="17" t="s">
        <v>842</v>
      </c>
    </row>
    <row r="175" spans="1:20" ht="12.3">
      <c r="A175" s="12">
        <v>3</v>
      </c>
      <c r="B175" s="13" t="s">
        <v>1322</v>
      </c>
      <c r="C175" s="14">
        <v>2017</v>
      </c>
      <c r="D175" s="14">
        <v>38</v>
      </c>
      <c r="E175" s="14">
        <v>23</v>
      </c>
      <c r="F175" s="14">
        <v>9</v>
      </c>
      <c r="G175" s="14">
        <v>6</v>
      </c>
      <c r="H175" s="14">
        <v>87</v>
      </c>
      <c r="I175" s="14">
        <v>43</v>
      </c>
      <c r="J175" s="14">
        <f>44</f>
        <v>44</v>
      </c>
      <c r="K175" s="14">
        <v>78</v>
      </c>
      <c r="L175" s="14">
        <v>2.0499999999999998</v>
      </c>
      <c r="M175" s="14">
        <v>63.4</v>
      </c>
      <c r="N175" s="14">
        <v>40.1</v>
      </c>
      <c r="O175" s="14">
        <f>23.3</f>
        <v>23.3</v>
      </c>
      <c r="P175" s="14">
        <f>0.61</f>
        <v>0.61</v>
      </c>
      <c r="Q175" s="15">
        <v>44047</v>
      </c>
      <c r="R175" s="16" t="s">
        <v>1323</v>
      </c>
      <c r="S175" s="16" t="s">
        <v>1324</v>
      </c>
      <c r="T175" s="17" t="s">
        <v>842</v>
      </c>
    </row>
    <row r="176" spans="1:20" ht="12.3">
      <c r="A176" s="12">
        <v>4</v>
      </c>
      <c r="B176" s="13" t="s">
        <v>1325</v>
      </c>
      <c r="C176" s="14">
        <v>2017</v>
      </c>
      <c r="D176" s="14">
        <v>38</v>
      </c>
      <c r="E176" s="14">
        <v>22</v>
      </c>
      <c r="F176" s="14">
        <v>11</v>
      </c>
      <c r="G176" s="14">
        <v>5</v>
      </c>
      <c r="H176" s="14">
        <v>80</v>
      </c>
      <c r="I176" s="14">
        <v>47</v>
      </c>
      <c r="J176" s="14">
        <f>33</f>
        <v>33</v>
      </c>
      <c r="K176" s="14">
        <v>77</v>
      </c>
      <c r="L176" s="14">
        <v>2.0299999999999998</v>
      </c>
      <c r="M176" s="14">
        <v>78.099999999999994</v>
      </c>
      <c r="N176" s="14">
        <v>41.8</v>
      </c>
      <c r="O176" s="14">
        <f>36.3</f>
        <v>36.299999999999997</v>
      </c>
      <c r="P176" s="14">
        <f>0.96</f>
        <v>0.96</v>
      </c>
      <c r="Q176" s="15">
        <v>46616</v>
      </c>
      <c r="R176" s="16" t="s">
        <v>1326</v>
      </c>
      <c r="S176" s="16" t="s">
        <v>1327</v>
      </c>
      <c r="T176" s="17" t="s">
        <v>855</v>
      </c>
    </row>
    <row r="177" spans="1:20" ht="12.3">
      <c r="A177" s="12">
        <v>5</v>
      </c>
      <c r="B177" s="13" t="s">
        <v>1328</v>
      </c>
      <c r="C177" s="14">
        <v>2017</v>
      </c>
      <c r="D177" s="14">
        <v>38</v>
      </c>
      <c r="E177" s="14">
        <v>16</v>
      </c>
      <c r="F177" s="14">
        <v>10</v>
      </c>
      <c r="G177" s="14">
        <v>12</v>
      </c>
      <c r="H177" s="14">
        <v>50</v>
      </c>
      <c r="I177" s="14">
        <v>44</v>
      </c>
      <c r="J177" s="14">
        <f>6</f>
        <v>6</v>
      </c>
      <c r="K177" s="14">
        <v>58</v>
      </c>
      <c r="L177" s="14">
        <v>1.53</v>
      </c>
      <c r="M177" s="14">
        <v>49.8</v>
      </c>
      <c r="N177" s="14">
        <v>49.3</v>
      </c>
      <c r="O177" s="14">
        <f>0.5</f>
        <v>0.5</v>
      </c>
      <c r="P177" s="14">
        <f>0.01</f>
        <v>0.01</v>
      </c>
      <c r="Q177" s="15">
        <v>23111</v>
      </c>
      <c r="R177" s="16" t="s">
        <v>1329</v>
      </c>
      <c r="S177" s="16" t="s">
        <v>1330</v>
      </c>
      <c r="T177" s="17" t="s">
        <v>1146</v>
      </c>
    </row>
    <row r="178" spans="1:20" ht="12.3">
      <c r="A178" s="12">
        <v>6</v>
      </c>
      <c r="B178" s="13" t="s">
        <v>1331</v>
      </c>
      <c r="C178" s="14">
        <v>2017</v>
      </c>
      <c r="D178" s="14">
        <v>38</v>
      </c>
      <c r="E178" s="14">
        <v>16</v>
      </c>
      <c r="F178" s="14">
        <v>7</v>
      </c>
      <c r="G178" s="14">
        <v>15</v>
      </c>
      <c r="H178" s="14">
        <v>53</v>
      </c>
      <c r="I178" s="14">
        <v>48</v>
      </c>
      <c r="J178" s="14">
        <f>5</f>
        <v>5</v>
      </c>
      <c r="K178" s="14">
        <v>55</v>
      </c>
      <c r="L178" s="14">
        <v>1.45</v>
      </c>
      <c r="M178" s="14">
        <v>51</v>
      </c>
      <c r="N178" s="14">
        <v>43.6</v>
      </c>
      <c r="O178" s="14">
        <f>7.5</f>
        <v>7.5</v>
      </c>
      <c r="P178" s="14">
        <f>0.2</f>
        <v>0.2</v>
      </c>
      <c r="Q178" s="15">
        <v>26048</v>
      </c>
      <c r="R178" s="16" t="s">
        <v>1332</v>
      </c>
      <c r="S178" s="16" t="s">
        <v>1333</v>
      </c>
      <c r="T178" s="17" t="s">
        <v>1334</v>
      </c>
    </row>
    <row r="179" spans="1:20" ht="12.3">
      <c r="A179" s="12">
        <v>7</v>
      </c>
      <c r="B179" s="13" t="s">
        <v>1335</v>
      </c>
      <c r="C179" s="14">
        <v>2017</v>
      </c>
      <c r="D179" s="14">
        <v>38</v>
      </c>
      <c r="E179" s="14">
        <v>15</v>
      </c>
      <c r="F179" s="14">
        <v>10</v>
      </c>
      <c r="G179" s="14">
        <v>13</v>
      </c>
      <c r="H179" s="14">
        <v>47</v>
      </c>
      <c r="I179" s="14">
        <v>50</v>
      </c>
      <c r="J179" s="14">
        <v>-3</v>
      </c>
      <c r="K179" s="14">
        <v>55</v>
      </c>
      <c r="L179" s="14">
        <v>1.45</v>
      </c>
      <c r="M179" s="14">
        <v>51</v>
      </c>
      <c r="N179" s="14">
        <v>54.1</v>
      </c>
      <c r="O179" s="14">
        <v>-3.1</v>
      </c>
      <c r="P179" s="14">
        <v>-0.08</v>
      </c>
      <c r="Q179" s="15">
        <v>27563</v>
      </c>
      <c r="R179" s="16" t="s">
        <v>1336</v>
      </c>
      <c r="S179" s="16" t="s">
        <v>1337</v>
      </c>
      <c r="T179" s="17"/>
    </row>
    <row r="180" spans="1:20" ht="12.3">
      <c r="A180" s="12">
        <v>8</v>
      </c>
      <c r="B180" s="13" t="s">
        <v>1338</v>
      </c>
      <c r="C180" s="14">
        <v>2017</v>
      </c>
      <c r="D180" s="14">
        <v>38</v>
      </c>
      <c r="E180" s="14">
        <v>15</v>
      </c>
      <c r="F180" s="14">
        <v>9</v>
      </c>
      <c r="G180" s="14">
        <v>14</v>
      </c>
      <c r="H180" s="14">
        <v>53</v>
      </c>
      <c r="I180" s="14">
        <v>52</v>
      </c>
      <c r="J180" s="14">
        <f>1</f>
        <v>1</v>
      </c>
      <c r="K180" s="14">
        <v>54</v>
      </c>
      <c r="L180" s="14">
        <v>1.42</v>
      </c>
      <c r="M180" s="14">
        <v>49.2</v>
      </c>
      <c r="N180" s="14">
        <v>49.5</v>
      </c>
      <c r="O180" s="14">
        <v>-0.3</v>
      </c>
      <c r="P180" s="14">
        <v>-0.01</v>
      </c>
      <c r="Q180" s="15">
        <v>22876</v>
      </c>
      <c r="R180" s="16" t="s">
        <v>1339</v>
      </c>
      <c r="S180" s="16" t="s">
        <v>1340</v>
      </c>
      <c r="T180" s="17"/>
    </row>
    <row r="181" spans="1:20" ht="12.3">
      <c r="A181" s="12">
        <v>9</v>
      </c>
      <c r="B181" s="13" t="s">
        <v>1341</v>
      </c>
      <c r="C181" s="14">
        <v>2017</v>
      </c>
      <c r="D181" s="14">
        <v>38</v>
      </c>
      <c r="E181" s="14">
        <v>14</v>
      </c>
      <c r="F181" s="14">
        <v>10</v>
      </c>
      <c r="G181" s="14">
        <v>14</v>
      </c>
      <c r="H181" s="14">
        <v>36</v>
      </c>
      <c r="I181" s="14">
        <v>41</v>
      </c>
      <c r="J181" s="14">
        <v>-5</v>
      </c>
      <c r="K181" s="14">
        <v>52</v>
      </c>
      <c r="L181" s="14">
        <v>1.37</v>
      </c>
      <c r="M181" s="14">
        <v>41.8</v>
      </c>
      <c r="N181" s="14">
        <v>38.1</v>
      </c>
      <c r="O181" s="14">
        <f>3.7</f>
        <v>3.7</v>
      </c>
      <c r="P181" s="14">
        <f t="shared" ref="P181:P182" si="1">0.1</f>
        <v>0.1</v>
      </c>
      <c r="Q181" s="15">
        <v>24559</v>
      </c>
      <c r="R181" s="16" t="s">
        <v>1342</v>
      </c>
      <c r="S181" s="16" t="s">
        <v>1343</v>
      </c>
      <c r="T181" s="17"/>
    </row>
    <row r="182" spans="1:20" ht="12.3">
      <c r="A182" s="12">
        <v>10</v>
      </c>
      <c r="B182" s="13" t="s">
        <v>1344</v>
      </c>
      <c r="C182" s="14">
        <v>2017</v>
      </c>
      <c r="D182" s="14">
        <v>38</v>
      </c>
      <c r="E182" s="14">
        <v>11</v>
      </c>
      <c r="F182" s="14">
        <v>18</v>
      </c>
      <c r="G182" s="14">
        <v>9</v>
      </c>
      <c r="H182" s="14">
        <v>36</v>
      </c>
      <c r="I182" s="14">
        <v>33</v>
      </c>
      <c r="J182" s="14">
        <f>3</f>
        <v>3</v>
      </c>
      <c r="K182" s="14">
        <v>51</v>
      </c>
      <c r="L182" s="14">
        <v>1.34</v>
      </c>
      <c r="M182" s="14">
        <v>42.6</v>
      </c>
      <c r="N182" s="14">
        <v>39</v>
      </c>
      <c r="O182" s="14">
        <f>3.6</f>
        <v>3.6</v>
      </c>
      <c r="P182" s="14">
        <f t="shared" si="1"/>
        <v>0.1</v>
      </c>
      <c r="Q182" s="15">
        <v>13458</v>
      </c>
      <c r="R182" s="16" t="s">
        <v>1345</v>
      </c>
      <c r="S182" s="16" t="s">
        <v>1346</v>
      </c>
      <c r="T182" s="17"/>
    </row>
    <row r="183" spans="1:20" ht="12.3">
      <c r="A183" s="12">
        <v>11</v>
      </c>
      <c r="B183" s="13" t="s">
        <v>1347</v>
      </c>
      <c r="C183" s="14">
        <v>2017</v>
      </c>
      <c r="D183" s="14">
        <v>38</v>
      </c>
      <c r="E183" s="14">
        <v>13</v>
      </c>
      <c r="F183" s="14">
        <v>9</v>
      </c>
      <c r="G183" s="14">
        <v>16</v>
      </c>
      <c r="H183" s="14">
        <v>55</v>
      </c>
      <c r="I183" s="14">
        <v>73</v>
      </c>
      <c r="J183" s="14">
        <v>-18</v>
      </c>
      <c r="K183" s="14">
        <v>48</v>
      </c>
      <c r="L183" s="14">
        <v>1.26</v>
      </c>
      <c r="M183" s="14">
        <v>41.6</v>
      </c>
      <c r="N183" s="14">
        <v>63.8</v>
      </c>
      <c r="O183" s="14">
        <v>-22.2</v>
      </c>
      <c r="P183" s="14">
        <v>-0.57999999999999996</v>
      </c>
      <c r="Q183" s="15">
        <v>12228</v>
      </c>
      <c r="R183" s="16" t="s">
        <v>1348</v>
      </c>
      <c r="S183" s="16" t="s">
        <v>1349</v>
      </c>
      <c r="T183" s="17"/>
    </row>
    <row r="184" spans="1:20" ht="12.3">
      <c r="A184" s="12">
        <v>12</v>
      </c>
      <c r="B184" s="13" t="s">
        <v>1350</v>
      </c>
      <c r="C184" s="14">
        <v>2017</v>
      </c>
      <c r="D184" s="14">
        <v>38</v>
      </c>
      <c r="E184" s="14">
        <v>12</v>
      </c>
      <c r="F184" s="14">
        <v>11</v>
      </c>
      <c r="G184" s="14">
        <v>15</v>
      </c>
      <c r="H184" s="14">
        <v>48</v>
      </c>
      <c r="I184" s="14">
        <v>59</v>
      </c>
      <c r="J184" s="14">
        <v>-11</v>
      </c>
      <c r="K184" s="14">
        <v>47</v>
      </c>
      <c r="L184" s="14">
        <v>1.24</v>
      </c>
      <c r="M184" s="14">
        <v>45.5</v>
      </c>
      <c r="N184" s="14">
        <v>49</v>
      </c>
      <c r="O184" s="14">
        <v>-3.5</v>
      </c>
      <c r="P184" s="14">
        <v>-0.09</v>
      </c>
      <c r="Q184" s="15">
        <v>14502</v>
      </c>
      <c r="R184" s="16" t="s">
        <v>1351</v>
      </c>
      <c r="S184" s="16" t="s">
        <v>1352</v>
      </c>
      <c r="T184" s="17"/>
    </row>
    <row r="185" spans="1:20" ht="12.3">
      <c r="A185" s="12">
        <v>13</v>
      </c>
      <c r="B185" s="13" t="s">
        <v>1353</v>
      </c>
      <c r="C185" s="14">
        <v>2017</v>
      </c>
      <c r="D185" s="14">
        <v>38</v>
      </c>
      <c r="E185" s="14">
        <v>12</v>
      </c>
      <c r="F185" s="14">
        <v>9</v>
      </c>
      <c r="G185" s="14">
        <v>17</v>
      </c>
      <c r="H185" s="14">
        <v>37</v>
      </c>
      <c r="I185" s="14">
        <v>42</v>
      </c>
      <c r="J185" s="14">
        <v>-5</v>
      </c>
      <c r="K185" s="14">
        <v>45</v>
      </c>
      <c r="L185" s="14">
        <v>1.18</v>
      </c>
      <c r="M185" s="14">
        <v>32.799999999999997</v>
      </c>
      <c r="N185" s="14">
        <v>54.9</v>
      </c>
      <c r="O185" s="14">
        <v>-22.1</v>
      </c>
      <c r="P185" s="14">
        <v>-0.57999999999999996</v>
      </c>
      <c r="Q185" s="15">
        <v>9521</v>
      </c>
      <c r="R185" s="16" t="s">
        <v>1354</v>
      </c>
      <c r="S185" s="16" t="s">
        <v>1355</v>
      </c>
      <c r="T185" s="17"/>
    </row>
    <row r="186" spans="1:20" ht="12.3">
      <c r="A186" s="12">
        <v>14</v>
      </c>
      <c r="B186" s="13" t="s">
        <v>1356</v>
      </c>
      <c r="C186" s="14">
        <v>2017</v>
      </c>
      <c r="D186" s="14">
        <v>38</v>
      </c>
      <c r="E186" s="14">
        <v>9</v>
      </c>
      <c r="F186" s="14">
        <v>14</v>
      </c>
      <c r="G186" s="14">
        <v>15</v>
      </c>
      <c r="H186" s="14">
        <v>42</v>
      </c>
      <c r="I186" s="14">
        <v>52</v>
      </c>
      <c r="J186" s="14">
        <v>-10</v>
      </c>
      <c r="K186" s="14">
        <v>41</v>
      </c>
      <c r="L186" s="14">
        <v>1.08</v>
      </c>
      <c r="M186" s="14">
        <v>47.6</v>
      </c>
      <c r="N186" s="14">
        <v>45.8</v>
      </c>
      <c r="O186" s="14">
        <f>1.8</f>
        <v>1.8</v>
      </c>
      <c r="P186" s="14">
        <f>0.05</f>
        <v>0.05</v>
      </c>
      <c r="Q186" s="15">
        <v>11065</v>
      </c>
      <c r="R186" s="16" t="s">
        <v>1357</v>
      </c>
      <c r="S186" s="16" t="s">
        <v>1358</v>
      </c>
      <c r="T186" s="17"/>
    </row>
    <row r="187" spans="1:20" ht="12.3">
      <c r="A187" s="12">
        <v>15</v>
      </c>
      <c r="B187" s="13" t="s">
        <v>1359</v>
      </c>
      <c r="C187" s="14">
        <v>2017</v>
      </c>
      <c r="D187" s="14">
        <v>38</v>
      </c>
      <c r="E187" s="14">
        <v>9</v>
      </c>
      <c r="F187" s="14">
        <v>11</v>
      </c>
      <c r="G187" s="14">
        <v>18</v>
      </c>
      <c r="H187" s="14">
        <v>44</v>
      </c>
      <c r="I187" s="14">
        <v>67</v>
      </c>
      <c r="J187" s="14">
        <v>-23</v>
      </c>
      <c r="K187" s="14">
        <v>38</v>
      </c>
      <c r="L187" s="14">
        <v>1</v>
      </c>
      <c r="M187" s="14">
        <v>45.5</v>
      </c>
      <c r="N187" s="14">
        <v>58.4</v>
      </c>
      <c r="O187" s="14">
        <v>-12.9</v>
      </c>
      <c r="P187" s="14">
        <v>-0.34</v>
      </c>
      <c r="Q187" s="15">
        <v>24064</v>
      </c>
      <c r="R187" s="16" t="s">
        <v>1360</v>
      </c>
      <c r="S187" s="16" t="s">
        <v>1361</v>
      </c>
      <c r="T187" s="17"/>
    </row>
    <row r="188" spans="1:20" ht="12.3">
      <c r="A188" s="12">
        <v>16</v>
      </c>
      <c r="B188" s="13" t="s">
        <v>1362</v>
      </c>
      <c r="C188" s="14">
        <v>2017</v>
      </c>
      <c r="D188" s="14">
        <v>38</v>
      </c>
      <c r="E188" s="14">
        <v>10</v>
      </c>
      <c r="F188" s="14">
        <v>8</v>
      </c>
      <c r="G188" s="14">
        <v>20</v>
      </c>
      <c r="H188" s="14">
        <v>27</v>
      </c>
      <c r="I188" s="14">
        <v>52</v>
      </c>
      <c r="J188" s="14">
        <v>-25</v>
      </c>
      <c r="K188" s="14">
        <v>38</v>
      </c>
      <c r="L188" s="14">
        <v>1</v>
      </c>
      <c r="M188" s="14">
        <v>42.8</v>
      </c>
      <c r="N188" s="14">
        <v>48</v>
      </c>
      <c r="O188" s="14">
        <v>-5.2</v>
      </c>
      <c r="P188" s="14">
        <v>-0.14000000000000001</v>
      </c>
      <c r="Q188" s="15">
        <v>17187</v>
      </c>
      <c r="R188" s="16" t="s">
        <v>1363</v>
      </c>
      <c r="S188" s="16" t="s">
        <v>1364</v>
      </c>
      <c r="T188" s="17"/>
    </row>
    <row r="189" spans="1:20" ht="12.3">
      <c r="A189" s="12">
        <v>17</v>
      </c>
      <c r="B189" s="13" t="s">
        <v>1365</v>
      </c>
      <c r="C189" s="14">
        <v>2017</v>
      </c>
      <c r="D189" s="14">
        <v>38</v>
      </c>
      <c r="E189" s="14">
        <v>10</v>
      </c>
      <c r="F189" s="14">
        <v>8</v>
      </c>
      <c r="G189" s="14">
        <v>20</v>
      </c>
      <c r="H189" s="14">
        <v>41</v>
      </c>
      <c r="I189" s="14">
        <v>67</v>
      </c>
      <c r="J189" s="14">
        <v>-26</v>
      </c>
      <c r="K189" s="14">
        <v>38</v>
      </c>
      <c r="L189" s="14">
        <v>1</v>
      </c>
      <c r="M189" s="14">
        <v>36.4</v>
      </c>
      <c r="N189" s="14">
        <v>57.9</v>
      </c>
      <c r="O189" s="14">
        <v>-21.5</v>
      </c>
      <c r="P189" s="14">
        <v>-0.56999999999999995</v>
      </c>
      <c r="Q189" s="15">
        <v>31453</v>
      </c>
      <c r="R189" s="16" t="s">
        <v>1366</v>
      </c>
      <c r="S189" s="16" t="s">
        <v>1367</v>
      </c>
      <c r="T189" s="17"/>
    </row>
    <row r="190" spans="1:20" ht="12.3">
      <c r="A190" s="18">
        <v>18</v>
      </c>
      <c r="B190" s="13" t="s">
        <v>1368</v>
      </c>
      <c r="C190" s="14">
        <v>2017</v>
      </c>
      <c r="D190" s="14">
        <v>38</v>
      </c>
      <c r="E190" s="14">
        <v>9</v>
      </c>
      <c r="F190" s="14">
        <v>10</v>
      </c>
      <c r="G190" s="14">
        <v>19</v>
      </c>
      <c r="H190" s="14">
        <v>38</v>
      </c>
      <c r="I190" s="14">
        <v>54</v>
      </c>
      <c r="J190" s="14">
        <v>-16</v>
      </c>
      <c r="K190" s="14">
        <v>37</v>
      </c>
      <c r="L190" s="14">
        <v>0.97</v>
      </c>
      <c r="M190" s="14">
        <v>45.5</v>
      </c>
      <c r="N190" s="14">
        <v>52.1</v>
      </c>
      <c r="O190" s="14">
        <v>-6.6</v>
      </c>
      <c r="P190" s="14">
        <v>-0.17</v>
      </c>
      <c r="Q190" s="15">
        <v>16929</v>
      </c>
      <c r="R190" s="16" t="s">
        <v>1369</v>
      </c>
      <c r="S190" s="16" t="s">
        <v>1370</v>
      </c>
      <c r="T190" s="17" t="s">
        <v>890</v>
      </c>
    </row>
    <row r="191" spans="1:20" ht="12.3">
      <c r="A191" s="18">
        <v>19</v>
      </c>
      <c r="B191" s="13" t="s">
        <v>1371</v>
      </c>
      <c r="C191" s="14">
        <v>2017</v>
      </c>
      <c r="D191" s="14">
        <v>38</v>
      </c>
      <c r="E191" s="14">
        <v>9</v>
      </c>
      <c r="F191" s="14">
        <v>6</v>
      </c>
      <c r="G191" s="14">
        <v>23</v>
      </c>
      <c r="H191" s="14">
        <v>32</v>
      </c>
      <c r="I191" s="14">
        <v>59</v>
      </c>
      <c r="J191" s="14">
        <v>-27</v>
      </c>
      <c r="K191" s="14">
        <v>33</v>
      </c>
      <c r="L191" s="14">
        <v>0.87</v>
      </c>
      <c r="M191" s="14">
        <v>38</v>
      </c>
      <c r="N191" s="14">
        <v>52</v>
      </c>
      <c r="O191" s="14">
        <v>-14</v>
      </c>
      <c r="P191" s="14">
        <v>-0.37</v>
      </c>
      <c r="Q191" s="15">
        <v>11723</v>
      </c>
      <c r="R191" s="16" t="s">
        <v>1372</v>
      </c>
      <c r="S191" s="16" t="s">
        <v>1373</v>
      </c>
      <c r="T191" s="17" t="s">
        <v>894</v>
      </c>
    </row>
    <row r="192" spans="1:20" ht="12.3">
      <c r="A192" s="19">
        <v>20</v>
      </c>
      <c r="B192" s="20" t="s">
        <v>1374</v>
      </c>
      <c r="C192" s="14">
        <v>2017</v>
      </c>
      <c r="D192" s="21">
        <v>38</v>
      </c>
      <c r="E192" s="21">
        <v>6</v>
      </c>
      <c r="F192" s="21">
        <v>8</v>
      </c>
      <c r="G192" s="21">
        <v>24</v>
      </c>
      <c r="H192" s="21">
        <v>34</v>
      </c>
      <c r="I192" s="21">
        <v>76</v>
      </c>
      <c r="J192" s="21">
        <v>-42</v>
      </c>
      <c r="K192" s="21">
        <v>26</v>
      </c>
      <c r="L192" s="21">
        <v>0.68</v>
      </c>
      <c r="M192" s="21">
        <v>40.299999999999997</v>
      </c>
      <c r="N192" s="21">
        <v>71.3</v>
      </c>
      <c r="O192" s="21">
        <v>-31</v>
      </c>
      <c r="P192" s="21">
        <v>-0.81</v>
      </c>
      <c r="Q192" s="22">
        <v>14844</v>
      </c>
      <c r="R192" s="23" t="s">
        <v>1375</v>
      </c>
      <c r="S192" s="23" t="s">
        <v>1376</v>
      </c>
      <c r="T192" s="24" t="s">
        <v>894</v>
      </c>
    </row>
    <row r="193" spans="1:16" ht="12.3">
      <c r="A193" s="9">
        <v>2016</v>
      </c>
    </row>
    <row r="194" spans="1:16" ht="12.3">
      <c r="A194" s="10" t="s">
        <v>820</v>
      </c>
      <c r="B194" s="11" t="s">
        <v>821</v>
      </c>
      <c r="C194" s="11" t="s">
        <v>2</v>
      </c>
      <c r="D194" s="11" t="s">
        <v>822</v>
      </c>
      <c r="E194" s="11" t="s">
        <v>823</v>
      </c>
      <c r="F194" s="11" t="s">
        <v>824</v>
      </c>
      <c r="G194" s="11" t="s">
        <v>825</v>
      </c>
      <c r="H194" s="11" t="s">
        <v>826</v>
      </c>
      <c r="I194" s="11" t="s">
        <v>827</v>
      </c>
      <c r="J194" s="11" t="s">
        <v>828</v>
      </c>
      <c r="K194" s="11" t="s">
        <v>829</v>
      </c>
      <c r="L194" s="11" t="s">
        <v>830</v>
      </c>
      <c r="M194" s="11" t="s">
        <v>835</v>
      </c>
      <c r="N194" s="11" t="s">
        <v>836</v>
      </c>
      <c r="O194" s="11" t="s">
        <v>837</v>
      </c>
      <c r="P194" s="11" t="s">
        <v>838</v>
      </c>
    </row>
    <row r="195" spans="1:16" ht="12.3">
      <c r="A195" s="12">
        <v>1</v>
      </c>
      <c r="B195" s="13" t="s">
        <v>1377</v>
      </c>
      <c r="C195" s="14">
        <v>2016</v>
      </c>
      <c r="D195" s="14">
        <v>38</v>
      </c>
      <c r="E195" s="14">
        <v>30</v>
      </c>
      <c r="F195" s="14">
        <v>5</v>
      </c>
      <c r="G195" s="14">
        <v>3</v>
      </c>
      <c r="H195" s="14">
        <v>107</v>
      </c>
      <c r="I195" s="14">
        <v>31</v>
      </c>
      <c r="J195" s="14">
        <f>76</f>
        <v>76</v>
      </c>
      <c r="K195" s="14">
        <v>95</v>
      </c>
      <c r="L195" s="14">
        <v>2.5</v>
      </c>
      <c r="M195" s="15">
        <v>9315</v>
      </c>
      <c r="N195" s="16" t="s">
        <v>1378</v>
      </c>
      <c r="O195" s="16" t="s">
        <v>1379</v>
      </c>
      <c r="P195" s="17" t="s">
        <v>842</v>
      </c>
    </row>
    <row r="196" spans="1:16" ht="12.3">
      <c r="A196" s="12">
        <v>2</v>
      </c>
      <c r="B196" s="13" t="s">
        <v>1380</v>
      </c>
      <c r="C196" s="14">
        <v>2016</v>
      </c>
      <c r="D196" s="14">
        <v>38</v>
      </c>
      <c r="E196" s="14">
        <v>27</v>
      </c>
      <c r="F196" s="14">
        <v>6</v>
      </c>
      <c r="G196" s="14">
        <v>5</v>
      </c>
      <c r="H196" s="14">
        <v>83</v>
      </c>
      <c r="I196" s="14">
        <v>27</v>
      </c>
      <c r="J196" s="14">
        <f>56</f>
        <v>56</v>
      </c>
      <c r="K196" s="14">
        <v>87</v>
      </c>
      <c r="L196" s="14">
        <v>2.29</v>
      </c>
      <c r="M196" s="15">
        <v>45159</v>
      </c>
      <c r="N196" s="16" t="s">
        <v>1381</v>
      </c>
      <c r="O196" s="16" t="s">
        <v>1382</v>
      </c>
      <c r="P196" s="17" t="s">
        <v>842</v>
      </c>
    </row>
    <row r="197" spans="1:16" ht="12.3">
      <c r="A197" s="12">
        <v>3</v>
      </c>
      <c r="B197" s="13" t="s">
        <v>1383</v>
      </c>
      <c r="C197" s="14">
        <v>2016</v>
      </c>
      <c r="D197" s="14">
        <v>38</v>
      </c>
      <c r="E197" s="14">
        <v>22</v>
      </c>
      <c r="F197" s="14">
        <v>12</v>
      </c>
      <c r="G197" s="14">
        <v>4</v>
      </c>
      <c r="H197" s="14">
        <v>63</v>
      </c>
      <c r="I197" s="14">
        <v>36</v>
      </c>
      <c r="J197" s="14">
        <f>27</f>
        <v>27</v>
      </c>
      <c r="K197" s="14">
        <v>78</v>
      </c>
      <c r="L197" s="14">
        <v>2.0499999999999998</v>
      </c>
      <c r="M197" s="15">
        <v>22949</v>
      </c>
      <c r="N197" s="16" t="s">
        <v>1384</v>
      </c>
      <c r="O197" s="16" t="s">
        <v>1385</v>
      </c>
      <c r="P197" s="17" t="s">
        <v>842</v>
      </c>
    </row>
    <row r="198" spans="1:16" ht="12.3">
      <c r="A198" s="12">
        <v>4</v>
      </c>
      <c r="B198" s="13" t="s">
        <v>1386</v>
      </c>
      <c r="C198" s="14">
        <v>2016</v>
      </c>
      <c r="D198" s="14">
        <v>38</v>
      </c>
      <c r="E198" s="14">
        <v>21</v>
      </c>
      <c r="F198" s="14">
        <v>4</v>
      </c>
      <c r="G198" s="14">
        <v>13</v>
      </c>
      <c r="H198" s="14">
        <v>77</v>
      </c>
      <c r="I198" s="14">
        <v>48</v>
      </c>
      <c r="J198" s="14">
        <f>29</f>
        <v>29</v>
      </c>
      <c r="K198" s="14">
        <v>67</v>
      </c>
      <c r="L198" s="14">
        <v>1.76</v>
      </c>
      <c r="M198" s="15">
        <v>39171</v>
      </c>
      <c r="N198" s="16" t="s">
        <v>1387</v>
      </c>
      <c r="O198" s="16" t="s">
        <v>1388</v>
      </c>
      <c r="P198" s="17" t="s">
        <v>1146</v>
      </c>
    </row>
    <row r="199" spans="1:16" ht="12.3">
      <c r="A199" s="12">
        <v>5</v>
      </c>
      <c r="B199" s="13" t="s">
        <v>1389</v>
      </c>
      <c r="C199" s="14">
        <v>2016</v>
      </c>
      <c r="D199" s="14">
        <v>38</v>
      </c>
      <c r="E199" s="14">
        <v>17</v>
      </c>
      <c r="F199" s="14">
        <v>11</v>
      </c>
      <c r="G199" s="14">
        <v>10</v>
      </c>
      <c r="H199" s="14">
        <v>57</v>
      </c>
      <c r="I199" s="14">
        <v>41</v>
      </c>
      <c r="J199" s="14">
        <f>16</f>
        <v>16</v>
      </c>
      <c r="K199" s="14">
        <v>62</v>
      </c>
      <c r="L199" s="14">
        <v>1.63</v>
      </c>
      <c r="M199" s="15">
        <v>39898</v>
      </c>
      <c r="N199" s="16" t="s">
        <v>1390</v>
      </c>
      <c r="O199" s="16" t="s">
        <v>1391</v>
      </c>
      <c r="P199" s="17" t="s">
        <v>1334</v>
      </c>
    </row>
    <row r="200" spans="1:16" ht="12.3">
      <c r="A200" s="12">
        <v>6</v>
      </c>
      <c r="B200" s="13" t="s">
        <v>1392</v>
      </c>
      <c r="C200" s="14">
        <v>2016</v>
      </c>
      <c r="D200" s="14">
        <v>38</v>
      </c>
      <c r="E200" s="14">
        <v>15</v>
      </c>
      <c r="F200" s="14">
        <v>14</v>
      </c>
      <c r="G200" s="14">
        <v>9</v>
      </c>
      <c r="H200" s="14">
        <v>53</v>
      </c>
      <c r="I200" s="14">
        <v>43</v>
      </c>
      <c r="J200" s="14">
        <f>10</f>
        <v>10</v>
      </c>
      <c r="K200" s="14">
        <v>59</v>
      </c>
      <c r="L200" s="14">
        <v>1.55</v>
      </c>
      <c r="M200" s="15">
        <v>24217</v>
      </c>
      <c r="N200" s="16" t="s">
        <v>1393</v>
      </c>
      <c r="O200" s="16" t="s">
        <v>1394</v>
      </c>
      <c r="P200" s="17" t="s">
        <v>855</v>
      </c>
    </row>
    <row r="201" spans="1:16" ht="12.3">
      <c r="A201" s="12">
        <v>7</v>
      </c>
      <c r="B201" s="13" t="s">
        <v>1395</v>
      </c>
      <c r="C201" s="14">
        <v>2016</v>
      </c>
      <c r="D201" s="14">
        <v>38</v>
      </c>
      <c r="E201" s="14">
        <v>14</v>
      </c>
      <c r="F201" s="14">
        <v>9</v>
      </c>
      <c r="G201" s="14">
        <v>15</v>
      </c>
      <c r="H201" s="14">
        <v>40</v>
      </c>
      <c r="I201" s="14">
        <v>54</v>
      </c>
      <c r="J201" s="14">
        <v>-14</v>
      </c>
      <c r="K201" s="14">
        <v>51</v>
      </c>
      <c r="L201" s="14">
        <v>1.34</v>
      </c>
      <c r="M201" s="15">
        <v>23152</v>
      </c>
      <c r="N201" s="16" t="s">
        <v>1396</v>
      </c>
      <c r="O201" s="16" t="s">
        <v>1397</v>
      </c>
      <c r="P201" s="17"/>
    </row>
    <row r="202" spans="1:16" ht="12.3">
      <c r="A202" s="12">
        <v>8</v>
      </c>
      <c r="B202" s="13" t="s">
        <v>1398</v>
      </c>
      <c r="C202" s="14">
        <v>2016</v>
      </c>
      <c r="D202" s="14">
        <v>38</v>
      </c>
      <c r="E202" s="14">
        <v>12</v>
      </c>
      <c r="F202" s="14">
        <v>14</v>
      </c>
      <c r="G202" s="14">
        <v>12</v>
      </c>
      <c r="H202" s="14">
        <v>41</v>
      </c>
      <c r="I202" s="14">
        <v>42</v>
      </c>
      <c r="J202" s="14">
        <v>-1</v>
      </c>
      <c r="K202" s="14">
        <v>50</v>
      </c>
      <c r="L202" s="14">
        <v>1.32</v>
      </c>
      <c r="M202" s="15">
        <v>25794</v>
      </c>
      <c r="N202" s="16" t="s">
        <v>1399</v>
      </c>
      <c r="O202" s="16" t="s">
        <v>1400</v>
      </c>
      <c r="P202" s="17"/>
    </row>
    <row r="203" spans="1:16" ht="12.3">
      <c r="A203" s="12">
        <v>9</v>
      </c>
      <c r="B203" s="13" t="s">
        <v>1401</v>
      </c>
      <c r="C203" s="14">
        <v>2016</v>
      </c>
      <c r="D203" s="14">
        <v>38</v>
      </c>
      <c r="E203" s="14">
        <v>12</v>
      </c>
      <c r="F203" s="14">
        <v>14</v>
      </c>
      <c r="G203" s="14">
        <v>12</v>
      </c>
      <c r="H203" s="14">
        <v>36</v>
      </c>
      <c r="I203" s="14">
        <v>42</v>
      </c>
      <c r="J203" s="14">
        <v>-6</v>
      </c>
      <c r="K203" s="14">
        <v>50</v>
      </c>
      <c r="L203" s="14">
        <v>1.32</v>
      </c>
      <c r="M203" s="15">
        <v>22689</v>
      </c>
      <c r="N203" s="16" t="s">
        <v>1402</v>
      </c>
      <c r="O203" s="16" t="s">
        <v>1403</v>
      </c>
      <c r="P203" s="17"/>
    </row>
    <row r="204" spans="1:16" ht="12.3">
      <c r="A204" s="12">
        <v>10</v>
      </c>
      <c r="B204" s="13" t="s">
        <v>1404</v>
      </c>
      <c r="C204" s="14">
        <v>2016</v>
      </c>
      <c r="D204" s="14">
        <v>38</v>
      </c>
      <c r="E204" s="14">
        <v>14</v>
      </c>
      <c r="F204" s="14">
        <v>8</v>
      </c>
      <c r="G204" s="14">
        <v>16</v>
      </c>
      <c r="H204" s="14">
        <v>46</v>
      </c>
      <c r="I204" s="14">
        <v>53</v>
      </c>
      <c r="J204" s="14">
        <v>-7</v>
      </c>
      <c r="K204" s="14">
        <v>50</v>
      </c>
      <c r="L204" s="14">
        <v>1.32</v>
      </c>
      <c r="M204" s="15">
        <v>14790</v>
      </c>
      <c r="N204" s="16" t="s">
        <v>1405</v>
      </c>
      <c r="O204" s="16" t="s">
        <v>1406</v>
      </c>
      <c r="P204" s="17"/>
    </row>
    <row r="205" spans="1:16" ht="12.3">
      <c r="A205" s="12">
        <v>11</v>
      </c>
      <c r="B205" s="13" t="s">
        <v>1407</v>
      </c>
      <c r="C205" s="14">
        <v>2016</v>
      </c>
      <c r="D205" s="14">
        <v>38</v>
      </c>
      <c r="E205" s="14">
        <v>13</v>
      </c>
      <c r="F205" s="14">
        <v>7</v>
      </c>
      <c r="G205" s="14">
        <v>18</v>
      </c>
      <c r="H205" s="14">
        <v>40</v>
      </c>
      <c r="I205" s="14">
        <v>47</v>
      </c>
      <c r="J205" s="14">
        <v>-7</v>
      </c>
      <c r="K205" s="14">
        <v>46</v>
      </c>
      <c r="L205" s="14">
        <v>1.21</v>
      </c>
      <c r="M205" s="15">
        <v>29487</v>
      </c>
      <c r="N205" s="16" t="s">
        <v>1408</v>
      </c>
      <c r="O205" s="16" t="s">
        <v>1409</v>
      </c>
      <c r="P205" s="17"/>
    </row>
    <row r="206" spans="1:16" ht="12.3">
      <c r="A206" s="12">
        <v>12</v>
      </c>
      <c r="B206" s="13" t="s">
        <v>1410</v>
      </c>
      <c r="C206" s="14">
        <v>2016</v>
      </c>
      <c r="D206" s="14">
        <v>38</v>
      </c>
      <c r="E206" s="14">
        <v>13</v>
      </c>
      <c r="F206" s="14">
        <v>7</v>
      </c>
      <c r="G206" s="14">
        <v>18</v>
      </c>
      <c r="H206" s="14">
        <v>40</v>
      </c>
      <c r="I206" s="14">
        <v>49</v>
      </c>
      <c r="J206" s="14">
        <v>-9</v>
      </c>
      <c r="K206" s="14">
        <v>46</v>
      </c>
      <c r="L206" s="14">
        <v>1.21</v>
      </c>
      <c r="M206" s="15">
        <v>11954</v>
      </c>
      <c r="N206" s="16" t="s">
        <v>1411</v>
      </c>
      <c r="O206" s="16" t="s">
        <v>1412</v>
      </c>
      <c r="P206" s="17"/>
    </row>
    <row r="207" spans="1:16" ht="12.3">
      <c r="A207" s="12">
        <v>13</v>
      </c>
      <c r="B207" s="13" t="s">
        <v>1413</v>
      </c>
      <c r="C207" s="14">
        <v>2016</v>
      </c>
      <c r="D207" s="14">
        <v>38</v>
      </c>
      <c r="E207" s="14">
        <v>10</v>
      </c>
      <c r="F207" s="14">
        <v>14</v>
      </c>
      <c r="G207" s="14">
        <v>14</v>
      </c>
      <c r="H207" s="14">
        <v>37</v>
      </c>
      <c r="I207" s="14">
        <v>41</v>
      </c>
      <c r="J207" s="14">
        <v>-4</v>
      </c>
      <c r="K207" s="14">
        <v>44</v>
      </c>
      <c r="L207" s="14">
        <v>1.1599999999999999</v>
      </c>
      <c r="M207" s="15">
        <v>17068</v>
      </c>
      <c r="N207" s="16" t="s">
        <v>1414</v>
      </c>
      <c r="O207" s="16" t="s">
        <v>1415</v>
      </c>
      <c r="P207" s="17"/>
    </row>
    <row r="208" spans="1:16" ht="12.3">
      <c r="A208" s="12">
        <v>14</v>
      </c>
      <c r="B208" s="13" t="s">
        <v>1416</v>
      </c>
      <c r="C208" s="14">
        <v>2016</v>
      </c>
      <c r="D208" s="14">
        <v>38</v>
      </c>
      <c r="E208" s="14">
        <v>11</v>
      </c>
      <c r="F208" s="14">
        <v>10</v>
      </c>
      <c r="G208" s="14">
        <v>17</v>
      </c>
      <c r="H208" s="14">
        <v>39</v>
      </c>
      <c r="I208" s="14">
        <v>72</v>
      </c>
      <c r="J208" s="14">
        <v>-33</v>
      </c>
      <c r="K208" s="14">
        <v>43</v>
      </c>
      <c r="L208" s="14">
        <v>1.1299999999999999</v>
      </c>
      <c r="M208" s="15">
        <v>15344</v>
      </c>
      <c r="N208" s="16" t="s">
        <v>1417</v>
      </c>
      <c r="O208" s="16" t="s">
        <v>1418</v>
      </c>
      <c r="P208" s="17"/>
    </row>
    <row r="209" spans="1:16" ht="12.3">
      <c r="A209" s="12">
        <v>15</v>
      </c>
      <c r="B209" s="13" t="s">
        <v>1419</v>
      </c>
      <c r="C209" s="14">
        <v>2016</v>
      </c>
      <c r="D209" s="14">
        <v>38</v>
      </c>
      <c r="E209" s="14">
        <v>10</v>
      </c>
      <c r="F209" s="14">
        <v>9</v>
      </c>
      <c r="G209" s="14">
        <v>19</v>
      </c>
      <c r="H209" s="14">
        <v>48</v>
      </c>
      <c r="I209" s="14">
        <v>66</v>
      </c>
      <c r="J209" s="14">
        <v>-18</v>
      </c>
      <c r="K209" s="14">
        <v>39</v>
      </c>
      <c r="L209" s="14">
        <v>1.03</v>
      </c>
      <c r="M209" s="15">
        <v>12356</v>
      </c>
      <c r="N209" s="16" t="s">
        <v>1420</v>
      </c>
      <c r="O209" s="16" t="s">
        <v>1421</v>
      </c>
      <c r="P209" s="17"/>
    </row>
    <row r="210" spans="1:16" ht="12.3">
      <c r="A210" s="12">
        <v>16</v>
      </c>
      <c r="B210" s="13" t="s">
        <v>1422</v>
      </c>
      <c r="C210" s="14">
        <v>2016</v>
      </c>
      <c r="D210" s="14">
        <v>38</v>
      </c>
      <c r="E210" s="14">
        <v>8</v>
      </c>
      <c r="F210" s="14">
        <v>13</v>
      </c>
      <c r="G210" s="14">
        <v>17</v>
      </c>
      <c r="H210" s="14">
        <v>46</v>
      </c>
      <c r="I210" s="14">
        <v>58</v>
      </c>
      <c r="J210" s="14">
        <v>-12</v>
      </c>
      <c r="K210" s="14">
        <v>37</v>
      </c>
      <c r="L210" s="14">
        <v>0.97</v>
      </c>
      <c r="M210" s="15">
        <v>10128</v>
      </c>
      <c r="N210" s="16" t="s">
        <v>1423</v>
      </c>
      <c r="O210" s="16" t="s">
        <v>1424</v>
      </c>
      <c r="P210" s="17"/>
    </row>
    <row r="211" spans="1:16" ht="12.3">
      <c r="A211" s="12">
        <v>17</v>
      </c>
      <c r="B211" s="13" t="s">
        <v>1425</v>
      </c>
      <c r="C211" s="14">
        <v>2016</v>
      </c>
      <c r="D211" s="14">
        <v>38</v>
      </c>
      <c r="E211" s="14">
        <v>10</v>
      </c>
      <c r="F211" s="14">
        <v>7</v>
      </c>
      <c r="G211" s="14">
        <v>21</v>
      </c>
      <c r="H211" s="14">
        <v>36</v>
      </c>
      <c r="I211" s="14">
        <v>65</v>
      </c>
      <c r="J211" s="14">
        <v>-29</v>
      </c>
      <c r="K211" s="14">
        <v>37</v>
      </c>
      <c r="L211" s="14">
        <v>0.97</v>
      </c>
      <c r="M211" s="15">
        <v>15796</v>
      </c>
      <c r="N211" s="16" t="s">
        <v>1426</v>
      </c>
      <c r="O211" s="16" t="s">
        <v>1427</v>
      </c>
      <c r="P211" s="17"/>
    </row>
    <row r="212" spans="1:16" ht="12.3">
      <c r="A212" s="18">
        <v>18</v>
      </c>
      <c r="B212" s="13" t="s">
        <v>1428</v>
      </c>
      <c r="C212" s="14">
        <v>2016</v>
      </c>
      <c r="D212" s="14">
        <v>38</v>
      </c>
      <c r="E212" s="14">
        <v>10</v>
      </c>
      <c r="F212" s="14">
        <v>6</v>
      </c>
      <c r="G212" s="14">
        <v>22</v>
      </c>
      <c r="H212" s="14">
        <v>44</v>
      </c>
      <c r="I212" s="14">
        <v>70</v>
      </c>
      <c r="J212" s="14">
        <v>-26</v>
      </c>
      <c r="K212" s="14">
        <v>36</v>
      </c>
      <c r="L212" s="14">
        <v>0.95</v>
      </c>
      <c r="M212" s="15">
        <v>11832</v>
      </c>
      <c r="N212" s="16" t="s">
        <v>1429</v>
      </c>
      <c r="O212" s="16" t="s">
        <v>1430</v>
      </c>
      <c r="P212" s="17" t="s">
        <v>890</v>
      </c>
    </row>
    <row r="213" spans="1:16" ht="12.3">
      <c r="A213" s="18">
        <v>19</v>
      </c>
      <c r="B213" s="13" t="s">
        <v>1431</v>
      </c>
      <c r="C213" s="14">
        <v>2016</v>
      </c>
      <c r="D213" s="14">
        <v>38</v>
      </c>
      <c r="E213" s="14">
        <v>9</v>
      </c>
      <c r="F213" s="14">
        <v>8</v>
      </c>
      <c r="G213" s="14">
        <v>21</v>
      </c>
      <c r="H213" s="14">
        <v>29</v>
      </c>
      <c r="I213" s="14">
        <v>52</v>
      </c>
      <c r="J213" s="14">
        <v>-23</v>
      </c>
      <c r="K213" s="14">
        <v>35</v>
      </c>
      <c r="L213" s="14">
        <v>0.92</v>
      </c>
      <c r="M213" s="15">
        <v>17516</v>
      </c>
      <c r="N213" s="16" t="s">
        <v>1432</v>
      </c>
      <c r="O213" s="16" t="s">
        <v>1433</v>
      </c>
      <c r="P213" s="17" t="s">
        <v>894</v>
      </c>
    </row>
    <row r="214" spans="1:16" ht="12.3">
      <c r="A214" s="19">
        <v>20</v>
      </c>
      <c r="B214" s="20" t="s">
        <v>1434</v>
      </c>
      <c r="C214" s="14">
        <v>2016</v>
      </c>
      <c r="D214" s="21">
        <v>38</v>
      </c>
      <c r="E214" s="21">
        <v>8</v>
      </c>
      <c r="F214" s="21">
        <v>10</v>
      </c>
      <c r="G214" s="21">
        <v>20</v>
      </c>
      <c r="H214" s="21">
        <v>29</v>
      </c>
      <c r="I214" s="21">
        <v>54</v>
      </c>
      <c r="J214" s="21">
        <v>-25</v>
      </c>
      <c r="K214" s="21">
        <v>34</v>
      </c>
      <c r="L214" s="21">
        <v>0.89</v>
      </c>
      <c r="M214" s="22">
        <v>9405</v>
      </c>
      <c r="N214" s="23" t="s">
        <v>1435</v>
      </c>
      <c r="O214" s="23" t="s">
        <v>1436</v>
      </c>
      <c r="P214" s="24" t="s">
        <v>1130</v>
      </c>
    </row>
    <row r="215" spans="1:16" ht="12.3">
      <c r="A215" s="9">
        <v>2015</v>
      </c>
    </row>
    <row r="216" spans="1:16" ht="12.3">
      <c r="A216" s="10" t="s">
        <v>820</v>
      </c>
      <c r="B216" s="11" t="s">
        <v>821</v>
      </c>
      <c r="C216" s="11" t="s">
        <v>2</v>
      </c>
      <c r="D216" s="11" t="s">
        <v>822</v>
      </c>
      <c r="E216" s="11" t="s">
        <v>823</v>
      </c>
      <c r="F216" s="11" t="s">
        <v>824</v>
      </c>
      <c r="G216" s="11" t="s">
        <v>825</v>
      </c>
      <c r="H216" s="11" t="s">
        <v>826</v>
      </c>
      <c r="I216" s="11" t="s">
        <v>827</v>
      </c>
      <c r="J216" s="11" t="s">
        <v>828</v>
      </c>
      <c r="K216" s="11" t="s">
        <v>829</v>
      </c>
      <c r="L216" s="11" t="s">
        <v>830</v>
      </c>
      <c r="M216" s="11" t="s">
        <v>835</v>
      </c>
      <c r="N216" s="11" t="s">
        <v>836</v>
      </c>
      <c r="O216" s="11" t="s">
        <v>837</v>
      </c>
      <c r="P216" s="11" t="s">
        <v>838</v>
      </c>
    </row>
    <row r="217" spans="1:16" ht="12.3">
      <c r="A217" s="12">
        <v>1</v>
      </c>
      <c r="B217" s="13" t="s">
        <v>1437</v>
      </c>
      <c r="C217" s="14">
        <v>2015</v>
      </c>
      <c r="D217" s="14">
        <v>38</v>
      </c>
      <c r="E217" s="14">
        <v>30</v>
      </c>
      <c r="F217" s="14">
        <v>6</v>
      </c>
      <c r="G217" s="14">
        <v>2</v>
      </c>
      <c r="H217" s="14">
        <v>102</v>
      </c>
      <c r="I217" s="14">
        <v>19</v>
      </c>
      <c r="J217" s="14">
        <f>83</f>
        <v>83</v>
      </c>
      <c r="K217" s="14">
        <v>96</v>
      </c>
      <c r="L217" s="14">
        <v>2.5299999999999998</v>
      </c>
      <c r="M217" s="15">
        <v>46160</v>
      </c>
      <c r="N217" s="16" t="s">
        <v>1438</v>
      </c>
      <c r="O217" s="16" t="s">
        <v>1439</v>
      </c>
      <c r="P217" s="17" t="s">
        <v>842</v>
      </c>
    </row>
    <row r="218" spans="1:16" ht="12.3">
      <c r="A218" s="12">
        <v>2</v>
      </c>
      <c r="B218" s="13" t="s">
        <v>1440</v>
      </c>
      <c r="C218" s="14">
        <v>2015</v>
      </c>
      <c r="D218" s="14">
        <v>38</v>
      </c>
      <c r="E218" s="14">
        <v>19</v>
      </c>
      <c r="F218" s="14">
        <v>8</v>
      </c>
      <c r="G218" s="14">
        <v>11</v>
      </c>
      <c r="H218" s="14">
        <v>67</v>
      </c>
      <c r="I218" s="14">
        <v>43</v>
      </c>
      <c r="J218" s="14">
        <f>24</f>
        <v>24</v>
      </c>
      <c r="K218" s="14">
        <v>65</v>
      </c>
      <c r="L218" s="14">
        <v>1.71</v>
      </c>
      <c r="M218" s="15">
        <v>40325</v>
      </c>
      <c r="N218" s="16" t="s">
        <v>1441</v>
      </c>
      <c r="O218" s="16" t="s">
        <v>1442</v>
      </c>
      <c r="P218" s="17" t="s">
        <v>842</v>
      </c>
    </row>
    <row r="219" spans="1:16" ht="12.3">
      <c r="A219" s="12">
        <v>3</v>
      </c>
      <c r="B219" s="13" t="s">
        <v>1443</v>
      </c>
      <c r="C219" s="14">
        <v>2015</v>
      </c>
      <c r="D219" s="14">
        <v>38</v>
      </c>
      <c r="E219" s="14">
        <v>17</v>
      </c>
      <c r="F219" s="14">
        <v>14</v>
      </c>
      <c r="G219" s="14">
        <v>7</v>
      </c>
      <c r="H219" s="14">
        <v>57</v>
      </c>
      <c r="I219" s="14">
        <v>50</v>
      </c>
      <c r="J219" s="14">
        <f>7</f>
        <v>7</v>
      </c>
      <c r="K219" s="14">
        <v>65</v>
      </c>
      <c r="L219" s="14">
        <v>1.71</v>
      </c>
      <c r="M219" s="15">
        <v>7846</v>
      </c>
      <c r="N219" s="16" t="s">
        <v>1444</v>
      </c>
      <c r="O219" s="16" t="s">
        <v>1445</v>
      </c>
      <c r="P219" s="17" t="s">
        <v>842</v>
      </c>
    </row>
    <row r="220" spans="1:16" ht="12.3">
      <c r="A220" s="12">
        <v>4</v>
      </c>
      <c r="B220" s="13" t="s">
        <v>1446</v>
      </c>
      <c r="C220" s="14">
        <v>2015</v>
      </c>
      <c r="D220" s="14">
        <v>38</v>
      </c>
      <c r="E220" s="14">
        <v>18</v>
      </c>
      <c r="F220" s="14">
        <v>9</v>
      </c>
      <c r="G220" s="14">
        <v>11</v>
      </c>
      <c r="H220" s="14">
        <v>58</v>
      </c>
      <c r="I220" s="14">
        <v>41</v>
      </c>
      <c r="J220" s="14">
        <f>17</f>
        <v>17</v>
      </c>
      <c r="K220" s="14">
        <v>63</v>
      </c>
      <c r="L220" s="14">
        <v>1.66</v>
      </c>
      <c r="M220" s="15">
        <v>19187</v>
      </c>
      <c r="N220" s="16" t="s">
        <v>1447</v>
      </c>
      <c r="O220" s="16" t="s">
        <v>1448</v>
      </c>
      <c r="P220" s="17" t="s">
        <v>1146</v>
      </c>
    </row>
    <row r="221" spans="1:16" ht="12.3">
      <c r="A221" s="12">
        <v>5</v>
      </c>
      <c r="B221" s="13" t="s">
        <v>1449</v>
      </c>
      <c r="C221" s="14">
        <v>2015</v>
      </c>
      <c r="D221" s="14">
        <v>38</v>
      </c>
      <c r="E221" s="14">
        <v>15</v>
      </c>
      <c r="F221" s="14">
        <v>15</v>
      </c>
      <c r="G221" s="14">
        <v>8</v>
      </c>
      <c r="H221" s="14">
        <v>39</v>
      </c>
      <c r="I221" s="14">
        <v>27</v>
      </c>
      <c r="J221" s="14">
        <f>12</f>
        <v>12</v>
      </c>
      <c r="K221" s="14">
        <v>60</v>
      </c>
      <c r="L221" s="14">
        <v>1.58</v>
      </c>
      <c r="M221" s="15">
        <v>30274</v>
      </c>
      <c r="N221" s="16" t="s">
        <v>1450</v>
      </c>
      <c r="O221" s="16" t="s">
        <v>1451</v>
      </c>
      <c r="P221" s="17" t="s">
        <v>1334</v>
      </c>
    </row>
    <row r="222" spans="1:16" ht="12.3">
      <c r="A222" s="12">
        <v>6</v>
      </c>
      <c r="B222" s="13" t="s">
        <v>1452</v>
      </c>
      <c r="C222" s="14">
        <v>2015</v>
      </c>
      <c r="D222" s="14">
        <v>38</v>
      </c>
      <c r="E222" s="14">
        <v>17</v>
      </c>
      <c r="F222" s="14">
        <v>7</v>
      </c>
      <c r="G222" s="14">
        <v>14</v>
      </c>
      <c r="H222" s="14">
        <v>42</v>
      </c>
      <c r="I222" s="14">
        <v>37</v>
      </c>
      <c r="J222" s="14">
        <f>5</f>
        <v>5</v>
      </c>
      <c r="K222" s="14">
        <v>58</v>
      </c>
      <c r="L222" s="14">
        <v>1.53</v>
      </c>
      <c r="M222" s="15">
        <v>30328</v>
      </c>
      <c r="N222" s="16" t="s">
        <v>1453</v>
      </c>
      <c r="O222" s="16" t="s">
        <v>1454</v>
      </c>
      <c r="P222" s="17" t="s">
        <v>855</v>
      </c>
    </row>
    <row r="223" spans="1:16" ht="12.3">
      <c r="A223" s="12">
        <v>7</v>
      </c>
      <c r="B223" s="13" t="s">
        <v>1455</v>
      </c>
      <c r="C223" s="14">
        <v>2015</v>
      </c>
      <c r="D223" s="14">
        <v>38</v>
      </c>
      <c r="E223" s="14">
        <v>16</v>
      </c>
      <c r="F223" s="14">
        <v>6</v>
      </c>
      <c r="G223" s="14">
        <v>16</v>
      </c>
      <c r="H223" s="14">
        <v>39</v>
      </c>
      <c r="I223" s="14">
        <v>52</v>
      </c>
      <c r="J223" s="14">
        <v>-13</v>
      </c>
      <c r="K223" s="14">
        <v>54</v>
      </c>
      <c r="L223" s="14">
        <v>1.42</v>
      </c>
      <c r="M223" s="15">
        <v>17661</v>
      </c>
      <c r="N223" s="16" t="s">
        <v>1456</v>
      </c>
      <c r="O223" s="16" t="s">
        <v>1457</v>
      </c>
      <c r="P223" s="17"/>
    </row>
    <row r="224" spans="1:16" ht="12.3">
      <c r="A224" s="12">
        <v>8</v>
      </c>
      <c r="B224" s="13" t="s">
        <v>1458</v>
      </c>
      <c r="C224" s="14">
        <v>2015</v>
      </c>
      <c r="D224" s="14">
        <v>38</v>
      </c>
      <c r="E224" s="14">
        <v>13</v>
      </c>
      <c r="F224" s="14">
        <v>13</v>
      </c>
      <c r="G224" s="14">
        <v>12</v>
      </c>
      <c r="H224" s="14">
        <v>52</v>
      </c>
      <c r="I224" s="14">
        <v>54</v>
      </c>
      <c r="J224" s="14">
        <v>-2</v>
      </c>
      <c r="K224" s="14">
        <v>52</v>
      </c>
      <c r="L224" s="14">
        <v>1.37</v>
      </c>
      <c r="M224" s="15">
        <v>23180</v>
      </c>
      <c r="N224" s="16" t="s">
        <v>1459</v>
      </c>
      <c r="O224" s="16" t="s">
        <v>1460</v>
      </c>
      <c r="P224" s="17"/>
    </row>
    <row r="225" spans="1:16" ht="12.3">
      <c r="A225" s="12">
        <v>9</v>
      </c>
      <c r="B225" s="13" t="s">
        <v>1461</v>
      </c>
      <c r="C225" s="14">
        <v>2015</v>
      </c>
      <c r="D225" s="14">
        <v>38</v>
      </c>
      <c r="E225" s="14">
        <v>13</v>
      </c>
      <c r="F225" s="14">
        <v>11</v>
      </c>
      <c r="G225" s="14">
        <v>14</v>
      </c>
      <c r="H225" s="14">
        <v>40</v>
      </c>
      <c r="I225" s="14">
        <v>38</v>
      </c>
      <c r="J225" s="14">
        <f>2</f>
        <v>2</v>
      </c>
      <c r="K225" s="14">
        <v>50</v>
      </c>
      <c r="L225" s="14">
        <v>1.32</v>
      </c>
      <c r="M225" s="15">
        <v>13502</v>
      </c>
      <c r="N225" s="16" t="s">
        <v>1462</v>
      </c>
      <c r="O225" s="16" t="s">
        <v>1463</v>
      </c>
      <c r="P225" s="17"/>
    </row>
    <row r="226" spans="1:16" ht="12.3">
      <c r="A226" s="12">
        <v>10</v>
      </c>
      <c r="B226" s="13" t="s">
        <v>1464</v>
      </c>
      <c r="C226" s="14">
        <v>2015</v>
      </c>
      <c r="D226" s="14">
        <v>38</v>
      </c>
      <c r="E226" s="14">
        <v>14</v>
      </c>
      <c r="F226" s="14">
        <v>8</v>
      </c>
      <c r="G226" s="14">
        <v>16</v>
      </c>
      <c r="H226" s="14">
        <v>36</v>
      </c>
      <c r="I226" s="14">
        <v>42</v>
      </c>
      <c r="J226" s="14">
        <v>-6</v>
      </c>
      <c r="K226" s="14">
        <v>50</v>
      </c>
      <c r="L226" s="14">
        <v>1.32</v>
      </c>
      <c r="M226" s="15">
        <v>11559</v>
      </c>
      <c r="N226" s="16" t="s">
        <v>1465</v>
      </c>
      <c r="O226" s="16" t="s">
        <v>1466</v>
      </c>
      <c r="P226" s="17"/>
    </row>
    <row r="227" spans="1:16" ht="12.3">
      <c r="A227" s="12">
        <v>11</v>
      </c>
      <c r="B227" s="13" t="s">
        <v>1467</v>
      </c>
      <c r="C227" s="14">
        <v>2015</v>
      </c>
      <c r="D227" s="14">
        <v>38</v>
      </c>
      <c r="E227" s="14">
        <v>12</v>
      </c>
      <c r="F227" s="14">
        <v>14</v>
      </c>
      <c r="G227" s="14">
        <v>12</v>
      </c>
      <c r="H227" s="14">
        <v>50</v>
      </c>
      <c r="I227" s="14">
        <v>57</v>
      </c>
      <c r="J227" s="14">
        <v>-7</v>
      </c>
      <c r="K227" s="14">
        <v>50</v>
      </c>
      <c r="L227" s="14">
        <v>1.32</v>
      </c>
      <c r="M227" s="15">
        <v>25089</v>
      </c>
      <c r="N227" s="16" t="s">
        <v>1468</v>
      </c>
      <c r="O227" s="16" t="s">
        <v>1469</v>
      </c>
      <c r="P227" s="17"/>
    </row>
    <row r="228" spans="1:16" ht="12.3">
      <c r="A228" s="12">
        <v>12</v>
      </c>
      <c r="B228" s="13" t="s">
        <v>1470</v>
      </c>
      <c r="C228" s="14">
        <v>2015</v>
      </c>
      <c r="D228" s="14">
        <v>38</v>
      </c>
      <c r="E228" s="14">
        <v>14</v>
      </c>
      <c r="F228" s="14">
        <v>7</v>
      </c>
      <c r="G228" s="14">
        <v>17</v>
      </c>
      <c r="H228" s="14">
        <v>49</v>
      </c>
      <c r="I228" s="14">
        <v>47</v>
      </c>
      <c r="J228" s="14">
        <f>2</f>
        <v>2</v>
      </c>
      <c r="K228" s="14">
        <v>49</v>
      </c>
      <c r="L228" s="14">
        <v>1.29</v>
      </c>
      <c r="M228" s="15">
        <v>12808</v>
      </c>
      <c r="N228" s="16" t="s">
        <v>1471</v>
      </c>
      <c r="O228" s="16" t="s">
        <v>1472</v>
      </c>
      <c r="P228" s="17"/>
    </row>
    <row r="229" spans="1:16" ht="12.3">
      <c r="A229" s="12">
        <v>13</v>
      </c>
      <c r="B229" s="13" t="s">
        <v>1473</v>
      </c>
      <c r="C229" s="14">
        <v>2015</v>
      </c>
      <c r="D229" s="14">
        <v>38</v>
      </c>
      <c r="E229" s="14">
        <v>10</v>
      </c>
      <c r="F229" s="14">
        <v>18</v>
      </c>
      <c r="G229" s="14">
        <v>10</v>
      </c>
      <c r="H229" s="14">
        <v>48</v>
      </c>
      <c r="I229" s="14">
        <v>42</v>
      </c>
      <c r="J229" s="14">
        <f>6</f>
        <v>6</v>
      </c>
      <c r="K229" s="14">
        <v>48</v>
      </c>
      <c r="L229" s="14">
        <v>1.26</v>
      </c>
      <c r="M229" s="15">
        <v>43976</v>
      </c>
      <c r="N229" s="16" t="s">
        <v>1474</v>
      </c>
      <c r="O229" s="16" t="s">
        <v>1475</v>
      </c>
      <c r="P229" s="17"/>
    </row>
    <row r="230" spans="1:16" ht="12.3">
      <c r="A230" s="12">
        <v>14</v>
      </c>
      <c r="B230" s="13" t="s">
        <v>1476</v>
      </c>
      <c r="C230" s="14">
        <v>2015</v>
      </c>
      <c r="D230" s="14">
        <v>38</v>
      </c>
      <c r="E230" s="14">
        <v>12</v>
      </c>
      <c r="F230" s="14">
        <v>12</v>
      </c>
      <c r="G230" s="14">
        <v>14</v>
      </c>
      <c r="H230" s="14">
        <v>33</v>
      </c>
      <c r="I230" s="14">
        <v>44</v>
      </c>
      <c r="J230" s="14">
        <v>-11</v>
      </c>
      <c r="K230" s="14">
        <v>48</v>
      </c>
      <c r="L230" s="14">
        <v>1.26</v>
      </c>
      <c r="M230" s="15">
        <v>25226</v>
      </c>
      <c r="N230" s="16" t="s">
        <v>1477</v>
      </c>
      <c r="O230" s="16" t="s">
        <v>1478</v>
      </c>
      <c r="P230" s="17"/>
    </row>
    <row r="231" spans="1:16" ht="12.3">
      <c r="A231" s="12">
        <v>15</v>
      </c>
      <c r="B231" s="13" t="s">
        <v>1479</v>
      </c>
      <c r="C231" s="14">
        <v>2015</v>
      </c>
      <c r="D231" s="14">
        <v>38</v>
      </c>
      <c r="E231" s="14">
        <v>11</v>
      </c>
      <c r="F231" s="14">
        <v>13</v>
      </c>
      <c r="G231" s="14">
        <v>14</v>
      </c>
      <c r="H231" s="14">
        <v>47</v>
      </c>
      <c r="I231" s="14">
        <v>58</v>
      </c>
      <c r="J231" s="14">
        <v>-11</v>
      </c>
      <c r="K231" s="14">
        <v>46</v>
      </c>
      <c r="L231" s="14">
        <v>1.21</v>
      </c>
      <c r="M231" s="15">
        <v>11993</v>
      </c>
      <c r="N231" s="16" t="s">
        <v>1480</v>
      </c>
      <c r="O231" s="16" t="s">
        <v>1481</v>
      </c>
      <c r="P231" s="17"/>
    </row>
    <row r="232" spans="1:16" ht="12.3">
      <c r="A232" s="12">
        <v>16</v>
      </c>
      <c r="B232" s="13" t="s">
        <v>1482</v>
      </c>
      <c r="C232" s="14">
        <v>2015</v>
      </c>
      <c r="D232" s="14">
        <v>38</v>
      </c>
      <c r="E232" s="14">
        <v>11</v>
      </c>
      <c r="F232" s="14">
        <v>11</v>
      </c>
      <c r="G232" s="14">
        <v>16</v>
      </c>
      <c r="H232" s="14">
        <v>47</v>
      </c>
      <c r="I232" s="14">
        <v>56</v>
      </c>
      <c r="J232" s="14">
        <v>-9</v>
      </c>
      <c r="K232" s="14">
        <v>44</v>
      </c>
      <c r="L232" s="14">
        <v>1.1599999999999999</v>
      </c>
      <c r="M232" s="15">
        <v>14804</v>
      </c>
      <c r="N232" s="16" t="s">
        <v>1483</v>
      </c>
      <c r="O232" s="16" t="s">
        <v>1484</v>
      </c>
      <c r="P232" s="17"/>
    </row>
    <row r="233" spans="1:16" ht="12.3">
      <c r="A233" s="12">
        <v>17</v>
      </c>
      <c r="B233" s="13" t="s">
        <v>1485</v>
      </c>
      <c r="C233" s="14">
        <v>2015</v>
      </c>
      <c r="D233" s="14">
        <v>38</v>
      </c>
      <c r="E233" s="14">
        <v>9</v>
      </c>
      <c r="F233" s="14">
        <v>13</v>
      </c>
      <c r="G233" s="14">
        <v>16</v>
      </c>
      <c r="H233" s="14">
        <v>45</v>
      </c>
      <c r="I233" s="14">
        <v>55</v>
      </c>
      <c r="J233" s="14">
        <v>-10</v>
      </c>
      <c r="K233" s="14">
        <v>40</v>
      </c>
      <c r="L233" s="14">
        <v>1.05</v>
      </c>
      <c r="M233" s="15">
        <v>16318</v>
      </c>
      <c r="N233" s="16" t="s">
        <v>1486</v>
      </c>
      <c r="O233" s="16" t="s">
        <v>1487</v>
      </c>
      <c r="P233" s="17"/>
    </row>
    <row r="234" spans="1:16" ht="12.3">
      <c r="A234" s="18">
        <v>18</v>
      </c>
      <c r="B234" s="13" t="s">
        <v>1488</v>
      </c>
      <c r="C234" s="14">
        <v>2015</v>
      </c>
      <c r="D234" s="14">
        <v>38</v>
      </c>
      <c r="E234" s="14">
        <v>10</v>
      </c>
      <c r="F234" s="14">
        <v>9</v>
      </c>
      <c r="G234" s="14">
        <v>19</v>
      </c>
      <c r="H234" s="14">
        <v>44</v>
      </c>
      <c r="I234" s="14">
        <v>57</v>
      </c>
      <c r="J234" s="14">
        <v>-13</v>
      </c>
      <c r="K234" s="14">
        <v>39</v>
      </c>
      <c r="L234" s="14">
        <v>1.03</v>
      </c>
      <c r="M234" s="15">
        <v>13483</v>
      </c>
      <c r="N234" s="16" t="s">
        <v>1489</v>
      </c>
      <c r="O234" s="16" t="s">
        <v>1490</v>
      </c>
      <c r="P234" s="17" t="s">
        <v>894</v>
      </c>
    </row>
    <row r="235" spans="1:16" ht="12.3">
      <c r="A235" s="18">
        <v>19</v>
      </c>
      <c r="B235" s="13" t="s">
        <v>1491</v>
      </c>
      <c r="C235" s="14">
        <v>2015</v>
      </c>
      <c r="D235" s="14">
        <v>38</v>
      </c>
      <c r="E235" s="14">
        <v>8</v>
      </c>
      <c r="F235" s="14">
        <v>13</v>
      </c>
      <c r="G235" s="14">
        <v>17</v>
      </c>
      <c r="H235" s="14">
        <v>37</v>
      </c>
      <c r="I235" s="14">
        <v>58</v>
      </c>
      <c r="J235" s="14">
        <v>-21</v>
      </c>
      <c r="K235" s="14">
        <v>37</v>
      </c>
      <c r="L235" s="14">
        <v>0.97</v>
      </c>
      <c r="M235" s="15">
        <v>3719</v>
      </c>
      <c r="N235" s="16" t="s">
        <v>1492</v>
      </c>
      <c r="O235" s="16" t="s">
        <v>1493</v>
      </c>
      <c r="P235" s="17" t="s">
        <v>894</v>
      </c>
    </row>
    <row r="236" spans="1:16" ht="12.3">
      <c r="A236" s="19">
        <v>20</v>
      </c>
      <c r="B236" s="20" t="s">
        <v>1494</v>
      </c>
      <c r="C236" s="14">
        <v>2015</v>
      </c>
      <c r="D236" s="21">
        <v>38</v>
      </c>
      <c r="E236" s="21">
        <v>3</v>
      </c>
      <c r="F236" s="21">
        <v>9</v>
      </c>
      <c r="G236" s="21">
        <v>26</v>
      </c>
      <c r="H236" s="21">
        <v>28</v>
      </c>
      <c r="I236" s="21">
        <v>83</v>
      </c>
      <c r="J236" s="21">
        <v>-55</v>
      </c>
      <c r="K236" s="21">
        <v>18</v>
      </c>
      <c r="L236" s="21">
        <v>0.47</v>
      </c>
      <c r="M236" s="22">
        <v>12472</v>
      </c>
      <c r="N236" s="23" t="s">
        <v>1495</v>
      </c>
      <c r="O236" s="23" t="s">
        <v>1496</v>
      </c>
      <c r="P236" s="24" t="s">
        <v>894</v>
      </c>
    </row>
    <row r="238" spans="1:16" ht="15.75" customHeight="1">
      <c r="A238" t="s">
        <v>820</v>
      </c>
      <c r="B238" t="s">
        <v>821</v>
      </c>
      <c r="C238" s="31" t="s">
        <v>2</v>
      </c>
      <c r="D238" t="s">
        <v>822</v>
      </c>
      <c r="E238" t="s">
        <v>823</v>
      </c>
      <c r="F238" t="s">
        <v>824</v>
      </c>
      <c r="G238" t="s">
        <v>825</v>
      </c>
      <c r="H238" t="s">
        <v>826</v>
      </c>
      <c r="I238" t="s">
        <v>827</v>
      </c>
      <c r="J238" t="s">
        <v>828</v>
      </c>
      <c r="K238" t="s">
        <v>829</v>
      </c>
      <c r="L238" t="s">
        <v>830</v>
      </c>
      <c r="M238" t="s">
        <v>835</v>
      </c>
      <c r="N238" t="s">
        <v>836</v>
      </c>
    </row>
    <row r="239" spans="1:16" ht="15.75" customHeight="1">
      <c r="A239">
        <v>1</v>
      </c>
      <c r="B239" t="s">
        <v>2958</v>
      </c>
      <c r="C239" s="38">
        <v>2014</v>
      </c>
      <c r="D239">
        <v>38</v>
      </c>
      <c r="E239">
        <v>24</v>
      </c>
      <c r="F239">
        <v>11</v>
      </c>
      <c r="G239">
        <v>3</v>
      </c>
      <c r="H239">
        <v>83</v>
      </c>
      <c r="I239">
        <v>36</v>
      </c>
      <c r="J239">
        <v>47</v>
      </c>
      <c r="K239">
        <v>83</v>
      </c>
      <c r="L239">
        <v>2.1800000000000002</v>
      </c>
      <c r="M239" s="37">
        <v>45789</v>
      </c>
      <c r="N239" t="s">
        <v>2627</v>
      </c>
    </row>
    <row r="240" spans="1:16" ht="15.75" customHeight="1">
      <c r="A240">
        <v>2</v>
      </c>
      <c r="B240" t="s">
        <v>2959</v>
      </c>
      <c r="C240" s="38">
        <v>2014</v>
      </c>
      <c r="D240">
        <v>38</v>
      </c>
      <c r="E240">
        <v>22</v>
      </c>
      <c r="F240">
        <v>9</v>
      </c>
      <c r="G240">
        <v>7</v>
      </c>
      <c r="H240">
        <v>72</v>
      </c>
      <c r="I240">
        <v>33</v>
      </c>
      <c r="J240">
        <v>39</v>
      </c>
      <c r="K240">
        <v>75</v>
      </c>
      <c r="L240">
        <v>1.97</v>
      </c>
      <c r="M240" s="37">
        <v>34949</v>
      </c>
      <c r="N240" t="s">
        <v>2629</v>
      </c>
    </row>
    <row r="241" spans="1:14" ht="15.75" customHeight="1">
      <c r="A241">
        <v>3</v>
      </c>
      <c r="B241" t="s">
        <v>2960</v>
      </c>
      <c r="C241" s="38">
        <v>2014</v>
      </c>
      <c r="D241">
        <v>38</v>
      </c>
      <c r="E241">
        <v>20</v>
      </c>
      <c r="F241">
        <v>11</v>
      </c>
      <c r="G241">
        <v>7</v>
      </c>
      <c r="H241">
        <v>51</v>
      </c>
      <c r="I241">
        <v>26</v>
      </c>
      <c r="J241">
        <v>25</v>
      </c>
      <c r="K241">
        <v>71</v>
      </c>
      <c r="L241">
        <v>1.87</v>
      </c>
      <c r="M241" s="37">
        <v>7825</v>
      </c>
      <c r="N241" t="s">
        <v>2631</v>
      </c>
    </row>
    <row r="242" spans="1:14" ht="15.75" customHeight="1">
      <c r="A242">
        <v>4</v>
      </c>
      <c r="B242" t="s">
        <v>2961</v>
      </c>
      <c r="C242" s="38">
        <v>2014</v>
      </c>
      <c r="D242">
        <v>38</v>
      </c>
      <c r="E242">
        <v>21</v>
      </c>
      <c r="F242">
        <v>6</v>
      </c>
      <c r="G242">
        <v>11</v>
      </c>
      <c r="H242">
        <v>76</v>
      </c>
      <c r="I242">
        <v>42</v>
      </c>
      <c r="J242">
        <v>34</v>
      </c>
      <c r="K242">
        <v>69</v>
      </c>
      <c r="L242">
        <v>1.82</v>
      </c>
      <c r="M242" s="37">
        <v>53130</v>
      </c>
      <c r="N242" t="s">
        <v>2633</v>
      </c>
    </row>
    <row r="243" spans="1:14" ht="15.75" customHeight="1">
      <c r="A243">
        <v>5</v>
      </c>
      <c r="B243" t="s">
        <v>2962</v>
      </c>
      <c r="C243" s="38">
        <v>2014</v>
      </c>
      <c r="D243">
        <v>38</v>
      </c>
      <c r="E243">
        <v>19</v>
      </c>
      <c r="F243">
        <v>12</v>
      </c>
      <c r="G243">
        <v>7</v>
      </c>
      <c r="H243">
        <v>51</v>
      </c>
      <c r="I243">
        <v>30</v>
      </c>
      <c r="J243">
        <v>21</v>
      </c>
      <c r="K243">
        <v>69</v>
      </c>
      <c r="L243">
        <v>1.82</v>
      </c>
      <c r="M243" s="37">
        <v>32256</v>
      </c>
      <c r="N243" t="s">
        <v>2636</v>
      </c>
    </row>
    <row r="244" spans="1:14" ht="15.75" customHeight="1">
      <c r="A244">
        <v>6</v>
      </c>
      <c r="B244" t="s">
        <v>2963</v>
      </c>
      <c r="C244" s="38">
        <v>2014</v>
      </c>
      <c r="D244">
        <v>38</v>
      </c>
      <c r="E244">
        <v>17</v>
      </c>
      <c r="F244">
        <v>12</v>
      </c>
      <c r="G244">
        <v>9</v>
      </c>
      <c r="H244">
        <v>47</v>
      </c>
      <c r="I244">
        <v>44</v>
      </c>
      <c r="J244">
        <v>3</v>
      </c>
      <c r="K244">
        <v>63</v>
      </c>
      <c r="L244">
        <v>1.66</v>
      </c>
      <c r="M244" s="37">
        <v>23463</v>
      </c>
      <c r="N244" t="s">
        <v>2639</v>
      </c>
    </row>
    <row r="245" spans="1:14" ht="15.75" customHeight="1">
      <c r="A245">
        <v>7</v>
      </c>
      <c r="B245" t="s">
        <v>2964</v>
      </c>
      <c r="C245" s="38">
        <v>2014</v>
      </c>
      <c r="D245">
        <v>38</v>
      </c>
      <c r="E245">
        <v>16</v>
      </c>
      <c r="F245">
        <v>8</v>
      </c>
      <c r="G245">
        <v>14</v>
      </c>
      <c r="H245">
        <v>46</v>
      </c>
      <c r="I245">
        <v>39</v>
      </c>
      <c r="J245">
        <v>7</v>
      </c>
      <c r="K245">
        <v>56</v>
      </c>
      <c r="L245">
        <v>1.47</v>
      </c>
      <c r="M245" s="37">
        <v>12860</v>
      </c>
      <c r="N245" t="s">
        <v>2641</v>
      </c>
    </row>
    <row r="246" spans="1:14" ht="15.75" customHeight="1">
      <c r="A246">
        <v>8</v>
      </c>
      <c r="B246" t="s">
        <v>2965</v>
      </c>
      <c r="C246" s="38">
        <v>2014</v>
      </c>
      <c r="D246">
        <v>38</v>
      </c>
      <c r="E246">
        <v>16</v>
      </c>
      <c r="F246">
        <v>8</v>
      </c>
      <c r="G246">
        <v>14</v>
      </c>
      <c r="H246">
        <v>43</v>
      </c>
      <c r="I246">
        <v>42</v>
      </c>
      <c r="J246">
        <v>1</v>
      </c>
      <c r="K246">
        <v>56</v>
      </c>
      <c r="L246">
        <v>1.47</v>
      </c>
      <c r="M246" s="37">
        <v>36552</v>
      </c>
      <c r="N246" t="s">
        <v>2643</v>
      </c>
    </row>
    <row r="247" spans="1:14" ht="15.75" customHeight="1">
      <c r="A247">
        <v>9</v>
      </c>
      <c r="B247" t="s">
        <v>2966</v>
      </c>
      <c r="C247" s="38">
        <v>2014</v>
      </c>
      <c r="D247">
        <v>38</v>
      </c>
      <c r="E247">
        <v>13</v>
      </c>
      <c r="F247">
        <v>11</v>
      </c>
      <c r="G247">
        <v>14</v>
      </c>
      <c r="H247">
        <v>35</v>
      </c>
      <c r="I247">
        <v>42</v>
      </c>
      <c r="J247">
        <v>-7</v>
      </c>
      <c r="K247">
        <v>50</v>
      </c>
      <c r="L247">
        <v>1.32</v>
      </c>
      <c r="M247" s="37">
        <v>20125</v>
      </c>
      <c r="N247" t="s">
        <v>2645</v>
      </c>
    </row>
    <row r="248" spans="1:14" ht="15.75" customHeight="1">
      <c r="A248">
        <v>10</v>
      </c>
      <c r="B248" t="s">
        <v>2967</v>
      </c>
      <c r="C248" s="38">
        <v>2014</v>
      </c>
      <c r="D248">
        <v>38</v>
      </c>
      <c r="E248">
        <v>15</v>
      </c>
      <c r="F248">
        <v>4</v>
      </c>
      <c r="G248">
        <v>19</v>
      </c>
      <c r="H248">
        <v>41</v>
      </c>
      <c r="I248">
        <v>55</v>
      </c>
      <c r="J248">
        <v>-14</v>
      </c>
      <c r="K248">
        <v>49</v>
      </c>
      <c r="L248">
        <v>1.29</v>
      </c>
      <c r="M248" s="37">
        <v>14847</v>
      </c>
      <c r="N248" t="s">
        <v>2647</v>
      </c>
    </row>
    <row r="249" spans="1:14" ht="15.75" customHeight="1">
      <c r="A249">
        <v>11</v>
      </c>
      <c r="B249" t="s">
        <v>2968</v>
      </c>
      <c r="C249" s="38">
        <v>2014</v>
      </c>
      <c r="D249">
        <v>38</v>
      </c>
      <c r="E249">
        <v>13</v>
      </c>
      <c r="F249">
        <v>9</v>
      </c>
      <c r="G249">
        <v>16</v>
      </c>
      <c r="H249">
        <v>44</v>
      </c>
      <c r="I249">
        <v>53</v>
      </c>
      <c r="J249">
        <v>-9</v>
      </c>
      <c r="K249">
        <v>48</v>
      </c>
      <c r="L249">
        <v>1.26</v>
      </c>
      <c r="M249" s="37">
        <v>18227</v>
      </c>
      <c r="N249" t="s">
        <v>2648</v>
      </c>
    </row>
    <row r="250" spans="1:14" ht="15.75" customHeight="1">
      <c r="A250">
        <v>12</v>
      </c>
      <c r="B250" t="s">
        <v>2969</v>
      </c>
      <c r="C250" s="38">
        <v>2014</v>
      </c>
      <c r="D250">
        <v>38</v>
      </c>
      <c r="E250">
        <v>12</v>
      </c>
      <c r="F250">
        <v>11</v>
      </c>
      <c r="G250">
        <v>15</v>
      </c>
      <c r="H250">
        <v>37</v>
      </c>
      <c r="I250">
        <v>46</v>
      </c>
      <c r="J250">
        <v>-9</v>
      </c>
      <c r="K250">
        <v>47</v>
      </c>
      <c r="L250">
        <v>1.24</v>
      </c>
      <c r="M250" s="37">
        <v>12129</v>
      </c>
      <c r="N250" t="s">
        <v>2649</v>
      </c>
    </row>
    <row r="251" spans="1:14" ht="15.75" customHeight="1">
      <c r="A251">
        <v>13</v>
      </c>
      <c r="B251" t="s">
        <v>2970</v>
      </c>
      <c r="C251" s="38">
        <v>2014</v>
      </c>
      <c r="D251">
        <v>38</v>
      </c>
      <c r="E251">
        <v>12</v>
      </c>
      <c r="F251">
        <v>10</v>
      </c>
      <c r="G251">
        <v>16</v>
      </c>
      <c r="H251">
        <v>54</v>
      </c>
      <c r="I251">
        <v>55</v>
      </c>
      <c r="J251">
        <v>-1</v>
      </c>
      <c r="K251">
        <v>46</v>
      </c>
      <c r="L251">
        <v>1.21</v>
      </c>
      <c r="M251" s="37">
        <v>16991</v>
      </c>
      <c r="N251" t="s">
        <v>2650</v>
      </c>
    </row>
    <row r="252" spans="1:14" ht="15.75" customHeight="1">
      <c r="A252">
        <v>14</v>
      </c>
      <c r="B252" t="s">
        <v>2971</v>
      </c>
      <c r="C252" s="38">
        <v>2014</v>
      </c>
      <c r="D252">
        <v>38</v>
      </c>
      <c r="E252">
        <v>11</v>
      </c>
      <c r="F252">
        <v>12</v>
      </c>
      <c r="G252">
        <v>15</v>
      </c>
      <c r="H252">
        <v>29</v>
      </c>
      <c r="I252">
        <v>40</v>
      </c>
      <c r="J252">
        <v>-11</v>
      </c>
      <c r="K252">
        <v>45</v>
      </c>
      <c r="L252">
        <v>1.18</v>
      </c>
      <c r="M252" s="37">
        <v>25985</v>
      </c>
      <c r="N252" t="s">
        <v>2652</v>
      </c>
    </row>
    <row r="253" spans="1:14" ht="15.75" customHeight="1">
      <c r="A253">
        <v>15</v>
      </c>
      <c r="B253" t="s">
        <v>2972</v>
      </c>
      <c r="C253" s="38">
        <v>2014</v>
      </c>
      <c r="D253">
        <v>38</v>
      </c>
      <c r="E253">
        <v>12</v>
      </c>
      <c r="F253">
        <v>8</v>
      </c>
      <c r="G253">
        <v>18</v>
      </c>
      <c r="H253">
        <v>47</v>
      </c>
      <c r="I253">
        <v>66</v>
      </c>
      <c r="J253">
        <v>-19</v>
      </c>
      <c r="K253">
        <v>44</v>
      </c>
      <c r="L253">
        <v>1.1599999999999999</v>
      </c>
      <c r="M253" s="37">
        <v>14091</v>
      </c>
      <c r="N253" t="s">
        <v>2654</v>
      </c>
    </row>
    <row r="254" spans="1:14" ht="15.75" customHeight="1">
      <c r="A254">
        <v>16</v>
      </c>
      <c r="B254" t="s">
        <v>2973</v>
      </c>
      <c r="C254" s="38">
        <v>2014</v>
      </c>
      <c r="D254">
        <v>38</v>
      </c>
      <c r="E254">
        <v>12</v>
      </c>
      <c r="F254">
        <v>7</v>
      </c>
      <c r="G254">
        <v>19</v>
      </c>
      <c r="H254">
        <v>44</v>
      </c>
      <c r="I254">
        <v>50</v>
      </c>
      <c r="J254">
        <v>-6</v>
      </c>
      <c r="K254">
        <v>43</v>
      </c>
      <c r="L254">
        <v>1.1299999999999999</v>
      </c>
      <c r="M254" s="37">
        <v>13646</v>
      </c>
      <c r="N254" t="s">
        <v>2655</v>
      </c>
    </row>
    <row r="255" spans="1:14" ht="15.75" customHeight="1">
      <c r="A255">
        <v>17</v>
      </c>
      <c r="B255" t="s">
        <v>2974</v>
      </c>
      <c r="C255" s="38">
        <v>2014</v>
      </c>
      <c r="D255">
        <v>38</v>
      </c>
      <c r="E255">
        <v>12</v>
      </c>
      <c r="F255">
        <v>6</v>
      </c>
      <c r="G255">
        <v>20</v>
      </c>
      <c r="H255">
        <v>43</v>
      </c>
      <c r="I255">
        <v>64</v>
      </c>
      <c r="J255">
        <v>-21</v>
      </c>
      <c r="K255">
        <v>42</v>
      </c>
      <c r="L255">
        <v>1.1100000000000001</v>
      </c>
      <c r="M255" s="37">
        <v>15687</v>
      </c>
      <c r="N255" t="s">
        <v>2656</v>
      </c>
    </row>
    <row r="256" spans="1:14" ht="15.75" customHeight="1">
      <c r="A256">
        <v>18</v>
      </c>
      <c r="B256" t="s">
        <v>2975</v>
      </c>
      <c r="C256" s="38">
        <v>2014</v>
      </c>
      <c r="D256">
        <v>38</v>
      </c>
      <c r="E256">
        <v>11</v>
      </c>
      <c r="F256">
        <v>4</v>
      </c>
      <c r="G256">
        <v>23</v>
      </c>
      <c r="H256">
        <v>41</v>
      </c>
      <c r="I256">
        <v>62</v>
      </c>
      <c r="J256">
        <v>-21</v>
      </c>
      <c r="K256">
        <v>37</v>
      </c>
      <c r="L256">
        <v>0.97</v>
      </c>
      <c r="M256" s="37">
        <v>10515</v>
      </c>
      <c r="N256" t="s">
        <v>2658</v>
      </c>
    </row>
    <row r="257" spans="1:16" ht="15.75" customHeight="1">
      <c r="A257">
        <v>19</v>
      </c>
      <c r="B257" t="s">
        <v>2976</v>
      </c>
      <c r="C257" s="38">
        <v>2014</v>
      </c>
      <c r="D257">
        <v>38</v>
      </c>
      <c r="E257">
        <v>7</v>
      </c>
      <c r="F257">
        <v>9</v>
      </c>
      <c r="G257">
        <v>22</v>
      </c>
      <c r="H257">
        <v>31</v>
      </c>
      <c r="I257">
        <v>61</v>
      </c>
      <c r="J257">
        <v>-30</v>
      </c>
      <c r="K257">
        <v>30</v>
      </c>
      <c r="L257">
        <v>0.79</v>
      </c>
      <c r="M257" s="37">
        <v>19145</v>
      </c>
      <c r="N257" t="s">
        <v>2659</v>
      </c>
    </row>
    <row r="258" spans="1:16" ht="15.75" customHeight="1">
      <c r="A258">
        <v>20</v>
      </c>
      <c r="B258" t="s">
        <v>2977</v>
      </c>
      <c r="C258" s="38">
        <v>2014</v>
      </c>
      <c r="D258">
        <v>38</v>
      </c>
      <c r="E258">
        <v>7</v>
      </c>
      <c r="F258">
        <v>8</v>
      </c>
      <c r="G258">
        <v>23</v>
      </c>
      <c r="H258">
        <v>32</v>
      </c>
      <c r="I258">
        <v>61</v>
      </c>
      <c r="J258">
        <v>-29</v>
      </c>
      <c r="K258">
        <v>29</v>
      </c>
      <c r="L258">
        <v>0.76</v>
      </c>
      <c r="M258" s="37">
        <v>17205</v>
      </c>
      <c r="N258" t="s">
        <v>2660</v>
      </c>
    </row>
    <row r="260" spans="1:16" ht="15.75" customHeight="1">
      <c r="A260" t="s">
        <v>820</v>
      </c>
      <c r="B260" t="s">
        <v>821</v>
      </c>
      <c r="C260" s="31" t="s">
        <v>2</v>
      </c>
      <c r="D260" t="s">
        <v>822</v>
      </c>
      <c r="E260" t="s">
        <v>823</v>
      </c>
      <c r="F260" t="s">
        <v>824</v>
      </c>
      <c r="G260" t="s">
        <v>825</v>
      </c>
      <c r="H260" t="s">
        <v>826</v>
      </c>
      <c r="I260" t="s">
        <v>827</v>
      </c>
      <c r="J260" t="s">
        <v>828</v>
      </c>
      <c r="K260" t="s">
        <v>829</v>
      </c>
      <c r="L260" t="s">
        <v>830</v>
      </c>
      <c r="M260" t="s">
        <v>835</v>
      </c>
      <c r="N260" t="s">
        <v>836</v>
      </c>
      <c r="O260" t="s">
        <v>837</v>
      </c>
      <c r="P260" t="s">
        <v>838</v>
      </c>
    </row>
    <row r="261" spans="1:16" ht="15.75" customHeight="1">
      <c r="A261">
        <v>1</v>
      </c>
      <c r="B261" t="s">
        <v>2958</v>
      </c>
      <c r="C261" s="38">
        <v>2013</v>
      </c>
      <c r="D261">
        <v>38</v>
      </c>
      <c r="E261">
        <v>27</v>
      </c>
      <c r="F261">
        <v>8</v>
      </c>
      <c r="G261">
        <v>3</v>
      </c>
      <c r="H261">
        <v>84</v>
      </c>
      <c r="I261">
        <v>23</v>
      </c>
      <c r="J261">
        <v>61</v>
      </c>
      <c r="K261">
        <v>89</v>
      </c>
      <c r="L261">
        <v>2.34</v>
      </c>
      <c r="N261" t="s">
        <v>2662</v>
      </c>
      <c r="O261" t="s">
        <v>2628</v>
      </c>
      <c r="P261" t="s">
        <v>842</v>
      </c>
    </row>
    <row r="262" spans="1:16" ht="15.75" customHeight="1">
      <c r="A262">
        <v>2</v>
      </c>
      <c r="B262" t="s">
        <v>2960</v>
      </c>
      <c r="C262" s="38">
        <v>2013</v>
      </c>
      <c r="D262">
        <v>38</v>
      </c>
      <c r="E262">
        <v>23</v>
      </c>
      <c r="F262">
        <v>11</v>
      </c>
      <c r="G262">
        <v>4</v>
      </c>
      <c r="H262">
        <v>63</v>
      </c>
      <c r="I262">
        <v>31</v>
      </c>
      <c r="J262">
        <v>32</v>
      </c>
      <c r="K262">
        <v>80</v>
      </c>
      <c r="L262">
        <v>2.11</v>
      </c>
      <c r="N262" t="s">
        <v>2663</v>
      </c>
      <c r="O262" t="s">
        <v>2632</v>
      </c>
      <c r="P262" t="s">
        <v>842</v>
      </c>
    </row>
    <row r="263" spans="1:16" ht="15.75" customHeight="1">
      <c r="A263">
        <v>3</v>
      </c>
      <c r="B263" t="s">
        <v>2965</v>
      </c>
      <c r="C263" s="38">
        <v>2013</v>
      </c>
      <c r="D263">
        <v>38</v>
      </c>
      <c r="E263">
        <v>20</v>
      </c>
      <c r="F263">
        <v>11</v>
      </c>
      <c r="G263">
        <v>7</v>
      </c>
      <c r="H263">
        <v>46</v>
      </c>
      <c r="I263">
        <v>26</v>
      </c>
      <c r="J263">
        <v>20</v>
      </c>
      <c r="K263">
        <v>71</v>
      </c>
      <c r="L263">
        <v>1.87</v>
      </c>
      <c r="N263" t="s">
        <v>2664</v>
      </c>
      <c r="O263" t="s">
        <v>2644</v>
      </c>
      <c r="P263" t="s">
        <v>842</v>
      </c>
    </row>
    <row r="264" spans="1:16" ht="15.75" customHeight="1">
      <c r="A264">
        <v>4</v>
      </c>
      <c r="B264" t="s">
        <v>2962</v>
      </c>
      <c r="C264" s="38">
        <v>2013</v>
      </c>
      <c r="D264">
        <v>38</v>
      </c>
      <c r="E264">
        <v>20</v>
      </c>
      <c r="F264">
        <v>9</v>
      </c>
      <c r="G264">
        <v>9</v>
      </c>
      <c r="H264">
        <v>56</v>
      </c>
      <c r="I264">
        <v>34</v>
      </c>
      <c r="J264">
        <v>22</v>
      </c>
      <c r="K264">
        <v>69</v>
      </c>
      <c r="L264">
        <v>1.82</v>
      </c>
      <c r="N264" t="s">
        <v>2665</v>
      </c>
      <c r="O264" t="s">
        <v>2637</v>
      </c>
      <c r="P264" t="s">
        <v>855</v>
      </c>
    </row>
    <row r="265" spans="1:16" ht="15.75" customHeight="1">
      <c r="A265">
        <v>5</v>
      </c>
      <c r="B265" t="s">
        <v>2959</v>
      </c>
      <c r="C265" s="38">
        <v>2013</v>
      </c>
      <c r="D265">
        <v>38</v>
      </c>
      <c r="E265">
        <v>17</v>
      </c>
      <c r="F265">
        <v>10</v>
      </c>
      <c r="G265">
        <v>11</v>
      </c>
      <c r="H265">
        <v>56</v>
      </c>
      <c r="I265">
        <v>44</v>
      </c>
      <c r="J265">
        <v>12</v>
      </c>
      <c r="K265">
        <v>61</v>
      </c>
      <c r="L265">
        <v>1.61</v>
      </c>
      <c r="N265" t="s">
        <v>2666</v>
      </c>
      <c r="O265" t="s">
        <v>2630</v>
      </c>
      <c r="P265" t="s">
        <v>2635</v>
      </c>
    </row>
    <row r="266" spans="1:16" ht="15.75" customHeight="1">
      <c r="A266">
        <v>6</v>
      </c>
      <c r="B266" t="s">
        <v>2961</v>
      </c>
      <c r="C266" s="38">
        <v>2013</v>
      </c>
      <c r="D266">
        <v>38</v>
      </c>
      <c r="E266">
        <v>16</v>
      </c>
      <c r="F266">
        <v>12</v>
      </c>
      <c r="G266">
        <v>10</v>
      </c>
      <c r="H266">
        <v>53</v>
      </c>
      <c r="I266">
        <v>40</v>
      </c>
      <c r="J266">
        <v>13</v>
      </c>
      <c r="K266">
        <v>60</v>
      </c>
      <c r="L266">
        <v>1.58</v>
      </c>
      <c r="N266" t="s">
        <v>2667</v>
      </c>
      <c r="O266" t="s">
        <v>2634</v>
      </c>
    </row>
    <row r="267" spans="1:16" ht="15.75" customHeight="1">
      <c r="A267">
        <v>7</v>
      </c>
      <c r="B267" t="s">
        <v>2963</v>
      </c>
      <c r="C267" s="38">
        <v>2013</v>
      </c>
      <c r="D267">
        <v>38</v>
      </c>
      <c r="E267">
        <v>13</v>
      </c>
      <c r="F267">
        <v>14</v>
      </c>
      <c r="G267">
        <v>11</v>
      </c>
      <c r="H267">
        <v>49</v>
      </c>
      <c r="I267">
        <v>43</v>
      </c>
      <c r="J267">
        <v>6</v>
      </c>
      <c r="K267">
        <v>53</v>
      </c>
      <c r="L267">
        <v>1.39</v>
      </c>
      <c r="N267" t="s">
        <v>2668</v>
      </c>
      <c r="O267" t="s">
        <v>2640</v>
      </c>
    </row>
    <row r="268" spans="1:16" ht="15.75" customHeight="1">
      <c r="A268">
        <v>8</v>
      </c>
      <c r="B268" t="s">
        <v>2973</v>
      </c>
      <c r="C268" s="38">
        <v>2013</v>
      </c>
      <c r="D268">
        <v>38</v>
      </c>
      <c r="E268">
        <v>13</v>
      </c>
      <c r="F268">
        <v>10</v>
      </c>
      <c r="G268">
        <v>15</v>
      </c>
      <c r="H268">
        <v>48</v>
      </c>
      <c r="I268">
        <v>53</v>
      </c>
      <c r="J268">
        <v>-5</v>
      </c>
      <c r="K268">
        <v>49</v>
      </c>
      <c r="L268">
        <v>1.29</v>
      </c>
      <c r="N268" t="s">
        <v>2669</v>
      </c>
      <c r="O268" t="s">
        <v>2670</v>
      </c>
    </row>
    <row r="269" spans="1:16" ht="15.75" customHeight="1">
      <c r="A269">
        <v>9</v>
      </c>
      <c r="B269" t="s">
        <v>2974</v>
      </c>
      <c r="C269" s="38">
        <v>2013</v>
      </c>
      <c r="D269">
        <v>38</v>
      </c>
      <c r="E269">
        <v>12</v>
      </c>
      <c r="F269">
        <v>13</v>
      </c>
      <c r="G269">
        <v>13</v>
      </c>
      <c r="H269">
        <v>46</v>
      </c>
      <c r="I269">
        <v>53</v>
      </c>
      <c r="J269">
        <v>-7</v>
      </c>
      <c r="K269">
        <v>49</v>
      </c>
      <c r="L269">
        <v>1.29</v>
      </c>
      <c r="N269" t="s">
        <v>2671</v>
      </c>
      <c r="O269" t="s">
        <v>2657</v>
      </c>
    </row>
    <row r="270" spans="1:16" ht="15.75" customHeight="1">
      <c r="A270">
        <v>10</v>
      </c>
      <c r="B270" t="s">
        <v>2969</v>
      </c>
      <c r="C270" s="38">
        <v>2013</v>
      </c>
      <c r="D270">
        <v>38</v>
      </c>
      <c r="E270">
        <v>13</v>
      </c>
      <c r="F270">
        <v>10</v>
      </c>
      <c r="G270">
        <v>15</v>
      </c>
      <c r="H270">
        <v>42</v>
      </c>
      <c r="I270">
        <v>56</v>
      </c>
      <c r="J270">
        <v>-14</v>
      </c>
      <c r="K270">
        <v>49</v>
      </c>
      <c r="L270">
        <v>1.29</v>
      </c>
      <c r="N270" t="s">
        <v>2672</v>
      </c>
      <c r="O270" t="s">
        <v>2673</v>
      </c>
    </row>
    <row r="271" spans="1:16" ht="15.75" customHeight="1">
      <c r="A271">
        <v>11</v>
      </c>
      <c r="B271" t="s">
        <v>2972</v>
      </c>
      <c r="C271" s="38">
        <v>2013</v>
      </c>
      <c r="D271">
        <v>38</v>
      </c>
      <c r="E271">
        <v>12</v>
      </c>
      <c r="F271">
        <v>12</v>
      </c>
      <c r="G271">
        <v>14</v>
      </c>
      <c r="H271">
        <v>44</v>
      </c>
      <c r="I271">
        <v>52</v>
      </c>
      <c r="J271">
        <v>-8</v>
      </c>
      <c r="K271">
        <v>48</v>
      </c>
      <c r="L271">
        <v>1.26</v>
      </c>
      <c r="N271" t="s">
        <v>2674</v>
      </c>
      <c r="O271" t="s">
        <v>2675</v>
      </c>
    </row>
    <row r="272" spans="1:16" ht="15.75" customHeight="1">
      <c r="A272">
        <v>12</v>
      </c>
      <c r="B272" t="s">
        <v>2966</v>
      </c>
      <c r="C272" s="38">
        <v>2013</v>
      </c>
      <c r="D272">
        <v>38</v>
      </c>
      <c r="E272">
        <v>11</v>
      </c>
      <c r="F272">
        <v>13</v>
      </c>
      <c r="G272">
        <v>14</v>
      </c>
      <c r="H272">
        <v>47</v>
      </c>
      <c r="I272">
        <v>45</v>
      </c>
      <c r="J272">
        <v>2</v>
      </c>
      <c r="K272">
        <v>46</v>
      </c>
      <c r="L272">
        <v>1.21</v>
      </c>
      <c r="N272" t="s">
        <v>2676</v>
      </c>
      <c r="O272" t="s">
        <v>2646</v>
      </c>
    </row>
    <row r="273" spans="1:16" ht="15.75" customHeight="1">
      <c r="A273">
        <v>13</v>
      </c>
      <c r="B273" t="s">
        <v>2971</v>
      </c>
      <c r="C273" s="38">
        <v>2013</v>
      </c>
      <c r="D273">
        <v>38</v>
      </c>
      <c r="E273">
        <v>12</v>
      </c>
      <c r="F273">
        <v>10</v>
      </c>
      <c r="G273">
        <v>16</v>
      </c>
      <c r="H273">
        <v>38</v>
      </c>
      <c r="I273">
        <v>43</v>
      </c>
      <c r="J273">
        <v>-5</v>
      </c>
      <c r="K273">
        <v>46</v>
      </c>
      <c r="L273">
        <v>1.21</v>
      </c>
      <c r="N273" t="s">
        <v>2677</v>
      </c>
      <c r="O273" t="s">
        <v>2653</v>
      </c>
    </row>
    <row r="274" spans="1:16" ht="15.75" customHeight="1">
      <c r="A274">
        <v>14</v>
      </c>
      <c r="B274" t="s">
        <v>2975</v>
      </c>
      <c r="C274" s="38">
        <v>2013</v>
      </c>
      <c r="D274">
        <v>38</v>
      </c>
      <c r="E274">
        <v>11</v>
      </c>
      <c r="F274">
        <v>11</v>
      </c>
      <c r="G274">
        <v>16</v>
      </c>
      <c r="H274">
        <v>39</v>
      </c>
      <c r="I274">
        <v>51</v>
      </c>
      <c r="J274">
        <v>-12</v>
      </c>
      <c r="K274">
        <v>44</v>
      </c>
      <c r="L274">
        <v>1.1599999999999999</v>
      </c>
      <c r="N274" t="s">
        <v>2678</v>
      </c>
      <c r="O274" t="s">
        <v>2679</v>
      </c>
    </row>
    <row r="275" spans="1:16" ht="15.75" customHeight="1">
      <c r="A275">
        <v>15</v>
      </c>
      <c r="B275" t="s">
        <v>2964</v>
      </c>
      <c r="C275" s="38">
        <v>2013</v>
      </c>
      <c r="D275">
        <v>38</v>
      </c>
      <c r="E275">
        <v>8</v>
      </c>
      <c r="F275">
        <v>18</v>
      </c>
      <c r="G275">
        <v>12</v>
      </c>
      <c r="H275">
        <v>45</v>
      </c>
      <c r="I275">
        <v>53</v>
      </c>
      <c r="J275">
        <v>-8</v>
      </c>
      <c r="K275">
        <v>42</v>
      </c>
      <c r="L275">
        <v>1.1100000000000001</v>
      </c>
      <c r="N275" t="s">
        <v>2680</v>
      </c>
      <c r="O275" t="s">
        <v>2642</v>
      </c>
    </row>
    <row r="276" spans="1:16" ht="15.75" customHeight="1">
      <c r="A276">
        <v>16</v>
      </c>
      <c r="B276" t="s">
        <v>2967</v>
      </c>
      <c r="C276" s="38">
        <v>2013</v>
      </c>
      <c r="D276">
        <v>38</v>
      </c>
      <c r="E276">
        <v>11</v>
      </c>
      <c r="F276">
        <v>9</v>
      </c>
      <c r="G276">
        <v>18</v>
      </c>
      <c r="H276">
        <v>34</v>
      </c>
      <c r="I276">
        <v>42</v>
      </c>
      <c r="J276">
        <v>-8</v>
      </c>
      <c r="K276">
        <v>42</v>
      </c>
      <c r="L276">
        <v>1.1100000000000001</v>
      </c>
      <c r="N276" t="s">
        <v>2681</v>
      </c>
      <c r="O276" t="s">
        <v>2682</v>
      </c>
      <c r="P276" t="s">
        <v>2683</v>
      </c>
    </row>
    <row r="277" spans="1:16" ht="15.75" customHeight="1">
      <c r="A277">
        <v>17</v>
      </c>
      <c r="B277" t="s">
        <v>2968</v>
      </c>
      <c r="C277" s="38">
        <v>2013</v>
      </c>
      <c r="D277">
        <v>38</v>
      </c>
      <c r="E277">
        <v>12</v>
      </c>
      <c r="F277">
        <v>6</v>
      </c>
      <c r="G277">
        <v>20</v>
      </c>
      <c r="H277">
        <v>30</v>
      </c>
      <c r="I277">
        <v>44</v>
      </c>
      <c r="J277">
        <v>-14</v>
      </c>
      <c r="K277">
        <v>42</v>
      </c>
      <c r="L277">
        <v>1.1100000000000001</v>
      </c>
      <c r="N277" t="s">
        <v>2684</v>
      </c>
      <c r="O277" t="s">
        <v>2685</v>
      </c>
    </row>
    <row r="278" spans="1:16" ht="15.75" customHeight="1">
      <c r="A278">
        <v>18</v>
      </c>
      <c r="B278" t="s">
        <v>2978</v>
      </c>
      <c r="C278" s="38">
        <v>2013</v>
      </c>
      <c r="D278">
        <v>38</v>
      </c>
      <c r="E278">
        <v>10</v>
      </c>
      <c r="F278">
        <v>10</v>
      </c>
      <c r="G278">
        <v>18</v>
      </c>
      <c r="H278">
        <v>37</v>
      </c>
      <c r="I278">
        <v>61</v>
      </c>
      <c r="J278">
        <v>-24</v>
      </c>
      <c r="K278">
        <v>40</v>
      </c>
      <c r="L278">
        <v>1.05</v>
      </c>
      <c r="N278" t="s">
        <v>2686</v>
      </c>
      <c r="O278" t="s">
        <v>2687</v>
      </c>
      <c r="P278" t="s">
        <v>894</v>
      </c>
    </row>
    <row r="279" spans="1:16" ht="15.75" customHeight="1">
      <c r="A279">
        <v>19</v>
      </c>
      <c r="B279" t="s">
        <v>2979</v>
      </c>
      <c r="C279" s="38">
        <v>2013</v>
      </c>
      <c r="D279">
        <v>38</v>
      </c>
      <c r="E279">
        <v>7</v>
      </c>
      <c r="F279">
        <v>8</v>
      </c>
      <c r="G279">
        <v>23</v>
      </c>
      <c r="H279">
        <v>37</v>
      </c>
      <c r="I279">
        <v>65</v>
      </c>
      <c r="J279">
        <v>-28</v>
      </c>
      <c r="K279">
        <v>29</v>
      </c>
      <c r="L279">
        <v>0.76</v>
      </c>
      <c r="N279" t="s">
        <v>2688</v>
      </c>
      <c r="O279" t="s">
        <v>2689</v>
      </c>
      <c r="P279" t="s">
        <v>894</v>
      </c>
    </row>
    <row r="280" spans="1:16" ht="15.75" customHeight="1">
      <c r="A280">
        <v>20</v>
      </c>
      <c r="B280" t="s">
        <v>2980</v>
      </c>
      <c r="C280" s="38">
        <v>2013</v>
      </c>
      <c r="D280">
        <v>38</v>
      </c>
      <c r="E280">
        <v>4</v>
      </c>
      <c r="F280">
        <v>11</v>
      </c>
      <c r="G280">
        <v>23</v>
      </c>
      <c r="H280">
        <v>37</v>
      </c>
      <c r="I280">
        <v>72</v>
      </c>
      <c r="J280">
        <v>-35</v>
      </c>
      <c r="K280">
        <v>23</v>
      </c>
      <c r="L280">
        <v>0.61</v>
      </c>
      <c r="N280" t="s">
        <v>2690</v>
      </c>
      <c r="O280" t="s">
        <v>2691</v>
      </c>
      <c r="P280" t="s">
        <v>894</v>
      </c>
    </row>
    <row r="282" spans="1:16" ht="15.75" customHeight="1">
      <c r="A282" t="s">
        <v>820</v>
      </c>
      <c r="B282" t="s">
        <v>821</v>
      </c>
      <c r="C282" s="31" t="s">
        <v>2</v>
      </c>
      <c r="D282" t="s">
        <v>822</v>
      </c>
      <c r="E282" t="s">
        <v>823</v>
      </c>
      <c r="F282" t="s">
        <v>824</v>
      </c>
      <c r="G282" t="s">
        <v>825</v>
      </c>
      <c r="H282" t="s">
        <v>826</v>
      </c>
      <c r="I282" t="s">
        <v>827</v>
      </c>
      <c r="J282" t="s">
        <v>828</v>
      </c>
      <c r="K282" t="s">
        <v>829</v>
      </c>
      <c r="L282" t="s">
        <v>830</v>
      </c>
      <c r="M282" t="s">
        <v>835</v>
      </c>
      <c r="N282" t="s">
        <v>836</v>
      </c>
      <c r="O282" t="s">
        <v>837</v>
      </c>
      <c r="P282" t="s">
        <v>838</v>
      </c>
    </row>
    <row r="283" spans="1:16" ht="15.75" customHeight="1">
      <c r="A283">
        <v>1</v>
      </c>
      <c r="B283" t="s">
        <v>2958</v>
      </c>
      <c r="C283" s="38">
        <v>2012</v>
      </c>
      <c r="D283">
        <v>38</v>
      </c>
      <c r="E283">
        <v>25</v>
      </c>
      <c r="F283">
        <v>8</v>
      </c>
      <c r="G283">
        <v>5</v>
      </c>
      <c r="H283">
        <v>69</v>
      </c>
      <c r="I283">
        <v>23</v>
      </c>
      <c r="J283">
        <v>46</v>
      </c>
      <c r="K283">
        <v>83</v>
      </c>
      <c r="L283">
        <v>2.1800000000000002</v>
      </c>
      <c r="N283" t="s">
        <v>2692</v>
      </c>
      <c r="O283" t="s">
        <v>2628</v>
      </c>
      <c r="P283" t="s">
        <v>842</v>
      </c>
    </row>
    <row r="284" spans="1:16" ht="15.75" customHeight="1">
      <c r="A284">
        <v>2</v>
      </c>
      <c r="B284" t="s">
        <v>2961</v>
      </c>
      <c r="C284" s="38">
        <v>2012</v>
      </c>
      <c r="D284">
        <v>38</v>
      </c>
      <c r="E284">
        <v>21</v>
      </c>
      <c r="F284">
        <v>8</v>
      </c>
      <c r="G284">
        <v>9</v>
      </c>
      <c r="H284">
        <v>42</v>
      </c>
      <c r="I284">
        <v>36</v>
      </c>
      <c r="J284">
        <v>6</v>
      </c>
      <c r="K284">
        <v>71</v>
      </c>
      <c r="L284">
        <v>1.87</v>
      </c>
      <c r="N284" t="s">
        <v>2693</v>
      </c>
      <c r="O284" t="s">
        <v>2634</v>
      </c>
      <c r="P284" t="s">
        <v>842</v>
      </c>
    </row>
    <row r="285" spans="1:16" ht="15.75" customHeight="1">
      <c r="A285">
        <v>3</v>
      </c>
      <c r="B285" t="s">
        <v>2959</v>
      </c>
      <c r="C285" s="38">
        <v>2012</v>
      </c>
      <c r="D285">
        <v>38</v>
      </c>
      <c r="E285">
        <v>19</v>
      </c>
      <c r="F285">
        <v>10</v>
      </c>
      <c r="G285">
        <v>9</v>
      </c>
      <c r="H285">
        <v>61</v>
      </c>
      <c r="I285">
        <v>38</v>
      </c>
      <c r="J285">
        <v>23</v>
      </c>
      <c r="K285">
        <v>67</v>
      </c>
      <c r="L285">
        <v>1.76</v>
      </c>
      <c r="N285" t="s">
        <v>2694</v>
      </c>
      <c r="O285" t="s">
        <v>2651</v>
      </c>
      <c r="P285" t="s">
        <v>842</v>
      </c>
    </row>
    <row r="286" spans="1:16" ht="15.75" customHeight="1">
      <c r="A286">
        <v>4</v>
      </c>
      <c r="B286" t="s">
        <v>2968</v>
      </c>
      <c r="C286" s="38">
        <v>2012</v>
      </c>
      <c r="D286">
        <v>38</v>
      </c>
      <c r="E286">
        <v>18</v>
      </c>
      <c r="F286">
        <v>10</v>
      </c>
      <c r="G286">
        <v>10</v>
      </c>
      <c r="H286">
        <v>57</v>
      </c>
      <c r="I286">
        <v>46</v>
      </c>
      <c r="J286">
        <v>11</v>
      </c>
      <c r="K286">
        <v>64</v>
      </c>
      <c r="L286">
        <v>1.68</v>
      </c>
      <c r="N286" t="s">
        <v>2695</v>
      </c>
      <c r="O286" t="s">
        <v>2685</v>
      </c>
      <c r="P286" t="s">
        <v>855</v>
      </c>
    </row>
    <row r="287" spans="1:16" ht="15.75" customHeight="1">
      <c r="A287">
        <v>5</v>
      </c>
      <c r="B287" t="s">
        <v>2962</v>
      </c>
      <c r="C287" s="38">
        <v>2012</v>
      </c>
      <c r="D287">
        <v>38</v>
      </c>
      <c r="E287">
        <v>16</v>
      </c>
      <c r="F287">
        <v>15</v>
      </c>
      <c r="G287">
        <v>7</v>
      </c>
      <c r="H287">
        <v>60</v>
      </c>
      <c r="I287">
        <v>32</v>
      </c>
      <c r="J287">
        <v>28</v>
      </c>
      <c r="K287">
        <v>63</v>
      </c>
      <c r="L287">
        <v>1.66</v>
      </c>
      <c r="N287" t="s">
        <v>2696</v>
      </c>
      <c r="O287" t="s">
        <v>2637</v>
      </c>
      <c r="P287" t="s">
        <v>2697</v>
      </c>
    </row>
    <row r="288" spans="1:16" ht="15.75" customHeight="1">
      <c r="A288">
        <v>6</v>
      </c>
      <c r="B288" t="s">
        <v>2965</v>
      </c>
      <c r="C288" s="38">
        <v>2012</v>
      </c>
      <c r="D288">
        <v>38</v>
      </c>
      <c r="E288">
        <v>16</v>
      </c>
      <c r="F288">
        <v>14</v>
      </c>
      <c r="G288">
        <v>8</v>
      </c>
      <c r="H288">
        <v>59</v>
      </c>
      <c r="I288">
        <v>40</v>
      </c>
      <c r="J288">
        <v>19</v>
      </c>
      <c r="K288">
        <v>62</v>
      </c>
      <c r="L288">
        <v>1.63</v>
      </c>
      <c r="N288" t="s">
        <v>2698</v>
      </c>
      <c r="O288" t="s">
        <v>2699</v>
      </c>
    </row>
    <row r="289" spans="1:16" ht="15.75" customHeight="1">
      <c r="A289">
        <v>7</v>
      </c>
      <c r="B289" t="s">
        <v>2963</v>
      </c>
      <c r="C289" s="38">
        <v>2012</v>
      </c>
      <c r="D289">
        <v>38</v>
      </c>
      <c r="E289">
        <v>13</v>
      </c>
      <c r="F289">
        <v>16</v>
      </c>
      <c r="G289">
        <v>9</v>
      </c>
      <c r="H289">
        <v>40</v>
      </c>
      <c r="I289">
        <v>34</v>
      </c>
      <c r="J289">
        <v>6</v>
      </c>
      <c r="K289">
        <v>55</v>
      </c>
      <c r="L289">
        <v>1.45</v>
      </c>
      <c r="N289" t="s">
        <v>2700</v>
      </c>
      <c r="O289" t="s">
        <v>2640</v>
      </c>
      <c r="P289" t="s">
        <v>2683</v>
      </c>
    </row>
    <row r="290" spans="1:16" ht="15.75" customHeight="1">
      <c r="A290">
        <v>8</v>
      </c>
      <c r="B290" t="s">
        <v>2973</v>
      </c>
      <c r="C290" s="38">
        <v>2012</v>
      </c>
      <c r="D290">
        <v>38</v>
      </c>
      <c r="E290">
        <v>14</v>
      </c>
      <c r="F290">
        <v>11</v>
      </c>
      <c r="G290">
        <v>13</v>
      </c>
      <c r="H290">
        <v>57</v>
      </c>
      <c r="I290">
        <v>58</v>
      </c>
      <c r="J290">
        <v>-1</v>
      </c>
      <c r="K290">
        <v>53</v>
      </c>
      <c r="L290">
        <v>1.39</v>
      </c>
      <c r="N290" t="s">
        <v>2701</v>
      </c>
      <c r="O290" t="s">
        <v>2670</v>
      </c>
    </row>
    <row r="291" spans="1:16" ht="15.75" customHeight="1">
      <c r="A291">
        <v>9</v>
      </c>
      <c r="B291" t="s">
        <v>2964</v>
      </c>
      <c r="C291" s="38">
        <v>2012</v>
      </c>
      <c r="D291">
        <v>38</v>
      </c>
      <c r="E291">
        <v>15</v>
      </c>
      <c r="F291">
        <v>7</v>
      </c>
      <c r="G291">
        <v>16</v>
      </c>
      <c r="H291">
        <v>54</v>
      </c>
      <c r="I291">
        <v>51</v>
      </c>
      <c r="J291">
        <v>3</v>
      </c>
      <c r="K291">
        <v>52</v>
      </c>
      <c r="L291">
        <v>1.37</v>
      </c>
      <c r="N291" t="s">
        <v>2702</v>
      </c>
      <c r="O291" t="s">
        <v>2642</v>
      </c>
    </row>
    <row r="292" spans="1:16" ht="15.75" customHeight="1">
      <c r="A292">
        <v>10</v>
      </c>
      <c r="B292" t="s">
        <v>2974</v>
      </c>
      <c r="C292" s="38">
        <v>2012</v>
      </c>
      <c r="D292">
        <v>38</v>
      </c>
      <c r="E292">
        <v>13</v>
      </c>
      <c r="F292">
        <v>12</v>
      </c>
      <c r="G292">
        <v>13</v>
      </c>
      <c r="H292">
        <v>49</v>
      </c>
      <c r="I292">
        <v>47</v>
      </c>
      <c r="J292">
        <v>2</v>
      </c>
      <c r="K292">
        <v>51</v>
      </c>
      <c r="L292">
        <v>1.34</v>
      </c>
      <c r="N292" t="s">
        <v>2703</v>
      </c>
      <c r="O292" t="s">
        <v>2657</v>
      </c>
    </row>
    <row r="293" spans="1:16" ht="15.75" customHeight="1">
      <c r="A293">
        <v>11</v>
      </c>
      <c r="B293" t="s">
        <v>2979</v>
      </c>
      <c r="C293" s="38">
        <v>2012</v>
      </c>
      <c r="D293">
        <v>38</v>
      </c>
      <c r="E293">
        <v>12</v>
      </c>
      <c r="F293">
        <v>12</v>
      </c>
      <c r="G293">
        <v>14</v>
      </c>
      <c r="H293">
        <v>49</v>
      </c>
      <c r="I293">
        <v>53</v>
      </c>
      <c r="J293">
        <v>-4</v>
      </c>
      <c r="K293">
        <v>48</v>
      </c>
      <c r="L293">
        <v>1.26</v>
      </c>
      <c r="N293" t="s">
        <v>2704</v>
      </c>
      <c r="O293" t="s">
        <v>2689</v>
      </c>
    </row>
    <row r="294" spans="1:16" ht="15.75" customHeight="1">
      <c r="A294">
        <v>12</v>
      </c>
      <c r="B294" t="s">
        <v>2969</v>
      </c>
      <c r="C294" s="38">
        <v>2012</v>
      </c>
      <c r="D294">
        <v>38</v>
      </c>
      <c r="E294">
        <v>13</v>
      </c>
      <c r="F294">
        <v>8</v>
      </c>
      <c r="G294">
        <v>17</v>
      </c>
      <c r="H294">
        <v>50</v>
      </c>
      <c r="I294">
        <v>66</v>
      </c>
      <c r="J294">
        <v>-16</v>
      </c>
      <c r="K294">
        <v>47</v>
      </c>
      <c r="L294">
        <v>1.24</v>
      </c>
      <c r="N294" t="s">
        <v>2705</v>
      </c>
      <c r="O294" t="s">
        <v>2673</v>
      </c>
    </row>
    <row r="295" spans="1:16" ht="15.75" customHeight="1">
      <c r="A295">
        <v>13</v>
      </c>
      <c r="B295" t="s">
        <v>2966</v>
      </c>
      <c r="C295" s="38">
        <v>2012</v>
      </c>
      <c r="D295">
        <v>38</v>
      </c>
      <c r="E295">
        <v>13</v>
      </c>
      <c r="F295">
        <v>7</v>
      </c>
      <c r="G295">
        <v>18</v>
      </c>
      <c r="H295">
        <v>48</v>
      </c>
      <c r="I295">
        <v>59</v>
      </c>
      <c r="J295">
        <v>-11</v>
      </c>
      <c r="K295">
        <v>46</v>
      </c>
      <c r="L295">
        <v>1.21</v>
      </c>
      <c r="N295" t="s">
        <v>2706</v>
      </c>
      <c r="O295" t="s">
        <v>2646</v>
      </c>
    </row>
    <row r="296" spans="1:16" ht="15.75" customHeight="1">
      <c r="A296">
        <v>14</v>
      </c>
      <c r="B296" t="s">
        <v>2972</v>
      </c>
      <c r="C296" s="38">
        <v>2012</v>
      </c>
      <c r="D296">
        <v>38</v>
      </c>
      <c r="E296">
        <v>10</v>
      </c>
      <c r="F296">
        <v>13</v>
      </c>
      <c r="G296">
        <v>15</v>
      </c>
      <c r="H296">
        <v>33</v>
      </c>
      <c r="I296">
        <v>42</v>
      </c>
      <c r="J296">
        <v>-9</v>
      </c>
      <c r="K296">
        <v>43</v>
      </c>
      <c r="L296">
        <v>1.1299999999999999</v>
      </c>
      <c r="N296" t="s">
        <v>2707</v>
      </c>
      <c r="O296" t="s">
        <v>2675</v>
      </c>
    </row>
    <row r="297" spans="1:16" ht="15.75" customHeight="1">
      <c r="A297">
        <v>15</v>
      </c>
      <c r="B297" t="s">
        <v>2978</v>
      </c>
      <c r="C297" s="38">
        <v>2012</v>
      </c>
      <c r="D297">
        <v>38</v>
      </c>
      <c r="E297">
        <v>10</v>
      </c>
      <c r="F297">
        <v>11</v>
      </c>
      <c r="G297">
        <v>17</v>
      </c>
      <c r="H297">
        <v>41</v>
      </c>
      <c r="I297">
        <v>57</v>
      </c>
      <c r="J297">
        <v>-16</v>
      </c>
      <c r="K297">
        <v>41</v>
      </c>
      <c r="L297">
        <v>1.08</v>
      </c>
      <c r="N297" t="s">
        <v>2708</v>
      </c>
      <c r="O297" t="s">
        <v>2687</v>
      </c>
    </row>
    <row r="298" spans="1:16" ht="15.75" customHeight="1">
      <c r="A298">
        <v>16</v>
      </c>
      <c r="B298" t="s">
        <v>2975</v>
      </c>
      <c r="C298" s="38">
        <v>2012</v>
      </c>
      <c r="D298">
        <v>38</v>
      </c>
      <c r="E298">
        <v>10</v>
      </c>
      <c r="F298">
        <v>10</v>
      </c>
      <c r="G298">
        <v>18</v>
      </c>
      <c r="H298">
        <v>46</v>
      </c>
      <c r="I298">
        <v>53</v>
      </c>
      <c r="J298">
        <v>-7</v>
      </c>
      <c r="K298">
        <v>40</v>
      </c>
      <c r="L298">
        <v>1.05</v>
      </c>
      <c r="N298" t="s">
        <v>2709</v>
      </c>
      <c r="O298" t="s">
        <v>2710</v>
      </c>
    </row>
    <row r="299" spans="1:16" ht="15.75" customHeight="1">
      <c r="A299">
        <v>17</v>
      </c>
      <c r="B299" t="s">
        <v>2980</v>
      </c>
      <c r="C299" s="38">
        <v>2012</v>
      </c>
      <c r="D299">
        <v>38</v>
      </c>
      <c r="E299">
        <v>9</v>
      </c>
      <c r="F299">
        <v>15</v>
      </c>
      <c r="G299">
        <v>14</v>
      </c>
      <c r="H299">
        <v>39</v>
      </c>
      <c r="I299">
        <v>51</v>
      </c>
      <c r="J299">
        <v>-12</v>
      </c>
      <c r="K299">
        <v>40</v>
      </c>
      <c r="L299">
        <v>1.05</v>
      </c>
      <c r="N299" t="s">
        <v>2711</v>
      </c>
      <c r="O299" t="s">
        <v>2691</v>
      </c>
      <c r="P299" t="s">
        <v>2712</v>
      </c>
    </row>
    <row r="300" spans="1:16" ht="15.75" customHeight="1">
      <c r="A300">
        <v>18</v>
      </c>
      <c r="B300" t="s">
        <v>2981</v>
      </c>
      <c r="C300" s="38">
        <v>2012</v>
      </c>
      <c r="D300">
        <v>38</v>
      </c>
      <c r="E300">
        <v>9</v>
      </c>
      <c r="F300">
        <v>11</v>
      </c>
      <c r="G300">
        <v>18</v>
      </c>
      <c r="H300">
        <v>38</v>
      </c>
      <c r="I300">
        <v>58</v>
      </c>
      <c r="J300">
        <v>-20</v>
      </c>
      <c r="K300">
        <v>38</v>
      </c>
      <c r="L300">
        <v>1</v>
      </c>
      <c r="N300" t="s">
        <v>2713</v>
      </c>
      <c r="O300" t="s">
        <v>2714</v>
      </c>
      <c r="P300" t="s">
        <v>894</v>
      </c>
    </row>
    <row r="301" spans="1:16" ht="15.75" customHeight="1">
      <c r="A301">
        <v>19</v>
      </c>
      <c r="B301" t="s">
        <v>2982</v>
      </c>
      <c r="C301" s="38">
        <v>2012</v>
      </c>
      <c r="D301">
        <v>38</v>
      </c>
      <c r="E301">
        <v>8</v>
      </c>
      <c r="F301">
        <v>13</v>
      </c>
      <c r="G301">
        <v>17</v>
      </c>
      <c r="H301">
        <v>43</v>
      </c>
      <c r="I301">
        <v>61</v>
      </c>
      <c r="J301">
        <v>-18</v>
      </c>
      <c r="K301">
        <v>37</v>
      </c>
      <c r="L301">
        <v>0.97</v>
      </c>
      <c r="N301" t="s">
        <v>2715</v>
      </c>
      <c r="O301" t="s">
        <v>2716</v>
      </c>
      <c r="P301" t="s">
        <v>894</v>
      </c>
    </row>
    <row r="302" spans="1:16" ht="15.75" customHeight="1">
      <c r="A302">
        <v>20</v>
      </c>
      <c r="B302" t="s">
        <v>2983</v>
      </c>
      <c r="C302" s="38">
        <v>2012</v>
      </c>
      <c r="D302">
        <v>38</v>
      </c>
      <c r="E302">
        <v>8</v>
      </c>
      <c r="F302">
        <v>5</v>
      </c>
      <c r="G302">
        <v>25</v>
      </c>
      <c r="H302">
        <v>32</v>
      </c>
      <c r="I302">
        <v>62</v>
      </c>
      <c r="J302">
        <v>-30</v>
      </c>
      <c r="K302">
        <v>29</v>
      </c>
      <c r="L302">
        <v>0.76</v>
      </c>
      <c r="N302" t="s">
        <v>2717</v>
      </c>
      <c r="O302" t="s">
        <v>2718</v>
      </c>
      <c r="P302" t="s">
        <v>894</v>
      </c>
    </row>
    <row r="304" spans="1:16" ht="15.75" customHeight="1">
      <c r="A304" s="31" t="s">
        <v>820</v>
      </c>
      <c r="B304" t="s">
        <v>821</v>
      </c>
      <c r="C304" s="31" t="s">
        <v>2</v>
      </c>
      <c r="D304" t="s">
        <v>822</v>
      </c>
      <c r="E304" t="s">
        <v>823</v>
      </c>
      <c r="F304" t="s">
        <v>824</v>
      </c>
      <c r="G304" t="s">
        <v>825</v>
      </c>
      <c r="H304" t="s">
        <v>826</v>
      </c>
      <c r="I304" t="s">
        <v>827</v>
      </c>
      <c r="J304" t="s">
        <v>828</v>
      </c>
      <c r="K304" t="s">
        <v>829</v>
      </c>
      <c r="L304" t="s">
        <v>830</v>
      </c>
      <c r="M304" t="s">
        <v>835</v>
      </c>
      <c r="N304" t="s">
        <v>836</v>
      </c>
      <c r="O304" t="s">
        <v>837</v>
      </c>
      <c r="P304" t="s">
        <v>838</v>
      </c>
    </row>
    <row r="305" spans="1:16" ht="15.75" customHeight="1">
      <c r="A305">
        <v>1</v>
      </c>
      <c r="B305" t="s">
        <v>2964</v>
      </c>
      <c r="C305" s="38">
        <v>2011</v>
      </c>
      <c r="D305">
        <v>38</v>
      </c>
      <c r="E305">
        <v>25</v>
      </c>
      <c r="F305">
        <v>7</v>
      </c>
      <c r="G305">
        <v>6</v>
      </c>
      <c r="H305">
        <v>68</v>
      </c>
      <c r="I305">
        <v>34</v>
      </c>
      <c r="J305">
        <v>34</v>
      </c>
      <c r="K305">
        <v>82</v>
      </c>
      <c r="L305">
        <v>2.16</v>
      </c>
      <c r="N305" t="s">
        <v>2719</v>
      </c>
      <c r="O305" t="s">
        <v>2642</v>
      </c>
      <c r="P305" t="s">
        <v>842</v>
      </c>
    </row>
    <row r="306" spans="1:16" ht="15.75" customHeight="1">
      <c r="A306">
        <v>2</v>
      </c>
      <c r="B306" t="s">
        <v>2958</v>
      </c>
      <c r="C306" s="38">
        <v>2011</v>
      </c>
      <c r="D306">
        <v>38</v>
      </c>
      <c r="E306">
        <v>23</v>
      </c>
      <c r="F306">
        <v>10</v>
      </c>
      <c r="G306">
        <v>5</v>
      </c>
      <c r="H306">
        <v>75</v>
      </c>
      <c r="I306">
        <v>41</v>
      </c>
      <c r="J306">
        <v>34</v>
      </c>
      <c r="K306">
        <v>79</v>
      </c>
      <c r="L306">
        <v>2.08</v>
      </c>
      <c r="N306" t="s">
        <v>2720</v>
      </c>
      <c r="O306" t="s">
        <v>2628</v>
      </c>
      <c r="P306" t="s">
        <v>842</v>
      </c>
    </row>
    <row r="307" spans="1:16" ht="15.75" customHeight="1">
      <c r="A307">
        <v>3</v>
      </c>
      <c r="B307" t="s">
        <v>2965</v>
      </c>
      <c r="C307" s="38">
        <v>2011</v>
      </c>
      <c r="D307">
        <v>38</v>
      </c>
      <c r="E307">
        <v>21</v>
      </c>
      <c r="F307">
        <v>11</v>
      </c>
      <c r="G307">
        <v>6</v>
      </c>
      <c r="H307">
        <v>72</v>
      </c>
      <c r="I307">
        <v>39</v>
      </c>
      <c r="J307">
        <v>33</v>
      </c>
      <c r="K307">
        <v>74</v>
      </c>
      <c r="L307">
        <v>1.95</v>
      </c>
      <c r="N307" t="s">
        <v>2721</v>
      </c>
      <c r="O307" t="s">
        <v>2673</v>
      </c>
      <c r="P307" t="s">
        <v>842</v>
      </c>
    </row>
    <row r="308" spans="1:16" ht="15.75" customHeight="1">
      <c r="A308">
        <v>4</v>
      </c>
      <c r="B308" t="s">
        <v>2959</v>
      </c>
      <c r="C308" s="38">
        <v>2011</v>
      </c>
      <c r="D308">
        <v>38</v>
      </c>
      <c r="E308">
        <v>19</v>
      </c>
      <c r="F308">
        <v>7</v>
      </c>
      <c r="G308">
        <v>12</v>
      </c>
      <c r="H308">
        <v>64</v>
      </c>
      <c r="I308">
        <v>51</v>
      </c>
      <c r="J308">
        <v>13</v>
      </c>
      <c r="K308">
        <v>64</v>
      </c>
      <c r="L308">
        <v>1.68</v>
      </c>
      <c r="N308" t="s">
        <v>2722</v>
      </c>
      <c r="O308" t="s">
        <v>2723</v>
      </c>
      <c r="P308" t="s">
        <v>2697</v>
      </c>
    </row>
    <row r="309" spans="1:16" ht="15.75" customHeight="1">
      <c r="A309">
        <v>5</v>
      </c>
      <c r="B309" t="s">
        <v>2963</v>
      </c>
      <c r="C309" s="38">
        <v>2011</v>
      </c>
      <c r="D309">
        <v>38</v>
      </c>
      <c r="E309">
        <v>16</v>
      </c>
      <c r="F309">
        <v>13</v>
      </c>
      <c r="G309">
        <v>9</v>
      </c>
      <c r="H309">
        <v>53</v>
      </c>
      <c r="I309">
        <v>41</v>
      </c>
      <c r="J309">
        <v>12</v>
      </c>
      <c r="K309">
        <v>61</v>
      </c>
      <c r="L309">
        <v>1.61</v>
      </c>
      <c r="N309" t="s">
        <v>2724</v>
      </c>
      <c r="O309" t="s">
        <v>2640</v>
      </c>
      <c r="P309" t="s">
        <v>855</v>
      </c>
    </row>
    <row r="310" spans="1:16" ht="15.75" customHeight="1">
      <c r="A310">
        <v>6</v>
      </c>
      <c r="B310" t="s">
        <v>2966</v>
      </c>
      <c r="C310" s="38">
        <v>2011</v>
      </c>
      <c r="D310">
        <v>38</v>
      </c>
      <c r="E310">
        <v>17</v>
      </c>
      <c r="F310">
        <v>9</v>
      </c>
      <c r="G310">
        <v>12</v>
      </c>
      <c r="H310">
        <v>53</v>
      </c>
      <c r="I310">
        <v>44</v>
      </c>
      <c r="J310">
        <v>9</v>
      </c>
      <c r="K310">
        <v>60</v>
      </c>
      <c r="L310">
        <v>1.58</v>
      </c>
      <c r="N310" t="s">
        <v>2725</v>
      </c>
      <c r="O310" t="s">
        <v>2646</v>
      </c>
    </row>
    <row r="311" spans="1:16" ht="15.75" customHeight="1">
      <c r="A311">
        <v>7</v>
      </c>
      <c r="B311" t="s">
        <v>2962</v>
      </c>
      <c r="C311" s="38">
        <v>2011</v>
      </c>
      <c r="D311">
        <v>38</v>
      </c>
      <c r="E311">
        <v>16</v>
      </c>
      <c r="F311">
        <v>9</v>
      </c>
      <c r="G311">
        <v>13</v>
      </c>
      <c r="H311">
        <v>49</v>
      </c>
      <c r="I311">
        <v>45</v>
      </c>
      <c r="J311">
        <v>4</v>
      </c>
      <c r="K311">
        <v>57</v>
      </c>
      <c r="L311">
        <v>1.5</v>
      </c>
      <c r="N311" t="s">
        <v>2726</v>
      </c>
      <c r="O311" t="s">
        <v>2637</v>
      </c>
    </row>
    <row r="312" spans="1:16" ht="15.75" customHeight="1">
      <c r="A312">
        <v>8</v>
      </c>
      <c r="B312" t="s">
        <v>2974</v>
      </c>
      <c r="C312" s="38">
        <v>2011</v>
      </c>
      <c r="D312">
        <v>38</v>
      </c>
      <c r="E312">
        <v>15</v>
      </c>
      <c r="F312">
        <v>11</v>
      </c>
      <c r="G312">
        <v>12</v>
      </c>
      <c r="H312">
        <v>37</v>
      </c>
      <c r="I312">
        <v>34</v>
      </c>
      <c r="J312">
        <v>3</v>
      </c>
      <c r="K312">
        <v>56</v>
      </c>
      <c r="L312">
        <v>1.47</v>
      </c>
      <c r="N312" t="s">
        <v>2727</v>
      </c>
      <c r="O312" t="s">
        <v>2657</v>
      </c>
    </row>
    <row r="313" spans="1:16" ht="15.75" customHeight="1">
      <c r="A313">
        <v>9</v>
      </c>
      <c r="B313" t="s">
        <v>2975</v>
      </c>
      <c r="C313" s="38">
        <v>2011</v>
      </c>
      <c r="D313">
        <v>38</v>
      </c>
      <c r="E313">
        <v>13</v>
      </c>
      <c r="F313">
        <v>11</v>
      </c>
      <c r="G313">
        <v>14</v>
      </c>
      <c r="H313">
        <v>54</v>
      </c>
      <c r="I313">
        <v>55</v>
      </c>
      <c r="J313">
        <v>-1</v>
      </c>
      <c r="K313">
        <v>50</v>
      </c>
      <c r="L313">
        <v>1.32</v>
      </c>
      <c r="N313" t="s">
        <v>2728</v>
      </c>
      <c r="O313" t="s">
        <v>2729</v>
      </c>
    </row>
    <row r="314" spans="1:16" ht="15.75" customHeight="1">
      <c r="A314">
        <v>10</v>
      </c>
      <c r="B314" t="s">
        <v>2961</v>
      </c>
      <c r="C314" s="38">
        <v>2011</v>
      </c>
      <c r="D314">
        <v>38</v>
      </c>
      <c r="E314">
        <v>12</v>
      </c>
      <c r="F314">
        <v>12</v>
      </c>
      <c r="G314">
        <v>14</v>
      </c>
      <c r="H314">
        <v>45</v>
      </c>
      <c r="I314">
        <v>41</v>
      </c>
      <c r="J314">
        <v>4</v>
      </c>
      <c r="K314">
        <v>48</v>
      </c>
      <c r="L314">
        <v>1.26</v>
      </c>
      <c r="N314" t="s">
        <v>2730</v>
      </c>
      <c r="O314" t="s">
        <v>2634</v>
      </c>
      <c r="P314" t="s">
        <v>2683</v>
      </c>
    </row>
    <row r="315" spans="1:16" ht="15.75" customHeight="1">
      <c r="A315">
        <v>11</v>
      </c>
      <c r="B315" t="s">
        <v>2981</v>
      </c>
      <c r="C315" s="38">
        <v>2011</v>
      </c>
      <c r="D315">
        <v>38</v>
      </c>
      <c r="E315">
        <v>11</v>
      </c>
      <c r="F315">
        <v>12</v>
      </c>
      <c r="G315">
        <v>15</v>
      </c>
      <c r="H315">
        <v>38</v>
      </c>
      <c r="I315">
        <v>48</v>
      </c>
      <c r="J315">
        <v>-10</v>
      </c>
      <c r="K315">
        <v>45</v>
      </c>
      <c r="L315">
        <v>1.18</v>
      </c>
      <c r="N315" t="s">
        <v>2731</v>
      </c>
      <c r="O315" t="s">
        <v>2732</v>
      </c>
    </row>
    <row r="316" spans="1:16" ht="15.75" customHeight="1">
      <c r="A316">
        <v>12</v>
      </c>
      <c r="B316" t="s">
        <v>2979</v>
      </c>
      <c r="C316" s="38">
        <v>2011</v>
      </c>
      <c r="D316">
        <v>38</v>
      </c>
      <c r="E316">
        <v>12</v>
      </c>
      <c r="F316">
        <v>7</v>
      </c>
      <c r="G316">
        <v>19</v>
      </c>
      <c r="H316">
        <v>40</v>
      </c>
      <c r="I316">
        <v>50</v>
      </c>
      <c r="J316">
        <v>-10</v>
      </c>
      <c r="K316">
        <v>43</v>
      </c>
      <c r="L316">
        <v>1.1299999999999999</v>
      </c>
      <c r="N316" t="s">
        <v>2733</v>
      </c>
      <c r="O316" t="s">
        <v>2689</v>
      </c>
    </row>
    <row r="317" spans="1:16" ht="15.75" customHeight="1">
      <c r="A317">
        <v>13</v>
      </c>
      <c r="B317" t="s">
        <v>2968</v>
      </c>
      <c r="C317" s="38">
        <v>2011</v>
      </c>
      <c r="D317">
        <v>38</v>
      </c>
      <c r="E317">
        <v>10</v>
      </c>
      <c r="F317">
        <v>12</v>
      </c>
      <c r="G317">
        <v>16</v>
      </c>
      <c r="H317">
        <v>39</v>
      </c>
      <c r="I317">
        <v>46</v>
      </c>
      <c r="J317">
        <v>-7</v>
      </c>
      <c r="K317">
        <v>42</v>
      </c>
      <c r="L317">
        <v>1.1100000000000001</v>
      </c>
      <c r="N317" t="s">
        <v>2734</v>
      </c>
      <c r="O317" t="s">
        <v>2685</v>
      </c>
    </row>
    <row r="318" spans="1:16" ht="15.75" customHeight="1">
      <c r="A318">
        <v>14</v>
      </c>
      <c r="B318" t="s">
        <v>2978</v>
      </c>
      <c r="C318" s="38">
        <v>2011</v>
      </c>
      <c r="D318">
        <v>38</v>
      </c>
      <c r="E318">
        <v>11</v>
      </c>
      <c r="F318">
        <v>9</v>
      </c>
      <c r="G318">
        <v>18</v>
      </c>
      <c r="H318">
        <v>40</v>
      </c>
      <c r="I318">
        <v>60</v>
      </c>
      <c r="J318">
        <v>-20</v>
      </c>
      <c r="K318">
        <v>42</v>
      </c>
      <c r="L318">
        <v>1.1100000000000001</v>
      </c>
      <c r="N318" t="s">
        <v>2659</v>
      </c>
      <c r="O318" t="s">
        <v>2735</v>
      </c>
    </row>
    <row r="319" spans="1:16" ht="15.75" customHeight="1">
      <c r="A319">
        <v>15</v>
      </c>
      <c r="B319" t="s">
        <v>2983</v>
      </c>
      <c r="C319" s="38">
        <v>2011</v>
      </c>
      <c r="D319">
        <v>38</v>
      </c>
      <c r="E319">
        <v>8</v>
      </c>
      <c r="F319">
        <v>17</v>
      </c>
      <c r="G319">
        <v>13</v>
      </c>
      <c r="H319">
        <v>31</v>
      </c>
      <c r="I319">
        <v>38</v>
      </c>
      <c r="J319">
        <v>-7</v>
      </c>
      <c r="K319">
        <v>41</v>
      </c>
      <c r="L319">
        <v>1.08</v>
      </c>
      <c r="N319" t="s">
        <v>2736</v>
      </c>
      <c r="O319" t="s">
        <v>2699</v>
      </c>
    </row>
    <row r="320" spans="1:16" ht="15.75" customHeight="1">
      <c r="A320">
        <v>16</v>
      </c>
      <c r="B320" t="s">
        <v>2980</v>
      </c>
      <c r="C320" s="38">
        <v>2011</v>
      </c>
      <c r="D320">
        <v>38</v>
      </c>
      <c r="E320">
        <v>9</v>
      </c>
      <c r="F320">
        <v>14</v>
      </c>
      <c r="G320">
        <v>15</v>
      </c>
      <c r="H320">
        <v>40</v>
      </c>
      <c r="I320">
        <v>61</v>
      </c>
      <c r="J320">
        <v>-21</v>
      </c>
      <c r="K320">
        <v>41</v>
      </c>
      <c r="L320">
        <v>1.08</v>
      </c>
      <c r="N320" t="s">
        <v>2737</v>
      </c>
      <c r="O320" t="s">
        <v>2691</v>
      </c>
    </row>
    <row r="321" spans="1:16" ht="15.75" customHeight="1">
      <c r="A321">
        <v>17</v>
      </c>
      <c r="B321" t="s">
        <v>2973</v>
      </c>
      <c r="C321" s="38">
        <v>2011</v>
      </c>
      <c r="D321">
        <v>38</v>
      </c>
      <c r="E321">
        <v>9</v>
      </c>
      <c r="F321">
        <v>12</v>
      </c>
      <c r="G321">
        <v>17</v>
      </c>
      <c r="H321">
        <v>35</v>
      </c>
      <c r="I321">
        <v>49</v>
      </c>
      <c r="J321">
        <v>-14</v>
      </c>
      <c r="K321">
        <v>39</v>
      </c>
      <c r="L321">
        <v>1.03</v>
      </c>
      <c r="N321" t="s">
        <v>2738</v>
      </c>
      <c r="O321" t="s">
        <v>2670</v>
      </c>
    </row>
    <row r="322" spans="1:16" ht="15.75" customHeight="1">
      <c r="A322">
        <v>18</v>
      </c>
      <c r="B322" t="s">
        <v>2970</v>
      </c>
      <c r="C322" s="38">
        <v>2011</v>
      </c>
      <c r="D322">
        <v>38</v>
      </c>
      <c r="E322">
        <v>9</v>
      </c>
      <c r="F322">
        <v>11</v>
      </c>
      <c r="G322">
        <v>18</v>
      </c>
      <c r="H322">
        <v>39</v>
      </c>
      <c r="I322">
        <v>59</v>
      </c>
      <c r="J322">
        <v>-20</v>
      </c>
      <c r="K322">
        <v>38</v>
      </c>
      <c r="L322">
        <v>1</v>
      </c>
      <c r="N322" t="s">
        <v>2739</v>
      </c>
      <c r="O322" t="s">
        <v>2718</v>
      </c>
      <c r="P322" t="s">
        <v>894</v>
      </c>
    </row>
    <row r="323" spans="1:16" ht="15.75" customHeight="1">
      <c r="A323">
        <v>19</v>
      </c>
      <c r="B323" t="s">
        <v>2984</v>
      </c>
      <c r="C323" s="38">
        <v>2011</v>
      </c>
      <c r="D323">
        <v>38</v>
      </c>
      <c r="E323">
        <v>9</v>
      </c>
      <c r="F323">
        <v>9</v>
      </c>
      <c r="G323">
        <v>20</v>
      </c>
      <c r="H323">
        <v>38</v>
      </c>
      <c r="I323">
        <v>63</v>
      </c>
      <c r="J323">
        <v>-25</v>
      </c>
      <c r="K323">
        <v>36</v>
      </c>
      <c r="L323">
        <v>0.95</v>
      </c>
      <c r="N323" t="s">
        <v>2740</v>
      </c>
      <c r="O323" t="s">
        <v>2741</v>
      </c>
      <c r="P323" t="s">
        <v>894</v>
      </c>
    </row>
    <row r="324" spans="1:16" ht="15.75" customHeight="1">
      <c r="A324">
        <v>20</v>
      </c>
      <c r="B324" t="s">
        <v>2985</v>
      </c>
      <c r="C324" s="38">
        <v>2011</v>
      </c>
      <c r="D324">
        <v>38</v>
      </c>
      <c r="E324">
        <v>7</v>
      </c>
      <c r="F324">
        <v>13</v>
      </c>
      <c r="G324">
        <v>18</v>
      </c>
      <c r="H324">
        <v>46</v>
      </c>
      <c r="I324">
        <v>57</v>
      </c>
      <c r="J324">
        <v>-11</v>
      </c>
      <c r="K324">
        <v>34</v>
      </c>
      <c r="L324">
        <v>0.89</v>
      </c>
      <c r="N324" t="s">
        <v>2742</v>
      </c>
      <c r="O324" t="s">
        <v>2743</v>
      </c>
      <c r="P324" t="s">
        <v>894</v>
      </c>
    </row>
    <row r="326" spans="1:16" ht="15.75" customHeight="1">
      <c r="A326" t="s">
        <v>820</v>
      </c>
      <c r="B326" t="s">
        <v>821</v>
      </c>
      <c r="C326" s="31" t="s">
        <v>2</v>
      </c>
      <c r="D326" t="s">
        <v>822</v>
      </c>
      <c r="E326" t="s">
        <v>823</v>
      </c>
      <c r="F326" t="s">
        <v>824</v>
      </c>
      <c r="G326" t="s">
        <v>825</v>
      </c>
      <c r="H326" t="s">
        <v>826</v>
      </c>
      <c r="I326" t="s">
        <v>827</v>
      </c>
      <c r="J326" t="s">
        <v>828</v>
      </c>
      <c r="K326" t="s">
        <v>829</v>
      </c>
      <c r="L326" t="s">
        <v>830</v>
      </c>
      <c r="M326" t="s">
        <v>835</v>
      </c>
      <c r="N326" t="s">
        <v>836</v>
      </c>
      <c r="O326" t="s">
        <v>837</v>
      </c>
      <c r="P326" t="s">
        <v>838</v>
      </c>
    </row>
    <row r="327" spans="1:16" ht="15.75" customHeight="1">
      <c r="A327">
        <v>1</v>
      </c>
      <c r="B327" t="s">
        <v>2965</v>
      </c>
      <c r="C327" s="38">
        <v>2010</v>
      </c>
      <c r="D327">
        <v>38</v>
      </c>
      <c r="E327">
        <v>21</v>
      </c>
      <c r="F327">
        <v>13</v>
      </c>
      <c r="G327">
        <v>4</v>
      </c>
      <c r="H327">
        <v>68</v>
      </c>
      <c r="I327">
        <v>36</v>
      </c>
      <c r="J327">
        <v>32</v>
      </c>
      <c r="K327">
        <v>76</v>
      </c>
      <c r="L327">
        <v>2</v>
      </c>
      <c r="N327" t="s">
        <v>2744</v>
      </c>
      <c r="O327" t="s">
        <v>2673</v>
      </c>
      <c r="P327" t="s">
        <v>842</v>
      </c>
    </row>
    <row r="328" spans="1:16" ht="15.75" customHeight="1">
      <c r="A328">
        <v>2</v>
      </c>
      <c r="B328" t="s">
        <v>2961</v>
      </c>
      <c r="C328" s="38">
        <v>2010</v>
      </c>
      <c r="D328">
        <v>38</v>
      </c>
      <c r="E328">
        <v>18</v>
      </c>
      <c r="F328">
        <v>14</v>
      </c>
      <c r="G328">
        <v>6</v>
      </c>
      <c r="H328">
        <v>62</v>
      </c>
      <c r="I328">
        <v>39</v>
      </c>
      <c r="J328">
        <v>23</v>
      </c>
      <c r="K328">
        <v>68</v>
      </c>
      <c r="L328">
        <v>1.79</v>
      </c>
      <c r="N328" t="s">
        <v>2745</v>
      </c>
      <c r="O328" t="s">
        <v>2634</v>
      </c>
      <c r="P328" t="s">
        <v>842</v>
      </c>
    </row>
    <row r="329" spans="1:16" ht="15.75" customHeight="1">
      <c r="A329">
        <v>3</v>
      </c>
      <c r="B329" t="s">
        <v>2959</v>
      </c>
      <c r="C329" s="38">
        <v>2010</v>
      </c>
      <c r="D329">
        <v>38</v>
      </c>
      <c r="E329">
        <v>17</v>
      </c>
      <c r="F329">
        <v>13</v>
      </c>
      <c r="G329">
        <v>8</v>
      </c>
      <c r="H329">
        <v>61</v>
      </c>
      <c r="I329">
        <v>40</v>
      </c>
      <c r="J329">
        <v>21</v>
      </c>
      <c r="K329">
        <v>64</v>
      </c>
      <c r="L329">
        <v>1.68</v>
      </c>
      <c r="N329" t="s">
        <v>2746</v>
      </c>
      <c r="O329" t="s">
        <v>2723</v>
      </c>
      <c r="P329" t="s">
        <v>842</v>
      </c>
    </row>
    <row r="330" spans="1:16" ht="15.75" customHeight="1">
      <c r="A330">
        <v>4</v>
      </c>
      <c r="B330" t="s">
        <v>2958</v>
      </c>
      <c r="C330" s="38">
        <v>2010</v>
      </c>
      <c r="D330">
        <v>38</v>
      </c>
      <c r="E330">
        <v>15</v>
      </c>
      <c r="F330">
        <v>15</v>
      </c>
      <c r="G330">
        <v>8</v>
      </c>
      <c r="H330">
        <v>56</v>
      </c>
      <c r="I330">
        <v>41</v>
      </c>
      <c r="J330">
        <v>15</v>
      </c>
      <c r="K330">
        <v>60</v>
      </c>
      <c r="L330">
        <v>1.58</v>
      </c>
      <c r="N330" t="s">
        <v>2747</v>
      </c>
      <c r="O330" t="s">
        <v>2748</v>
      </c>
      <c r="P330" t="s">
        <v>855</v>
      </c>
    </row>
    <row r="331" spans="1:16" ht="15.75" customHeight="1">
      <c r="A331">
        <v>5</v>
      </c>
      <c r="B331" t="s">
        <v>2978</v>
      </c>
      <c r="C331" s="38">
        <v>2010</v>
      </c>
      <c r="D331">
        <v>38</v>
      </c>
      <c r="E331">
        <v>17</v>
      </c>
      <c r="F331">
        <v>7</v>
      </c>
      <c r="G331">
        <v>14</v>
      </c>
      <c r="H331">
        <v>60</v>
      </c>
      <c r="I331">
        <v>43</v>
      </c>
      <c r="J331">
        <v>17</v>
      </c>
      <c r="K331">
        <v>58</v>
      </c>
      <c r="L331">
        <v>1.53</v>
      </c>
      <c r="N331" t="s">
        <v>2749</v>
      </c>
      <c r="O331" t="s">
        <v>2735</v>
      </c>
      <c r="P331" t="s">
        <v>2635</v>
      </c>
    </row>
    <row r="332" spans="1:16" ht="15.75" customHeight="1">
      <c r="A332">
        <v>6</v>
      </c>
      <c r="B332" t="s">
        <v>2966</v>
      </c>
      <c r="C332" s="38">
        <v>2010</v>
      </c>
      <c r="D332">
        <v>38</v>
      </c>
      <c r="E332">
        <v>15</v>
      </c>
      <c r="F332">
        <v>11</v>
      </c>
      <c r="G332">
        <v>12</v>
      </c>
      <c r="H332">
        <v>38</v>
      </c>
      <c r="I332">
        <v>35</v>
      </c>
      <c r="J332">
        <v>3</v>
      </c>
      <c r="K332">
        <v>56</v>
      </c>
      <c r="L332">
        <v>1.47</v>
      </c>
      <c r="N332" t="s">
        <v>2750</v>
      </c>
      <c r="O332" t="s">
        <v>2751</v>
      </c>
      <c r="P332" t="s">
        <v>2638</v>
      </c>
    </row>
    <row r="333" spans="1:16" ht="15.75" customHeight="1">
      <c r="A333">
        <v>7</v>
      </c>
      <c r="B333" t="s">
        <v>2963</v>
      </c>
      <c r="C333" s="38">
        <v>2010</v>
      </c>
      <c r="D333">
        <v>38</v>
      </c>
      <c r="E333">
        <v>12</v>
      </c>
      <c r="F333">
        <v>15</v>
      </c>
      <c r="G333">
        <v>11</v>
      </c>
      <c r="H333">
        <v>43</v>
      </c>
      <c r="I333">
        <v>42</v>
      </c>
      <c r="J333">
        <v>1</v>
      </c>
      <c r="K333">
        <v>51</v>
      </c>
      <c r="L333">
        <v>1.34</v>
      </c>
      <c r="N333" t="s">
        <v>2752</v>
      </c>
      <c r="O333" t="s">
        <v>2640</v>
      </c>
    </row>
    <row r="334" spans="1:16" ht="15.75" customHeight="1">
      <c r="A334">
        <v>8</v>
      </c>
      <c r="B334" t="s">
        <v>2974</v>
      </c>
      <c r="C334" s="38">
        <v>2010</v>
      </c>
      <c r="D334">
        <v>38</v>
      </c>
      <c r="E334">
        <v>14</v>
      </c>
      <c r="F334">
        <v>8</v>
      </c>
      <c r="G334">
        <v>16</v>
      </c>
      <c r="H334">
        <v>38</v>
      </c>
      <c r="I334">
        <v>36</v>
      </c>
      <c r="J334">
        <v>2</v>
      </c>
      <c r="K334">
        <v>50</v>
      </c>
      <c r="L334">
        <v>1.32</v>
      </c>
      <c r="N334" t="s">
        <v>2753</v>
      </c>
      <c r="O334" t="s">
        <v>2754</v>
      </c>
    </row>
    <row r="335" spans="1:16" ht="15.75" customHeight="1">
      <c r="A335">
        <v>9</v>
      </c>
      <c r="B335" t="s">
        <v>2985</v>
      </c>
      <c r="C335" s="38">
        <v>2010</v>
      </c>
      <c r="D335">
        <v>38</v>
      </c>
      <c r="E335">
        <v>10</v>
      </c>
      <c r="F335">
        <v>19</v>
      </c>
      <c r="G335">
        <v>9</v>
      </c>
      <c r="H335">
        <v>45</v>
      </c>
      <c r="I335">
        <v>41</v>
      </c>
      <c r="J335">
        <v>4</v>
      </c>
      <c r="K335">
        <v>49</v>
      </c>
      <c r="L335">
        <v>1.29</v>
      </c>
      <c r="N335" t="s">
        <v>2755</v>
      </c>
      <c r="O335" t="s">
        <v>2743</v>
      </c>
    </row>
    <row r="336" spans="1:16" ht="15.75" customHeight="1">
      <c r="A336">
        <v>10</v>
      </c>
      <c r="B336" t="s">
        <v>2962</v>
      </c>
      <c r="C336" s="38">
        <v>2010</v>
      </c>
      <c r="D336">
        <v>38</v>
      </c>
      <c r="E336">
        <v>12</v>
      </c>
      <c r="F336">
        <v>13</v>
      </c>
      <c r="G336">
        <v>13</v>
      </c>
      <c r="H336">
        <v>46</v>
      </c>
      <c r="I336">
        <v>47</v>
      </c>
      <c r="J336">
        <v>-1</v>
      </c>
      <c r="K336">
        <v>49</v>
      </c>
      <c r="L336">
        <v>1.29</v>
      </c>
      <c r="N336" t="s">
        <v>2756</v>
      </c>
      <c r="O336" t="s">
        <v>2757</v>
      </c>
    </row>
    <row r="337" spans="1:16" ht="15.75" customHeight="1">
      <c r="A337">
        <v>11</v>
      </c>
      <c r="B337" t="s">
        <v>2973</v>
      </c>
      <c r="C337" s="38">
        <v>2010</v>
      </c>
      <c r="D337">
        <v>38</v>
      </c>
      <c r="E337">
        <v>12</v>
      </c>
      <c r="F337">
        <v>13</v>
      </c>
      <c r="G337">
        <v>13</v>
      </c>
      <c r="H337">
        <v>46</v>
      </c>
      <c r="I337">
        <v>48</v>
      </c>
      <c r="J337">
        <v>-2</v>
      </c>
      <c r="K337">
        <v>49</v>
      </c>
      <c r="L337">
        <v>1.29</v>
      </c>
      <c r="N337" t="s">
        <v>2758</v>
      </c>
      <c r="O337" t="s">
        <v>2670</v>
      </c>
    </row>
    <row r="338" spans="1:16" ht="15.75" customHeight="1">
      <c r="A338">
        <v>12</v>
      </c>
      <c r="B338" t="s">
        <v>2979</v>
      </c>
      <c r="C338" s="38">
        <v>2010</v>
      </c>
      <c r="D338">
        <v>38</v>
      </c>
      <c r="E338">
        <v>10</v>
      </c>
      <c r="F338">
        <v>18</v>
      </c>
      <c r="G338">
        <v>10</v>
      </c>
      <c r="H338">
        <v>45</v>
      </c>
      <c r="I338">
        <v>41</v>
      </c>
      <c r="J338">
        <v>4</v>
      </c>
      <c r="K338">
        <v>48</v>
      </c>
      <c r="L338">
        <v>1.26</v>
      </c>
      <c r="N338" t="s">
        <v>2759</v>
      </c>
      <c r="O338" t="s">
        <v>2689</v>
      </c>
    </row>
    <row r="339" spans="1:16" ht="15.75" customHeight="1">
      <c r="A339">
        <v>13</v>
      </c>
      <c r="B339" t="s">
        <v>2981</v>
      </c>
      <c r="C339" s="38">
        <v>2010</v>
      </c>
      <c r="D339">
        <v>38</v>
      </c>
      <c r="E339">
        <v>13</v>
      </c>
      <c r="F339">
        <v>9</v>
      </c>
      <c r="G339">
        <v>16</v>
      </c>
      <c r="H339">
        <v>43</v>
      </c>
      <c r="I339">
        <v>48</v>
      </c>
      <c r="J339">
        <v>-5</v>
      </c>
      <c r="K339">
        <v>48</v>
      </c>
      <c r="L339">
        <v>1.26</v>
      </c>
      <c r="N339" t="s">
        <v>2760</v>
      </c>
      <c r="O339" t="s">
        <v>2714</v>
      </c>
    </row>
    <row r="340" spans="1:16" ht="15.75" customHeight="1">
      <c r="A340">
        <v>14</v>
      </c>
      <c r="B340" t="s">
        <v>2964</v>
      </c>
      <c r="C340" s="38">
        <v>2010</v>
      </c>
      <c r="D340">
        <v>38</v>
      </c>
      <c r="E340">
        <v>12</v>
      </c>
      <c r="F340">
        <v>11</v>
      </c>
      <c r="G340">
        <v>15</v>
      </c>
      <c r="H340">
        <v>32</v>
      </c>
      <c r="I340">
        <v>43</v>
      </c>
      <c r="J340">
        <v>-11</v>
      </c>
      <c r="K340">
        <v>47</v>
      </c>
      <c r="L340">
        <v>1.24</v>
      </c>
      <c r="N340" t="s">
        <v>2761</v>
      </c>
      <c r="O340" t="s">
        <v>2642</v>
      </c>
    </row>
    <row r="341" spans="1:16" ht="15.75" customHeight="1">
      <c r="A341">
        <v>15</v>
      </c>
      <c r="B341" t="s">
        <v>2970</v>
      </c>
      <c r="C341" s="38">
        <v>2010</v>
      </c>
      <c r="D341">
        <v>38</v>
      </c>
      <c r="E341">
        <v>11</v>
      </c>
      <c r="F341">
        <v>13</v>
      </c>
      <c r="G341">
        <v>14</v>
      </c>
      <c r="H341">
        <v>46</v>
      </c>
      <c r="I341">
        <v>51</v>
      </c>
      <c r="J341">
        <v>-5</v>
      </c>
      <c r="K341">
        <v>46</v>
      </c>
      <c r="L341">
        <v>1.21</v>
      </c>
      <c r="N341" t="s">
        <v>2762</v>
      </c>
      <c r="O341" t="s">
        <v>2718</v>
      </c>
    </row>
    <row r="342" spans="1:16" ht="15.75" customHeight="1">
      <c r="A342">
        <v>16</v>
      </c>
      <c r="B342" t="s">
        <v>2983</v>
      </c>
      <c r="C342" s="38">
        <v>2010</v>
      </c>
      <c r="D342">
        <v>38</v>
      </c>
      <c r="E342">
        <v>11</v>
      </c>
      <c r="F342">
        <v>13</v>
      </c>
      <c r="G342">
        <v>14</v>
      </c>
      <c r="H342">
        <v>36</v>
      </c>
      <c r="I342">
        <v>43</v>
      </c>
      <c r="J342">
        <v>-7</v>
      </c>
      <c r="K342">
        <v>46</v>
      </c>
      <c r="L342">
        <v>1.21</v>
      </c>
      <c r="N342" t="s">
        <v>2736</v>
      </c>
      <c r="O342" t="s">
        <v>2699</v>
      </c>
    </row>
    <row r="343" spans="1:16" ht="15.75" customHeight="1">
      <c r="A343">
        <v>17</v>
      </c>
      <c r="B343" t="s">
        <v>2968</v>
      </c>
      <c r="C343" s="38">
        <v>2010</v>
      </c>
      <c r="D343">
        <v>38</v>
      </c>
      <c r="E343">
        <v>11</v>
      </c>
      <c r="F343">
        <v>13</v>
      </c>
      <c r="G343">
        <v>14</v>
      </c>
      <c r="H343">
        <v>33</v>
      </c>
      <c r="I343">
        <v>48</v>
      </c>
      <c r="J343">
        <v>-15</v>
      </c>
      <c r="K343">
        <v>46</v>
      </c>
      <c r="L343">
        <v>1.21</v>
      </c>
      <c r="N343" t="s">
        <v>2763</v>
      </c>
      <c r="O343" t="s">
        <v>2685</v>
      </c>
    </row>
    <row r="344" spans="1:16" ht="15.75" customHeight="1">
      <c r="A344">
        <v>18</v>
      </c>
      <c r="B344" t="s">
        <v>2960</v>
      </c>
      <c r="C344" s="38">
        <v>2010</v>
      </c>
      <c r="D344">
        <v>38</v>
      </c>
      <c r="E344">
        <v>9</v>
      </c>
      <c r="F344">
        <v>17</v>
      </c>
      <c r="G344">
        <v>12</v>
      </c>
      <c r="H344">
        <v>36</v>
      </c>
      <c r="I344">
        <v>40</v>
      </c>
      <c r="J344">
        <v>-4</v>
      </c>
      <c r="K344">
        <v>44</v>
      </c>
      <c r="L344">
        <v>1.1599999999999999</v>
      </c>
      <c r="N344" t="s">
        <v>2764</v>
      </c>
      <c r="O344" t="s">
        <v>2637</v>
      </c>
      <c r="P344" t="s">
        <v>894</v>
      </c>
    </row>
    <row r="345" spans="1:16" ht="15.75" customHeight="1">
      <c r="A345">
        <v>19</v>
      </c>
      <c r="B345" t="s">
        <v>2977</v>
      </c>
      <c r="C345" s="38">
        <v>2010</v>
      </c>
      <c r="D345">
        <v>38</v>
      </c>
      <c r="E345">
        <v>7</v>
      </c>
      <c r="F345">
        <v>14</v>
      </c>
      <c r="G345">
        <v>17</v>
      </c>
      <c r="H345">
        <v>35</v>
      </c>
      <c r="I345">
        <v>58</v>
      </c>
      <c r="J345">
        <v>-23</v>
      </c>
      <c r="K345">
        <v>35</v>
      </c>
      <c r="L345">
        <v>0.92</v>
      </c>
      <c r="N345" t="s">
        <v>2765</v>
      </c>
      <c r="O345" t="s">
        <v>2766</v>
      </c>
      <c r="P345" t="s">
        <v>894</v>
      </c>
    </row>
    <row r="346" spans="1:16" ht="15.75" customHeight="1">
      <c r="A346">
        <v>20</v>
      </c>
      <c r="B346" t="s">
        <v>2986</v>
      </c>
      <c r="C346" s="38">
        <v>2010</v>
      </c>
      <c r="D346">
        <v>38</v>
      </c>
      <c r="E346">
        <v>3</v>
      </c>
      <c r="F346">
        <v>11</v>
      </c>
      <c r="G346">
        <v>24</v>
      </c>
      <c r="H346">
        <v>21</v>
      </c>
      <c r="I346">
        <v>70</v>
      </c>
      <c r="J346">
        <v>-49</v>
      </c>
      <c r="K346">
        <v>20</v>
      </c>
      <c r="L346">
        <v>0.53</v>
      </c>
      <c r="N346" t="s">
        <v>2767</v>
      </c>
      <c r="O346" t="s">
        <v>2768</v>
      </c>
      <c r="P346" t="s">
        <v>894</v>
      </c>
    </row>
    <row r="348" spans="1:16" ht="15.75" customHeight="1">
      <c r="A348" t="s">
        <v>820</v>
      </c>
      <c r="B348" t="s">
        <v>821</v>
      </c>
      <c r="C348" s="31" t="s">
        <v>2</v>
      </c>
      <c r="D348" t="s">
        <v>822</v>
      </c>
      <c r="E348" t="s">
        <v>823</v>
      </c>
      <c r="F348" t="s">
        <v>824</v>
      </c>
      <c r="G348" t="s">
        <v>825</v>
      </c>
      <c r="H348" t="s">
        <v>826</v>
      </c>
      <c r="I348" t="s">
        <v>827</v>
      </c>
      <c r="J348" t="s">
        <v>828</v>
      </c>
      <c r="K348" t="s">
        <v>829</v>
      </c>
      <c r="L348" t="s">
        <v>830</v>
      </c>
      <c r="M348" t="s">
        <v>835</v>
      </c>
      <c r="N348" t="s">
        <v>836</v>
      </c>
      <c r="O348" t="s">
        <v>837</v>
      </c>
      <c r="P348" t="s">
        <v>838</v>
      </c>
    </row>
    <row r="349" spans="1:16" ht="15.75" customHeight="1">
      <c r="A349">
        <v>1</v>
      </c>
      <c r="B349" t="s">
        <v>2961</v>
      </c>
      <c r="C349" s="38">
        <v>2009</v>
      </c>
      <c r="D349">
        <v>38</v>
      </c>
      <c r="E349">
        <v>23</v>
      </c>
      <c r="F349">
        <v>9</v>
      </c>
      <c r="G349">
        <v>6</v>
      </c>
      <c r="H349">
        <v>69</v>
      </c>
      <c r="I349">
        <v>36</v>
      </c>
      <c r="J349">
        <v>33</v>
      </c>
      <c r="K349">
        <v>78</v>
      </c>
      <c r="L349">
        <v>2.0499999999999998</v>
      </c>
      <c r="N349" t="s">
        <v>2769</v>
      </c>
      <c r="O349" t="s">
        <v>2634</v>
      </c>
      <c r="P349" t="s">
        <v>842</v>
      </c>
    </row>
    <row r="350" spans="1:16" ht="15.75" customHeight="1">
      <c r="A350">
        <v>2</v>
      </c>
      <c r="B350" t="s">
        <v>2959</v>
      </c>
      <c r="C350" s="38">
        <v>2009</v>
      </c>
      <c r="D350">
        <v>38</v>
      </c>
      <c r="E350">
        <v>20</v>
      </c>
      <c r="F350">
        <v>12</v>
      </c>
      <c r="G350">
        <v>6</v>
      </c>
      <c r="H350">
        <v>64</v>
      </c>
      <c r="I350">
        <v>38</v>
      </c>
      <c r="J350">
        <v>26</v>
      </c>
      <c r="K350">
        <v>72</v>
      </c>
      <c r="L350">
        <v>1.89</v>
      </c>
      <c r="N350" t="s">
        <v>2770</v>
      </c>
      <c r="O350" t="s">
        <v>2723</v>
      </c>
      <c r="P350" t="s">
        <v>842</v>
      </c>
    </row>
    <row r="351" spans="1:16" ht="15.75" customHeight="1">
      <c r="A351">
        <v>3</v>
      </c>
      <c r="B351" t="s">
        <v>2985</v>
      </c>
      <c r="C351" s="38">
        <v>2009</v>
      </c>
      <c r="D351">
        <v>38</v>
      </c>
      <c r="E351">
        <v>20</v>
      </c>
      <c r="F351">
        <v>11</v>
      </c>
      <c r="G351">
        <v>7</v>
      </c>
      <c r="H351">
        <v>42</v>
      </c>
      <c r="I351">
        <v>29</v>
      </c>
      <c r="J351">
        <v>13</v>
      </c>
      <c r="K351">
        <v>71</v>
      </c>
      <c r="L351">
        <v>1.87</v>
      </c>
      <c r="N351" t="s">
        <v>2771</v>
      </c>
      <c r="O351" t="s">
        <v>2743</v>
      </c>
      <c r="P351" t="s">
        <v>842</v>
      </c>
    </row>
    <row r="352" spans="1:16" ht="15.75" customHeight="1">
      <c r="A352">
        <v>4</v>
      </c>
      <c r="B352" t="s">
        <v>2965</v>
      </c>
      <c r="C352" s="38">
        <v>2009</v>
      </c>
      <c r="D352">
        <v>38</v>
      </c>
      <c r="E352">
        <v>21</v>
      </c>
      <c r="F352">
        <v>7</v>
      </c>
      <c r="G352">
        <v>10</v>
      </c>
      <c r="H352">
        <v>72</v>
      </c>
      <c r="I352">
        <v>40</v>
      </c>
      <c r="J352">
        <v>32</v>
      </c>
      <c r="K352">
        <v>70</v>
      </c>
      <c r="L352">
        <v>1.84</v>
      </c>
      <c r="N352" t="s">
        <v>2772</v>
      </c>
      <c r="O352" t="s">
        <v>2673</v>
      </c>
      <c r="P352" t="s">
        <v>855</v>
      </c>
    </row>
    <row r="353" spans="1:16" ht="15.75" customHeight="1">
      <c r="A353">
        <v>5</v>
      </c>
      <c r="B353" t="s">
        <v>2964</v>
      </c>
      <c r="C353" s="38">
        <v>2009</v>
      </c>
      <c r="D353">
        <v>38</v>
      </c>
      <c r="E353">
        <v>20</v>
      </c>
      <c r="F353">
        <v>9</v>
      </c>
      <c r="G353">
        <v>9</v>
      </c>
      <c r="H353">
        <v>50</v>
      </c>
      <c r="I353">
        <v>40</v>
      </c>
      <c r="J353">
        <v>10</v>
      </c>
      <c r="K353">
        <v>69</v>
      </c>
      <c r="L353">
        <v>1.82</v>
      </c>
      <c r="N353" t="s">
        <v>2773</v>
      </c>
      <c r="O353" t="s">
        <v>2642</v>
      </c>
      <c r="P353" t="s">
        <v>2635</v>
      </c>
    </row>
    <row r="354" spans="1:16" ht="15.75" customHeight="1">
      <c r="A354">
        <v>6</v>
      </c>
      <c r="B354" t="s">
        <v>2963</v>
      </c>
      <c r="C354" s="38">
        <v>2009</v>
      </c>
      <c r="D354">
        <v>38</v>
      </c>
      <c r="E354">
        <v>19</v>
      </c>
      <c r="F354">
        <v>7</v>
      </c>
      <c r="G354">
        <v>12</v>
      </c>
      <c r="H354">
        <v>58</v>
      </c>
      <c r="I354">
        <v>40</v>
      </c>
      <c r="J354">
        <v>18</v>
      </c>
      <c r="K354">
        <v>64</v>
      </c>
      <c r="L354">
        <v>1.68</v>
      </c>
      <c r="N354" t="s">
        <v>2774</v>
      </c>
      <c r="O354" t="s">
        <v>2640</v>
      </c>
    </row>
    <row r="355" spans="1:16" ht="15.75" customHeight="1">
      <c r="A355">
        <v>7</v>
      </c>
      <c r="B355" t="s">
        <v>2973</v>
      </c>
      <c r="C355" s="38">
        <v>2009</v>
      </c>
      <c r="D355">
        <v>38</v>
      </c>
      <c r="E355">
        <v>16</v>
      </c>
      <c r="F355">
        <v>10</v>
      </c>
      <c r="G355">
        <v>12</v>
      </c>
      <c r="H355">
        <v>54</v>
      </c>
      <c r="I355">
        <v>42</v>
      </c>
      <c r="J355">
        <v>12</v>
      </c>
      <c r="K355">
        <v>58</v>
      </c>
      <c r="L355">
        <v>1.53</v>
      </c>
      <c r="N355" t="s">
        <v>2775</v>
      </c>
      <c r="O355" t="s">
        <v>2670</v>
      </c>
    </row>
    <row r="356" spans="1:16" ht="15.75" customHeight="1">
      <c r="A356">
        <v>8</v>
      </c>
      <c r="B356" t="s">
        <v>2960</v>
      </c>
      <c r="C356" s="38">
        <v>2009</v>
      </c>
      <c r="D356">
        <v>38</v>
      </c>
      <c r="E356">
        <v>15</v>
      </c>
      <c r="F356">
        <v>10</v>
      </c>
      <c r="G356">
        <v>13</v>
      </c>
      <c r="H356">
        <v>39</v>
      </c>
      <c r="I356">
        <v>45</v>
      </c>
      <c r="J356">
        <v>-6</v>
      </c>
      <c r="K356">
        <v>55</v>
      </c>
      <c r="L356">
        <v>1.45</v>
      </c>
      <c r="N356" t="s">
        <v>2747</v>
      </c>
      <c r="O356" t="s">
        <v>2637</v>
      </c>
    </row>
    <row r="357" spans="1:16" ht="15.75" customHeight="1">
      <c r="A357">
        <v>9</v>
      </c>
      <c r="B357" t="s">
        <v>2966</v>
      </c>
      <c r="C357" s="38">
        <v>2009</v>
      </c>
      <c r="D357">
        <v>38</v>
      </c>
      <c r="E357">
        <v>14</v>
      </c>
      <c r="F357">
        <v>11</v>
      </c>
      <c r="G357">
        <v>13</v>
      </c>
      <c r="H357">
        <v>52</v>
      </c>
      <c r="I357">
        <v>41</v>
      </c>
      <c r="J357">
        <v>11</v>
      </c>
      <c r="K357">
        <v>53</v>
      </c>
      <c r="L357">
        <v>1.39</v>
      </c>
      <c r="N357" t="s">
        <v>2776</v>
      </c>
      <c r="O357" t="s">
        <v>2751</v>
      </c>
    </row>
    <row r="358" spans="1:16" ht="15.75" customHeight="1">
      <c r="A358">
        <v>10</v>
      </c>
      <c r="B358" t="s">
        <v>2979</v>
      </c>
      <c r="C358" s="38">
        <v>2009</v>
      </c>
      <c r="D358">
        <v>38</v>
      </c>
      <c r="E358">
        <v>14</v>
      </c>
      <c r="F358">
        <v>10</v>
      </c>
      <c r="G358">
        <v>14</v>
      </c>
      <c r="H358">
        <v>50</v>
      </c>
      <c r="I358">
        <v>50</v>
      </c>
      <c r="J358">
        <v>0</v>
      </c>
      <c r="K358">
        <v>52</v>
      </c>
      <c r="L358">
        <v>1.37</v>
      </c>
      <c r="N358" t="s">
        <v>2777</v>
      </c>
      <c r="O358" t="s">
        <v>2689</v>
      </c>
    </row>
    <row r="359" spans="1:16" ht="15.75" customHeight="1">
      <c r="A359">
        <v>11</v>
      </c>
      <c r="B359" t="s">
        <v>2977</v>
      </c>
      <c r="C359" s="38">
        <v>2009</v>
      </c>
      <c r="D359">
        <v>38</v>
      </c>
      <c r="E359">
        <v>12</v>
      </c>
      <c r="F359">
        <v>12</v>
      </c>
      <c r="G359">
        <v>14</v>
      </c>
      <c r="H359">
        <v>40</v>
      </c>
      <c r="I359">
        <v>44</v>
      </c>
      <c r="J359">
        <v>-4</v>
      </c>
      <c r="K359">
        <v>48</v>
      </c>
      <c r="L359">
        <v>1.26</v>
      </c>
      <c r="N359" t="s">
        <v>2778</v>
      </c>
      <c r="O359" t="s">
        <v>2766</v>
      </c>
    </row>
    <row r="360" spans="1:16" ht="15.75" customHeight="1">
      <c r="A360">
        <v>12</v>
      </c>
      <c r="B360" t="s">
        <v>2981</v>
      </c>
      <c r="C360" s="38">
        <v>2009</v>
      </c>
      <c r="D360">
        <v>38</v>
      </c>
      <c r="E360">
        <v>13</v>
      </c>
      <c r="F360">
        <v>9</v>
      </c>
      <c r="G360">
        <v>16</v>
      </c>
      <c r="H360">
        <v>46</v>
      </c>
      <c r="I360">
        <v>53</v>
      </c>
      <c r="J360">
        <v>-7</v>
      </c>
      <c r="K360">
        <v>48</v>
      </c>
      <c r="L360">
        <v>1.26</v>
      </c>
      <c r="N360" t="s">
        <v>2779</v>
      </c>
      <c r="O360" t="s">
        <v>2780</v>
      </c>
    </row>
    <row r="361" spans="1:16" ht="15.75" customHeight="1">
      <c r="A361">
        <v>13</v>
      </c>
      <c r="B361" t="s">
        <v>2958</v>
      </c>
      <c r="C361" s="38">
        <v>2009</v>
      </c>
      <c r="D361">
        <v>38</v>
      </c>
      <c r="E361">
        <v>12</v>
      </c>
      <c r="F361">
        <v>11</v>
      </c>
      <c r="G361">
        <v>15</v>
      </c>
      <c r="H361">
        <v>50</v>
      </c>
      <c r="I361">
        <v>46</v>
      </c>
      <c r="J361">
        <v>4</v>
      </c>
      <c r="K361">
        <v>47</v>
      </c>
      <c r="L361">
        <v>1.24</v>
      </c>
      <c r="N361" t="s">
        <v>2781</v>
      </c>
      <c r="O361" t="s">
        <v>2748</v>
      </c>
      <c r="P361" t="s">
        <v>2683</v>
      </c>
    </row>
    <row r="362" spans="1:16" ht="15.75" customHeight="1">
      <c r="A362">
        <v>14</v>
      </c>
      <c r="B362" t="s">
        <v>2974</v>
      </c>
      <c r="C362" s="38">
        <v>2009</v>
      </c>
      <c r="D362">
        <v>38</v>
      </c>
      <c r="E362">
        <v>12</v>
      </c>
      <c r="F362">
        <v>11</v>
      </c>
      <c r="G362">
        <v>15</v>
      </c>
      <c r="H362">
        <v>36</v>
      </c>
      <c r="I362">
        <v>36</v>
      </c>
      <c r="J362">
        <v>0</v>
      </c>
      <c r="K362">
        <v>47</v>
      </c>
      <c r="L362">
        <v>1.24</v>
      </c>
      <c r="N362" t="s">
        <v>2782</v>
      </c>
      <c r="O362" t="s">
        <v>2783</v>
      </c>
    </row>
    <row r="363" spans="1:16" ht="15.75" customHeight="1">
      <c r="A363">
        <v>15</v>
      </c>
      <c r="B363" t="s">
        <v>2968</v>
      </c>
      <c r="C363" s="38">
        <v>2009</v>
      </c>
      <c r="D363">
        <v>38</v>
      </c>
      <c r="E363">
        <v>11</v>
      </c>
      <c r="F363">
        <v>11</v>
      </c>
      <c r="G363">
        <v>16</v>
      </c>
      <c r="H363">
        <v>41</v>
      </c>
      <c r="I363">
        <v>57</v>
      </c>
      <c r="J363">
        <v>-16</v>
      </c>
      <c r="K363">
        <v>44</v>
      </c>
      <c r="L363">
        <v>1.1599999999999999</v>
      </c>
      <c r="N363" t="s">
        <v>2784</v>
      </c>
      <c r="O363" t="s">
        <v>2685</v>
      </c>
    </row>
    <row r="364" spans="1:16" ht="15.75" customHeight="1">
      <c r="A364">
        <v>16</v>
      </c>
      <c r="B364" t="s">
        <v>2978</v>
      </c>
      <c r="C364" s="38">
        <v>2009</v>
      </c>
      <c r="D364">
        <v>38</v>
      </c>
      <c r="E364">
        <v>11</v>
      </c>
      <c r="F364">
        <v>8</v>
      </c>
      <c r="G364">
        <v>19</v>
      </c>
      <c r="H364">
        <v>28</v>
      </c>
      <c r="I364">
        <v>52</v>
      </c>
      <c r="J364">
        <v>-24</v>
      </c>
      <c r="K364">
        <v>41</v>
      </c>
      <c r="L364">
        <v>1.08</v>
      </c>
      <c r="N364" t="s">
        <v>2785</v>
      </c>
      <c r="O364" t="s">
        <v>2735</v>
      </c>
    </row>
    <row r="365" spans="1:16" ht="15.75" customHeight="1">
      <c r="A365">
        <v>17</v>
      </c>
      <c r="B365" t="s">
        <v>2962</v>
      </c>
      <c r="C365" s="38">
        <v>2009</v>
      </c>
      <c r="D365">
        <v>38</v>
      </c>
      <c r="E365">
        <v>10</v>
      </c>
      <c r="F365">
        <v>10</v>
      </c>
      <c r="G365">
        <v>18</v>
      </c>
      <c r="H365">
        <v>27</v>
      </c>
      <c r="I365">
        <v>45</v>
      </c>
      <c r="J365">
        <v>-18</v>
      </c>
      <c r="K365">
        <v>40</v>
      </c>
      <c r="L365">
        <v>1.05</v>
      </c>
      <c r="N365" t="s">
        <v>2786</v>
      </c>
      <c r="O365" t="s">
        <v>2757</v>
      </c>
    </row>
    <row r="366" spans="1:16" ht="15.75" customHeight="1">
      <c r="A366">
        <v>18</v>
      </c>
      <c r="B366" t="s">
        <v>2987</v>
      </c>
      <c r="C366" s="38">
        <v>2009</v>
      </c>
      <c r="D366">
        <v>38</v>
      </c>
      <c r="E366">
        <v>8</v>
      </c>
      <c r="F366">
        <v>8</v>
      </c>
      <c r="G366">
        <v>22</v>
      </c>
      <c r="H366">
        <v>36</v>
      </c>
      <c r="I366">
        <v>59</v>
      </c>
      <c r="J366">
        <v>-23</v>
      </c>
      <c r="K366">
        <v>32</v>
      </c>
      <c r="L366">
        <v>0.84</v>
      </c>
      <c r="N366" t="s">
        <v>2787</v>
      </c>
      <c r="O366" t="s">
        <v>2788</v>
      </c>
      <c r="P366" t="s">
        <v>894</v>
      </c>
    </row>
    <row r="367" spans="1:16" ht="15.75" customHeight="1">
      <c r="A367">
        <v>19</v>
      </c>
      <c r="B367" t="s">
        <v>2988</v>
      </c>
      <c r="C367" s="38">
        <v>2009</v>
      </c>
      <c r="D367">
        <v>38</v>
      </c>
      <c r="E367">
        <v>7</v>
      </c>
      <c r="F367">
        <v>10</v>
      </c>
      <c r="G367">
        <v>21</v>
      </c>
      <c r="H367">
        <v>31</v>
      </c>
      <c r="I367">
        <v>62</v>
      </c>
      <c r="J367">
        <v>-31</v>
      </c>
      <c r="K367">
        <v>31</v>
      </c>
      <c r="L367">
        <v>0.82</v>
      </c>
      <c r="N367" t="s">
        <v>2789</v>
      </c>
      <c r="O367" t="s">
        <v>2790</v>
      </c>
      <c r="P367" t="s">
        <v>894</v>
      </c>
    </row>
    <row r="368" spans="1:16" ht="15.75" customHeight="1">
      <c r="A368">
        <v>20</v>
      </c>
      <c r="B368" t="s">
        <v>2989</v>
      </c>
      <c r="C368" s="38">
        <v>2009</v>
      </c>
      <c r="D368">
        <v>38</v>
      </c>
      <c r="E368">
        <v>5</v>
      </c>
      <c r="F368">
        <v>8</v>
      </c>
      <c r="G368">
        <v>25</v>
      </c>
      <c r="H368">
        <v>31</v>
      </c>
      <c r="I368">
        <v>61</v>
      </c>
      <c r="J368">
        <v>-30</v>
      </c>
      <c r="K368">
        <v>23</v>
      </c>
      <c r="L368">
        <v>0.61</v>
      </c>
      <c r="N368" t="s">
        <v>2791</v>
      </c>
      <c r="O368" t="s">
        <v>2792</v>
      </c>
      <c r="P368" t="s">
        <v>894</v>
      </c>
    </row>
    <row r="370" spans="1:16" ht="15.75" customHeight="1">
      <c r="A370" t="s">
        <v>820</v>
      </c>
      <c r="B370" t="s">
        <v>821</v>
      </c>
      <c r="C370" s="31" t="s">
        <v>2</v>
      </c>
      <c r="D370" t="s">
        <v>822</v>
      </c>
      <c r="E370" t="s">
        <v>823</v>
      </c>
      <c r="F370" t="s">
        <v>824</v>
      </c>
      <c r="G370" t="s">
        <v>825</v>
      </c>
      <c r="H370" t="s">
        <v>826</v>
      </c>
      <c r="I370" t="s">
        <v>827</v>
      </c>
      <c r="J370" t="s">
        <v>828</v>
      </c>
      <c r="K370" t="s">
        <v>829</v>
      </c>
      <c r="L370" t="s">
        <v>830</v>
      </c>
      <c r="M370" t="s">
        <v>835</v>
      </c>
      <c r="N370" t="s">
        <v>836</v>
      </c>
      <c r="O370" t="s">
        <v>837</v>
      </c>
      <c r="P370" t="s">
        <v>838</v>
      </c>
    </row>
    <row r="371" spans="1:16" ht="15.75" customHeight="1">
      <c r="A371">
        <v>1</v>
      </c>
      <c r="B371" t="s">
        <v>2963</v>
      </c>
      <c r="C371" s="38">
        <v>2008</v>
      </c>
      <c r="D371">
        <v>38</v>
      </c>
      <c r="E371">
        <v>24</v>
      </c>
      <c r="F371">
        <v>8</v>
      </c>
      <c r="G371">
        <v>6</v>
      </c>
      <c r="H371">
        <v>64</v>
      </c>
      <c r="I371">
        <v>34</v>
      </c>
      <c r="J371">
        <v>30</v>
      </c>
      <c r="K371">
        <v>80</v>
      </c>
      <c r="L371">
        <v>2.11</v>
      </c>
      <c r="N371" t="s">
        <v>2793</v>
      </c>
      <c r="O371" t="s">
        <v>2794</v>
      </c>
      <c r="P371" t="s">
        <v>842</v>
      </c>
    </row>
    <row r="372" spans="1:16" ht="15.75" customHeight="1">
      <c r="A372">
        <v>2</v>
      </c>
      <c r="B372" t="s">
        <v>2961</v>
      </c>
      <c r="C372" s="38">
        <v>2008</v>
      </c>
      <c r="D372">
        <v>38</v>
      </c>
      <c r="E372">
        <v>22</v>
      </c>
      <c r="F372">
        <v>11</v>
      </c>
      <c r="G372">
        <v>5</v>
      </c>
      <c r="H372">
        <v>67</v>
      </c>
      <c r="I372">
        <v>35</v>
      </c>
      <c r="J372">
        <v>32</v>
      </c>
      <c r="K372">
        <v>77</v>
      </c>
      <c r="L372">
        <v>2.0299999999999998</v>
      </c>
      <c r="N372" t="s">
        <v>2795</v>
      </c>
      <c r="O372" t="s">
        <v>2634</v>
      </c>
      <c r="P372" t="s">
        <v>842</v>
      </c>
    </row>
    <row r="373" spans="1:16" ht="15.75" customHeight="1">
      <c r="A373">
        <v>3</v>
      </c>
      <c r="B373" t="s">
        <v>2959</v>
      </c>
      <c r="C373" s="38">
        <v>2008</v>
      </c>
      <c r="D373">
        <v>38</v>
      </c>
      <c r="E373">
        <v>20</v>
      </c>
      <c r="F373">
        <v>11</v>
      </c>
      <c r="G373">
        <v>7</v>
      </c>
      <c r="H373">
        <v>52</v>
      </c>
      <c r="I373">
        <v>29</v>
      </c>
      <c r="J373">
        <v>23</v>
      </c>
      <c r="K373">
        <v>71</v>
      </c>
      <c r="L373">
        <v>1.87</v>
      </c>
      <c r="N373" t="s">
        <v>2796</v>
      </c>
      <c r="O373" t="s">
        <v>2723</v>
      </c>
      <c r="P373" t="s">
        <v>842</v>
      </c>
    </row>
    <row r="374" spans="1:16" ht="15.75" customHeight="1">
      <c r="A374">
        <v>4</v>
      </c>
      <c r="B374" t="s">
        <v>2974</v>
      </c>
      <c r="C374" s="38">
        <v>2008</v>
      </c>
      <c r="D374">
        <v>38</v>
      </c>
      <c r="E374">
        <v>16</v>
      </c>
      <c r="F374">
        <v>16</v>
      </c>
      <c r="G374">
        <v>6</v>
      </c>
      <c r="H374">
        <v>45</v>
      </c>
      <c r="I374">
        <v>27</v>
      </c>
      <c r="J374">
        <v>18</v>
      </c>
      <c r="K374">
        <v>64</v>
      </c>
      <c r="L374">
        <v>1.68</v>
      </c>
      <c r="N374" t="s">
        <v>2797</v>
      </c>
      <c r="O374" t="s">
        <v>2640</v>
      </c>
      <c r="P374" t="s">
        <v>855</v>
      </c>
    </row>
    <row r="375" spans="1:16" ht="15.75" customHeight="1">
      <c r="A375">
        <v>5</v>
      </c>
      <c r="B375" t="s">
        <v>2965</v>
      </c>
      <c r="C375" s="38">
        <v>2008</v>
      </c>
      <c r="D375">
        <v>38</v>
      </c>
      <c r="E375">
        <v>17</v>
      </c>
      <c r="F375">
        <v>13</v>
      </c>
      <c r="G375">
        <v>8</v>
      </c>
      <c r="H375">
        <v>51</v>
      </c>
      <c r="I375">
        <v>39</v>
      </c>
      <c r="J375">
        <v>12</v>
      </c>
      <c r="K375">
        <v>64</v>
      </c>
      <c r="L375">
        <v>1.68</v>
      </c>
      <c r="N375" t="s">
        <v>2798</v>
      </c>
      <c r="O375" t="s">
        <v>2799</v>
      </c>
      <c r="P375" t="s">
        <v>2635</v>
      </c>
    </row>
    <row r="376" spans="1:16" ht="15.75" customHeight="1">
      <c r="A376">
        <v>6</v>
      </c>
      <c r="B376" t="s">
        <v>2958</v>
      </c>
      <c r="C376" s="38">
        <v>2008</v>
      </c>
      <c r="D376">
        <v>38</v>
      </c>
      <c r="E376">
        <v>19</v>
      </c>
      <c r="F376">
        <v>7</v>
      </c>
      <c r="G376">
        <v>12</v>
      </c>
      <c r="H376">
        <v>49</v>
      </c>
      <c r="I376">
        <v>38</v>
      </c>
      <c r="J376">
        <v>11</v>
      </c>
      <c r="K376">
        <v>64</v>
      </c>
      <c r="L376">
        <v>1.68</v>
      </c>
      <c r="N376" t="s">
        <v>2800</v>
      </c>
      <c r="O376" t="s">
        <v>2673</v>
      </c>
    </row>
    <row r="377" spans="1:16" ht="15.75" customHeight="1">
      <c r="A377">
        <v>7</v>
      </c>
      <c r="B377" t="s">
        <v>2966</v>
      </c>
      <c r="C377" s="38">
        <v>2008</v>
      </c>
      <c r="D377">
        <v>38</v>
      </c>
      <c r="E377">
        <v>15</v>
      </c>
      <c r="F377">
        <v>16</v>
      </c>
      <c r="G377">
        <v>7</v>
      </c>
      <c r="H377">
        <v>42</v>
      </c>
      <c r="I377">
        <v>34</v>
      </c>
      <c r="J377">
        <v>8</v>
      </c>
      <c r="K377">
        <v>61</v>
      </c>
      <c r="L377">
        <v>1.61</v>
      </c>
      <c r="N377" t="s">
        <v>2801</v>
      </c>
      <c r="O377" t="s">
        <v>2751</v>
      </c>
    </row>
    <row r="378" spans="1:16" ht="15.75" customHeight="1">
      <c r="A378">
        <v>8</v>
      </c>
      <c r="B378" t="s">
        <v>2985</v>
      </c>
      <c r="C378" s="38">
        <v>2008</v>
      </c>
      <c r="D378">
        <v>38</v>
      </c>
      <c r="E378">
        <v>16</v>
      </c>
      <c r="F378">
        <v>7</v>
      </c>
      <c r="G378">
        <v>15</v>
      </c>
      <c r="H378">
        <v>35</v>
      </c>
      <c r="I378">
        <v>35</v>
      </c>
      <c r="J378">
        <v>0</v>
      </c>
      <c r="K378">
        <v>55</v>
      </c>
      <c r="L378">
        <v>1.45</v>
      </c>
      <c r="N378" t="s">
        <v>2771</v>
      </c>
      <c r="O378" t="s">
        <v>2653</v>
      </c>
    </row>
    <row r="379" spans="1:16" ht="15.75" customHeight="1">
      <c r="A379">
        <v>9</v>
      </c>
      <c r="B379" t="s">
        <v>2968</v>
      </c>
      <c r="C379" s="38">
        <v>2008</v>
      </c>
      <c r="D379">
        <v>38</v>
      </c>
      <c r="E379">
        <v>13</v>
      </c>
      <c r="F379">
        <v>11</v>
      </c>
      <c r="G379">
        <v>14</v>
      </c>
      <c r="H379">
        <v>40</v>
      </c>
      <c r="I379">
        <v>41</v>
      </c>
      <c r="J379">
        <v>-1</v>
      </c>
      <c r="K379">
        <v>50</v>
      </c>
      <c r="L379">
        <v>1.32</v>
      </c>
      <c r="N379" t="s">
        <v>2802</v>
      </c>
      <c r="O379" t="s">
        <v>2685</v>
      </c>
    </row>
    <row r="380" spans="1:16" ht="15.75" customHeight="1">
      <c r="A380">
        <v>10</v>
      </c>
      <c r="B380" t="s">
        <v>2973</v>
      </c>
      <c r="C380" s="38">
        <v>2008</v>
      </c>
      <c r="D380">
        <v>38</v>
      </c>
      <c r="E380">
        <v>10</v>
      </c>
      <c r="F380">
        <v>15</v>
      </c>
      <c r="G380">
        <v>13</v>
      </c>
      <c r="H380">
        <v>47</v>
      </c>
      <c r="I380">
        <v>47</v>
      </c>
      <c r="J380">
        <v>0</v>
      </c>
      <c r="K380">
        <v>45</v>
      </c>
      <c r="L380">
        <v>1.18</v>
      </c>
      <c r="N380" t="s">
        <v>2803</v>
      </c>
      <c r="O380" t="s">
        <v>2670</v>
      </c>
    </row>
    <row r="381" spans="1:16" ht="15.75" customHeight="1">
      <c r="A381">
        <v>11</v>
      </c>
      <c r="B381" t="s">
        <v>2960</v>
      </c>
      <c r="C381" s="38">
        <v>2008</v>
      </c>
      <c r="D381">
        <v>38</v>
      </c>
      <c r="E381">
        <v>11</v>
      </c>
      <c r="F381">
        <v>12</v>
      </c>
      <c r="G381">
        <v>15</v>
      </c>
      <c r="H381">
        <v>41</v>
      </c>
      <c r="I381">
        <v>45</v>
      </c>
      <c r="J381">
        <v>-4</v>
      </c>
      <c r="K381">
        <v>45</v>
      </c>
      <c r="L381">
        <v>1.18</v>
      </c>
      <c r="N381" t="s">
        <v>2804</v>
      </c>
      <c r="O381" t="s">
        <v>2637</v>
      </c>
    </row>
    <row r="382" spans="1:16" ht="15.75" customHeight="1">
      <c r="A382">
        <v>12</v>
      </c>
      <c r="B382" t="s">
        <v>2979</v>
      </c>
      <c r="C382" s="38">
        <v>2008</v>
      </c>
      <c r="D382">
        <v>38</v>
      </c>
      <c r="E382">
        <v>10</v>
      </c>
      <c r="F382">
        <v>14</v>
      </c>
      <c r="G382">
        <v>14</v>
      </c>
      <c r="H382">
        <v>35</v>
      </c>
      <c r="I382">
        <v>42</v>
      </c>
      <c r="J382">
        <v>-7</v>
      </c>
      <c r="K382">
        <v>44</v>
      </c>
      <c r="L382">
        <v>1.1599999999999999</v>
      </c>
      <c r="N382" t="s">
        <v>2805</v>
      </c>
      <c r="O382" t="s">
        <v>2689</v>
      </c>
    </row>
    <row r="383" spans="1:16" ht="15.75" customHeight="1">
      <c r="A383">
        <v>13</v>
      </c>
      <c r="B383" t="s">
        <v>2989</v>
      </c>
      <c r="C383" s="38">
        <v>2008</v>
      </c>
      <c r="D383">
        <v>38</v>
      </c>
      <c r="E383">
        <v>10</v>
      </c>
      <c r="F383">
        <v>14</v>
      </c>
      <c r="G383">
        <v>14</v>
      </c>
      <c r="H383">
        <v>24</v>
      </c>
      <c r="I383">
        <v>37</v>
      </c>
      <c r="J383">
        <v>-13</v>
      </c>
      <c r="K383">
        <v>44</v>
      </c>
      <c r="L383">
        <v>1.1599999999999999</v>
      </c>
      <c r="N383" t="s">
        <v>2806</v>
      </c>
      <c r="O383" t="s">
        <v>2807</v>
      </c>
    </row>
    <row r="384" spans="1:16" ht="15.75" customHeight="1">
      <c r="A384">
        <v>14</v>
      </c>
      <c r="B384" t="s">
        <v>2978</v>
      </c>
      <c r="C384" s="38">
        <v>2008</v>
      </c>
      <c r="D384">
        <v>38</v>
      </c>
      <c r="E384">
        <v>10</v>
      </c>
      <c r="F384">
        <v>12</v>
      </c>
      <c r="G384">
        <v>16</v>
      </c>
      <c r="H384">
        <v>40</v>
      </c>
      <c r="I384">
        <v>48</v>
      </c>
      <c r="J384">
        <v>-8</v>
      </c>
      <c r="K384">
        <v>42</v>
      </c>
      <c r="L384">
        <v>1.1100000000000001</v>
      </c>
      <c r="N384" t="s">
        <v>2665</v>
      </c>
      <c r="O384" t="s">
        <v>2735</v>
      </c>
    </row>
    <row r="385" spans="1:16" ht="15.75" customHeight="1">
      <c r="A385">
        <v>15</v>
      </c>
      <c r="B385" t="s">
        <v>2981</v>
      </c>
      <c r="C385" s="38">
        <v>2008</v>
      </c>
      <c r="D385">
        <v>38</v>
      </c>
      <c r="E385">
        <v>10</v>
      </c>
      <c r="F385">
        <v>12</v>
      </c>
      <c r="G385">
        <v>16</v>
      </c>
      <c r="H385">
        <v>38</v>
      </c>
      <c r="I385">
        <v>47</v>
      </c>
      <c r="J385">
        <v>-9</v>
      </c>
      <c r="K385">
        <v>42</v>
      </c>
      <c r="L385">
        <v>1.1100000000000001</v>
      </c>
      <c r="N385" t="s">
        <v>2779</v>
      </c>
      <c r="O385" t="s">
        <v>2780</v>
      </c>
    </row>
    <row r="386" spans="1:16" ht="15.75" customHeight="1">
      <c r="A386">
        <v>16</v>
      </c>
      <c r="B386" t="s">
        <v>2987</v>
      </c>
      <c r="C386" s="38">
        <v>2008</v>
      </c>
      <c r="D386">
        <v>38</v>
      </c>
      <c r="E386">
        <v>10</v>
      </c>
      <c r="F386">
        <v>10</v>
      </c>
      <c r="G386">
        <v>18</v>
      </c>
      <c r="H386">
        <v>43</v>
      </c>
      <c r="I386">
        <v>54</v>
      </c>
      <c r="J386">
        <v>-11</v>
      </c>
      <c r="K386">
        <v>40</v>
      </c>
      <c r="L386">
        <v>1.05</v>
      </c>
      <c r="N386" t="s">
        <v>2808</v>
      </c>
      <c r="O386" t="s">
        <v>2783</v>
      </c>
    </row>
    <row r="387" spans="1:16" ht="15.75" customHeight="1">
      <c r="A387">
        <v>17</v>
      </c>
      <c r="B387" t="s">
        <v>2962</v>
      </c>
      <c r="C387" s="38">
        <v>2008</v>
      </c>
      <c r="D387">
        <v>38</v>
      </c>
      <c r="E387">
        <v>11</v>
      </c>
      <c r="F387">
        <v>7</v>
      </c>
      <c r="G387">
        <v>20</v>
      </c>
      <c r="H387">
        <v>40</v>
      </c>
      <c r="I387">
        <v>56</v>
      </c>
      <c r="J387">
        <v>-16</v>
      </c>
      <c r="K387">
        <v>40</v>
      </c>
      <c r="L387">
        <v>1.05</v>
      </c>
      <c r="N387" t="s">
        <v>2809</v>
      </c>
      <c r="O387" t="s">
        <v>2757</v>
      </c>
    </row>
    <row r="388" spans="1:16" ht="15.75" customHeight="1">
      <c r="A388">
        <v>18</v>
      </c>
      <c r="B388" t="s">
        <v>2970</v>
      </c>
      <c r="C388" s="38">
        <v>2008</v>
      </c>
      <c r="D388">
        <v>38</v>
      </c>
      <c r="E388">
        <v>8</v>
      </c>
      <c r="F388">
        <v>13</v>
      </c>
      <c r="G388">
        <v>17</v>
      </c>
      <c r="H388">
        <v>42</v>
      </c>
      <c r="I388">
        <v>49</v>
      </c>
      <c r="J388">
        <v>-7</v>
      </c>
      <c r="K388">
        <v>37</v>
      </c>
      <c r="L388">
        <v>0.97</v>
      </c>
      <c r="N388" t="s">
        <v>2810</v>
      </c>
      <c r="O388" t="s">
        <v>2811</v>
      </c>
      <c r="P388" t="s">
        <v>894</v>
      </c>
    </row>
    <row r="389" spans="1:16" ht="15.75" customHeight="1">
      <c r="A389">
        <v>19</v>
      </c>
      <c r="B389" t="s">
        <v>2971</v>
      </c>
      <c r="C389" s="38">
        <v>2008</v>
      </c>
      <c r="D389">
        <v>38</v>
      </c>
      <c r="E389">
        <v>9</v>
      </c>
      <c r="F389">
        <v>10</v>
      </c>
      <c r="G389">
        <v>19</v>
      </c>
      <c r="H389">
        <v>33</v>
      </c>
      <c r="I389">
        <v>54</v>
      </c>
      <c r="J389">
        <v>-21</v>
      </c>
      <c r="K389">
        <v>37</v>
      </c>
      <c r="L389">
        <v>0.97</v>
      </c>
      <c r="N389" t="s">
        <v>2812</v>
      </c>
      <c r="O389" t="s">
        <v>2813</v>
      </c>
      <c r="P389" t="s">
        <v>894</v>
      </c>
    </row>
    <row r="390" spans="1:16" ht="15.75" customHeight="1">
      <c r="A390">
        <v>20</v>
      </c>
      <c r="B390" t="s">
        <v>2990</v>
      </c>
      <c r="C390" s="38">
        <v>2008</v>
      </c>
      <c r="D390">
        <v>38</v>
      </c>
      <c r="E390">
        <v>7</v>
      </c>
      <c r="F390">
        <v>5</v>
      </c>
      <c r="G390">
        <v>26</v>
      </c>
      <c r="H390">
        <v>30</v>
      </c>
      <c r="I390">
        <v>67</v>
      </c>
      <c r="J390">
        <v>-37</v>
      </c>
      <c r="K390">
        <v>26</v>
      </c>
      <c r="L390">
        <v>0.68</v>
      </c>
      <c r="N390" t="s">
        <v>2814</v>
      </c>
      <c r="O390" t="s">
        <v>2815</v>
      </c>
      <c r="P390" t="s">
        <v>894</v>
      </c>
    </row>
    <row r="392" spans="1:16" ht="15.75" customHeight="1">
      <c r="A392" t="s">
        <v>820</v>
      </c>
      <c r="B392" t="s">
        <v>821</v>
      </c>
      <c r="C392" s="31" t="s">
        <v>2</v>
      </c>
      <c r="D392" t="s">
        <v>822</v>
      </c>
      <c r="E392" t="s">
        <v>823</v>
      </c>
      <c r="F392" t="s">
        <v>824</v>
      </c>
      <c r="G392" t="s">
        <v>825</v>
      </c>
      <c r="H392" t="s">
        <v>826</v>
      </c>
      <c r="I392" t="s">
        <v>827</v>
      </c>
      <c r="J392" t="s">
        <v>828</v>
      </c>
      <c r="K392" t="s">
        <v>829</v>
      </c>
      <c r="L392" t="s">
        <v>830</v>
      </c>
      <c r="M392" t="s">
        <v>835</v>
      </c>
      <c r="N392" t="s">
        <v>836</v>
      </c>
      <c r="O392" t="s">
        <v>837</v>
      </c>
      <c r="P392" t="s">
        <v>838</v>
      </c>
    </row>
    <row r="393" spans="1:16" ht="15.75" customHeight="1">
      <c r="A393">
        <v>1</v>
      </c>
      <c r="B393" t="s">
        <v>2959</v>
      </c>
      <c r="C393" s="38">
        <v>2007</v>
      </c>
      <c r="D393">
        <v>38</v>
      </c>
      <c r="E393">
        <v>24</v>
      </c>
      <c r="F393">
        <v>7</v>
      </c>
      <c r="G393">
        <v>7</v>
      </c>
      <c r="H393">
        <v>74</v>
      </c>
      <c r="I393">
        <v>37</v>
      </c>
      <c r="J393">
        <v>37</v>
      </c>
      <c r="K393">
        <v>79</v>
      </c>
      <c r="L393">
        <v>2.08</v>
      </c>
      <c r="N393" t="s">
        <v>2816</v>
      </c>
      <c r="O393" t="s">
        <v>2817</v>
      </c>
      <c r="P393" t="s">
        <v>842</v>
      </c>
    </row>
    <row r="394" spans="1:16" ht="15.75" customHeight="1">
      <c r="A394">
        <v>2</v>
      </c>
      <c r="B394" t="s">
        <v>2963</v>
      </c>
      <c r="C394" s="38">
        <v>2007</v>
      </c>
      <c r="D394">
        <v>38</v>
      </c>
      <c r="E394">
        <v>22</v>
      </c>
      <c r="F394">
        <v>9</v>
      </c>
      <c r="G394">
        <v>7</v>
      </c>
      <c r="H394">
        <v>65</v>
      </c>
      <c r="I394">
        <v>38</v>
      </c>
      <c r="J394">
        <v>27</v>
      </c>
      <c r="K394">
        <v>75</v>
      </c>
      <c r="L394">
        <v>1.97</v>
      </c>
      <c r="N394" t="s">
        <v>2818</v>
      </c>
      <c r="O394" t="s">
        <v>2794</v>
      </c>
      <c r="P394" t="s">
        <v>842</v>
      </c>
    </row>
    <row r="395" spans="1:16" ht="15.75" customHeight="1">
      <c r="A395">
        <v>3</v>
      </c>
      <c r="B395" t="s">
        <v>2961</v>
      </c>
      <c r="C395" s="38">
        <v>2007</v>
      </c>
      <c r="D395">
        <v>38</v>
      </c>
      <c r="E395">
        <v>17</v>
      </c>
      <c r="F395">
        <v>11</v>
      </c>
      <c r="G395">
        <v>10</v>
      </c>
      <c r="H395">
        <v>58</v>
      </c>
      <c r="I395">
        <v>45</v>
      </c>
      <c r="J395">
        <v>13</v>
      </c>
      <c r="K395">
        <v>62</v>
      </c>
      <c r="L395">
        <v>1.63</v>
      </c>
      <c r="N395" t="s">
        <v>2769</v>
      </c>
      <c r="O395" t="s">
        <v>2634</v>
      </c>
      <c r="P395" t="s">
        <v>842</v>
      </c>
    </row>
    <row r="396" spans="1:16" ht="15.75" customHeight="1">
      <c r="A396">
        <v>4</v>
      </c>
      <c r="B396" t="s">
        <v>2981</v>
      </c>
      <c r="C396" s="38">
        <v>2007</v>
      </c>
      <c r="D396">
        <v>38</v>
      </c>
      <c r="E396">
        <v>15</v>
      </c>
      <c r="F396">
        <v>15</v>
      </c>
      <c r="G396">
        <v>8</v>
      </c>
      <c r="H396">
        <v>44</v>
      </c>
      <c r="I396">
        <v>30</v>
      </c>
      <c r="J396">
        <v>14</v>
      </c>
      <c r="K396">
        <v>60</v>
      </c>
      <c r="L396">
        <v>1.58</v>
      </c>
      <c r="N396" t="s">
        <v>2819</v>
      </c>
      <c r="O396" t="s">
        <v>2780</v>
      </c>
      <c r="P396" t="s">
        <v>2820</v>
      </c>
    </row>
    <row r="397" spans="1:16" ht="15.75" customHeight="1">
      <c r="A397">
        <v>5</v>
      </c>
      <c r="B397" t="s">
        <v>2962</v>
      </c>
      <c r="C397" s="38">
        <v>2007</v>
      </c>
      <c r="D397">
        <v>38</v>
      </c>
      <c r="E397">
        <v>16</v>
      </c>
      <c r="F397">
        <v>10</v>
      </c>
      <c r="G397">
        <v>12</v>
      </c>
      <c r="H397">
        <v>47</v>
      </c>
      <c r="I397">
        <v>34</v>
      </c>
      <c r="J397">
        <v>13</v>
      </c>
      <c r="K397">
        <v>58</v>
      </c>
      <c r="L397">
        <v>1.53</v>
      </c>
      <c r="N397" t="s">
        <v>2694</v>
      </c>
      <c r="O397" t="s">
        <v>2757</v>
      </c>
      <c r="P397" t="s">
        <v>2821</v>
      </c>
    </row>
    <row r="398" spans="1:16" ht="15.75" customHeight="1">
      <c r="A398">
        <v>6</v>
      </c>
      <c r="B398" t="s">
        <v>2966</v>
      </c>
      <c r="C398" s="38">
        <v>2007</v>
      </c>
      <c r="D398">
        <v>38</v>
      </c>
      <c r="E398">
        <v>16</v>
      </c>
      <c r="F398">
        <v>10</v>
      </c>
      <c r="G398">
        <v>12</v>
      </c>
      <c r="H398">
        <v>47</v>
      </c>
      <c r="I398">
        <v>44</v>
      </c>
      <c r="J398">
        <v>3</v>
      </c>
      <c r="K398">
        <v>58</v>
      </c>
      <c r="L398">
        <v>1.53</v>
      </c>
      <c r="N398" t="s">
        <v>2822</v>
      </c>
      <c r="O398" t="s">
        <v>2823</v>
      </c>
      <c r="P398" t="s">
        <v>2824</v>
      </c>
    </row>
    <row r="399" spans="1:16" ht="15.75" customHeight="1">
      <c r="A399">
        <v>7</v>
      </c>
      <c r="B399" t="s">
        <v>2965</v>
      </c>
      <c r="C399" s="38">
        <v>2007</v>
      </c>
      <c r="D399">
        <v>38</v>
      </c>
      <c r="E399">
        <v>13</v>
      </c>
      <c r="F399">
        <v>18</v>
      </c>
      <c r="G399">
        <v>7</v>
      </c>
      <c r="H399">
        <v>45</v>
      </c>
      <c r="I399">
        <v>32</v>
      </c>
      <c r="J399">
        <v>13</v>
      </c>
      <c r="K399">
        <v>57</v>
      </c>
      <c r="L399">
        <v>1.5</v>
      </c>
      <c r="N399" t="s">
        <v>2825</v>
      </c>
      <c r="O399" t="s">
        <v>2826</v>
      </c>
    </row>
    <row r="400" spans="1:16" ht="15.75" customHeight="1">
      <c r="A400">
        <v>8</v>
      </c>
      <c r="B400" t="s">
        <v>2968</v>
      </c>
      <c r="C400" s="38">
        <v>2007</v>
      </c>
      <c r="D400">
        <v>38</v>
      </c>
      <c r="E400">
        <v>13</v>
      </c>
      <c r="F400">
        <v>16</v>
      </c>
      <c r="G400">
        <v>9</v>
      </c>
      <c r="H400">
        <v>35</v>
      </c>
      <c r="I400">
        <v>30</v>
      </c>
      <c r="J400">
        <v>5</v>
      </c>
      <c r="K400">
        <v>55</v>
      </c>
      <c r="L400">
        <v>1.45</v>
      </c>
      <c r="N400" t="s">
        <v>2827</v>
      </c>
      <c r="O400" t="s">
        <v>2723</v>
      </c>
    </row>
    <row r="401" spans="1:16" ht="15.75" customHeight="1">
      <c r="A401">
        <v>9</v>
      </c>
      <c r="B401" t="s">
        <v>2987</v>
      </c>
      <c r="C401" s="38">
        <v>2007</v>
      </c>
      <c r="D401">
        <v>38</v>
      </c>
      <c r="E401">
        <v>14</v>
      </c>
      <c r="F401">
        <v>11</v>
      </c>
      <c r="G401">
        <v>13</v>
      </c>
      <c r="H401">
        <v>46</v>
      </c>
      <c r="I401">
        <v>49</v>
      </c>
      <c r="J401">
        <v>-3</v>
      </c>
      <c r="K401">
        <v>53</v>
      </c>
      <c r="L401">
        <v>1.39</v>
      </c>
      <c r="N401" t="s">
        <v>2828</v>
      </c>
      <c r="O401" t="s">
        <v>2783</v>
      </c>
    </row>
    <row r="402" spans="1:16" ht="15.75" customHeight="1">
      <c r="A402">
        <v>10</v>
      </c>
      <c r="B402" t="s">
        <v>2973</v>
      </c>
      <c r="C402" s="38">
        <v>2007</v>
      </c>
      <c r="D402">
        <v>38</v>
      </c>
      <c r="E402">
        <v>12</v>
      </c>
      <c r="F402">
        <v>16</v>
      </c>
      <c r="G402">
        <v>10</v>
      </c>
      <c r="H402">
        <v>32</v>
      </c>
      <c r="I402">
        <v>35</v>
      </c>
      <c r="J402">
        <v>-3</v>
      </c>
      <c r="K402">
        <v>52</v>
      </c>
      <c r="L402">
        <v>1.37</v>
      </c>
      <c r="N402" t="s">
        <v>2829</v>
      </c>
      <c r="O402" t="s">
        <v>2670</v>
      </c>
    </row>
    <row r="403" spans="1:16" ht="15.75" customHeight="1">
      <c r="A403">
        <v>11</v>
      </c>
      <c r="B403" t="s">
        <v>2970</v>
      </c>
      <c r="C403" s="38">
        <v>2007</v>
      </c>
      <c r="D403">
        <v>38</v>
      </c>
      <c r="E403">
        <v>13</v>
      </c>
      <c r="F403">
        <v>12</v>
      </c>
      <c r="G403">
        <v>13</v>
      </c>
      <c r="H403">
        <v>48</v>
      </c>
      <c r="I403">
        <v>53</v>
      </c>
      <c r="J403">
        <v>-5</v>
      </c>
      <c r="K403">
        <v>51</v>
      </c>
      <c r="L403">
        <v>1.34</v>
      </c>
      <c r="N403" t="s">
        <v>2830</v>
      </c>
      <c r="O403" t="s">
        <v>2811</v>
      </c>
    </row>
    <row r="404" spans="1:16" ht="15.75" customHeight="1">
      <c r="A404">
        <v>12</v>
      </c>
      <c r="B404" t="s">
        <v>2960</v>
      </c>
      <c r="C404" s="38">
        <v>2007</v>
      </c>
      <c r="D404">
        <v>38</v>
      </c>
      <c r="E404">
        <v>13</v>
      </c>
      <c r="F404">
        <v>8</v>
      </c>
      <c r="G404">
        <v>17</v>
      </c>
      <c r="H404">
        <v>40</v>
      </c>
      <c r="I404">
        <v>48</v>
      </c>
      <c r="J404">
        <v>-8</v>
      </c>
      <c r="K404">
        <v>47</v>
      </c>
      <c r="L404">
        <v>1.24</v>
      </c>
      <c r="N404" t="s">
        <v>2831</v>
      </c>
      <c r="O404" t="s">
        <v>2832</v>
      </c>
    </row>
    <row r="405" spans="1:16" ht="15.75" customHeight="1">
      <c r="A405">
        <v>13</v>
      </c>
      <c r="B405" t="s">
        <v>2979</v>
      </c>
      <c r="C405" s="38">
        <v>2007</v>
      </c>
      <c r="D405">
        <v>38</v>
      </c>
      <c r="E405">
        <v>12</v>
      </c>
      <c r="F405">
        <v>9</v>
      </c>
      <c r="G405">
        <v>17</v>
      </c>
      <c r="H405">
        <v>42</v>
      </c>
      <c r="I405">
        <v>40</v>
      </c>
      <c r="J405">
        <v>2</v>
      </c>
      <c r="K405">
        <v>45</v>
      </c>
      <c r="L405">
        <v>1.18</v>
      </c>
      <c r="N405" t="s">
        <v>2833</v>
      </c>
      <c r="O405" t="s">
        <v>2689</v>
      </c>
    </row>
    <row r="406" spans="1:16" ht="15.75" customHeight="1">
      <c r="A406">
        <v>14</v>
      </c>
      <c r="B406" t="s">
        <v>2978</v>
      </c>
      <c r="C406" s="38">
        <v>2007</v>
      </c>
      <c r="D406">
        <v>38</v>
      </c>
      <c r="E406">
        <v>10</v>
      </c>
      <c r="F406">
        <v>14</v>
      </c>
      <c r="G406">
        <v>14</v>
      </c>
      <c r="H406">
        <v>34</v>
      </c>
      <c r="I406">
        <v>43</v>
      </c>
      <c r="J406">
        <v>-9</v>
      </c>
      <c r="K406">
        <v>44</v>
      </c>
      <c r="L406">
        <v>1.1599999999999999</v>
      </c>
      <c r="N406" t="s">
        <v>2665</v>
      </c>
      <c r="O406" t="s">
        <v>2735</v>
      </c>
    </row>
    <row r="407" spans="1:16" ht="15.75" customHeight="1">
      <c r="A407">
        <v>15</v>
      </c>
      <c r="B407" t="s">
        <v>2985</v>
      </c>
      <c r="C407" s="38">
        <v>2007</v>
      </c>
      <c r="D407">
        <v>38</v>
      </c>
      <c r="E407">
        <v>12</v>
      </c>
      <c r="F407">
        <v>8</v>
      </c>
      <c r="G407">
        <v>18</v>
      </c>
      <c r="H407">
        <v>33</v>
      </c>
      <c r="I407">
        <v>52</v>
      </c>
      <c r="J407">
        <v>-19</v>
      </c>
      <c r="K407">
        <v>44</v>
      </c>
      <c r="L407">
        <v>1.1599999999999999</v>
      </c>
      <c r="N407" t="s">
        <v>2834</v>
      </c>
      <c r="O407" t="s">
        <v>2835</v>
      </c>
    </row>
    <row r="408" spans="1:16" ht="15.75" customHeight="1">
      <c r="A408">
        <v>16</v>
      </c>
      <c r="B408" t="s">
        <v>2958</v>
      </c>
      <c r="C408" s="38">
        <v>2007</v>
      </c>
      <c r="D408">
        <v>38</v>
      </c>
      <c r="E408">
        <v>10</v>
      </c>
      <c r="F408">
        <v>13</v>
      </c>
      <c r="G408">
        <v>15</v>
      </c>
      <c r="H408">
        <v>37</v>
      </c>
      <c r="I408">
        <v>45</v>
      </c>
      <c r="J408">
        <v>-8</v>
      </c>
      <c r="K408">
        <v>43</v>
      </c>
      <c r="L408">
        <v>1.1299999999999999</v>
      </c>
      <c r="N408" t="s">
        <v>2836</v>
      </c>
      <c r="O408" t="s">
        <v>2673</v>
      </c>
      <c r="P408" t="s">
        <v>2837</v>
      </c>
    </row>
    <row r="409" spans="1:16" ht="15.75" customHeight="1">
      <c r="A409">
        <v>17</v>
      </c>
      <c r="B409" t="s">
        <v>2974</v>
      </c>
      <c r="C409" s="38">
        <v>2007</v>
      </c>
      <c r="D409">
        <v>38</v>
      </c>
      <c r="E409">
        <v>9</v>
      </c>
      <c r="F409">
        <v>15</v>
      </c>
      <c r="G409">
        <v>14</v>
      </c>
      <c r="H409">
        <v>36</v>
      </c>
      <c r="I409">
        <v>42</v>
      </c>
      <c r="J409">
        <v>-6</v>
      </c>
      <c r="K409">
        <v>42</v>
      </c>
      <c r="L409">
        <v>1.1100000000000001</v>
      </c>
      <c r="N409" t="s">
        <v>2838</v>
      </c>
      <c r="O409" t="s">
        <v>2751</v>
      </c>
    </row>
    <row r="410" spans="1:16" ht="15.75" customHeight="1">
      <c r="A410">
        <v>18</v>
      </c>
      <c r="B410" t="s">
        <v>2977</v>
      </c>
      <c r="C410" s="38">
        <v>2007</v>
      </c>
      <c r="D410">
        <v>38</v>
      </c>
      <c r="E410">
        <v>9</v>
      </c>
      <c r="F410">
        <v>13</v>
      </c>
      <c r="G410">
        <v>16</v>
      </c>
      <c r="H410">
        <v>43</v>
      </c>
      <c r="I410">
        <v>52</v>
      </c>
      <c r="J410">
        <v>-9</v>
      </c>
      <c r="K410">
        <v>40</v>
      </c>
      <c r="L410">
        <v>1.05</v>
      </c>
      <c r="N410" t="s">
        <v>2839</v>
      </c>
      <c r="O410" t="s">
        <v>2766</v>
      </c>
      <c r="P410" t="s">
        <v>894</v>
      </c>
    </row>
    <row r="411" spans="1:16" ht="15.75" customHeight="1">
      <c r="A411">
        <v>19</v>
      </c>
      <c r="B411" t="s">
        <v>2991</v>
      </c>
      <c r="C411" s="38">
        <v>2007</v>
      </c>
      <c r="D411">
        <v>38</v>
      </c>
      <c r="E411">
        <v>9</v>
      </c>
      <c r="F411">
        <v>8</v>
      </c>
      <c r="G411">
        <v>21</v>
      </c>
      <c r="H411">
        <v>34</v>
      </c>
      <c r="I411">
        <v>55</v>
      </c>
      <c r="J411">
        <v>-21</v>
      </c>
      <c r="K411">
        <v>35</v>
      </c>
      <c r="L411">
        <v>0.92</v>
      </c>
      <c r="N411" t="s">
        <v>2840</v>
      </c>
      <c r="O411" t="s">
        <v>2841</v>
      </c>
      <c r="P411" t="s">
        <v>894</v>
      </c>
    </row>
    <row r="412" spans="1:16" ht="15.75" customHeight="1">
      <c r="A412">
        <v>20</v>
      </c>
      <c r="B412" t="s">
        <v>2976</v>
      </c>
      <c r="C412" s="38">
        <v>2007</v>
      </c>
      <c r="D412">
        <v>38</v>
      </c>
      <c r="E412">
        <v>5</v>
      </c>
      <c r="F412">
        <v>9</v>
      </c>
      <c r="G412">
        <v>24</v>
      </c>
      <c r="H412">
        <v>28</v>
      </c>
      <c r="I412">
        <v>64</v>
      </c>
      <c r="J412">
        <v>-36</v>
      </c>
      <c r="K412">
        <v>24</v>
      </c>
      <c r="L412">
        <v>0.63</v>
      </c>
      <c r="N412" t="s">
        <v>2842</v>
      </c>
      <c r="O412" t="s">
        <v>2843</v>
      </c>
      <c r="P412" t="s">
        <v>894</v>
      </c>
    </row>
    <row r="414" spans="1:16" ht="15.75" customHeight="1">
      <c r="A414" t="s">
        <v>820</v>
      </c>
      <c r="B414" t="s">
        <v>821</v>
      </c>
      <c r="C414" s="31" t="s">
        <v>2</v>
      </c>
      <c r="D414" t="s">
        <v>822</v>
      </c>
      <c r="E414" t="s">
        <v>823</v>
      </c>
      <c r="F414" t="s">
        <v>824</v>
      </c>
      <c r="G414" t="s">
        <v>825</v>
      </c>
      <c r="H414" t="s">
        <v>826</v>
      </c>
      <c r="I414" t="s">
        <v>827</v>
      </c>
      <c r="J414" t="s">
        <v>828</v>
      </c>
      <c r="K414" t="s">
        <v>829</v>
      </c>
      <c r="L414" t="s">
        <v>830</v>
      </c>
      <c r="M414" t="s">
        <v>835</v>
      </c>
      <c r="N414" t="s">
        <v>836</v>
      </c>
      <c r="O414" t="s">
        <v>837</v>
      </c>
      <c r="P414" t="s">
        <v>838</v>
      </c>
    </row>
    <row r="415" spans="1:16" ht="15.75" customHeight="1">
      <c r="A415">
        <v>1</v>
      </c>
      <c r="B415" t="s">
        <v>2959</v>
      </c>
      <c r="C415" s="38">
        <v>2006</v>
      </c>
      <c r="D415">
        <v>38</v>
      </c>
      <c r="E415">
        <v>24</v>
      </c>
      <c r="F415">
        <v>9</v>
      </c>
      <c r="G415">
        <v>5</v>
      </c>
      <c r="H415">
        <v>64</v>
      </c>
      <c r="I415">
        <v>27</v>
      </c>
      <c r="J415">
        <v>37</v>
      </c>
      <c r="K415">
        <v>81</v>
      </c>
      <c r="L415">
        <v>2.13</v>
      </c>
      <c r="N415" t="s">
        <v>2844</v>
      </c>
      <c r="O415" t="s">
        <v>2845</v>
      </c>
      <c r="P415" t="s">
        <v>842</v>
      </c>
    </row>
    <row r="416" spans="1:16" ht="15.75" customHeight="1">
      <c r="A416">
        <v>2</v>
      </c>
      <c r="B416" t="s">
        <v>2961</v>
      </c>
      <c r="C416" s="38">
        <v>2006</v>
      </c>
      <c r="D416">
        <v>38</v>
      </c>
      <c r="E416">
        <v>19</v>
      </c>
      <c r="F416">
        <v>7</v>
      </c>
      <c r="G416">
        <v>12</v>
      </c>
      <c r="H416">
        <v>53</v>
      </c>
      <c r="I416">
        <v>38</v>
      </c>
      <c r="J416">
        <v>15</v>
      </c>
      <c r="K416">
        <v>64</v>
      </c>
      <c r="L416">
        <v>1.68</v>
      </c>
      <c r="N416" t="s">
        <v>2846</v>
      </c>
      <c r="O416" t="s">
        <v>2640</v>
      </c>
      <c r="P416" t="s">
        <v>842</v>
      </c>
    </row>
    <row r="417" spans="1:16" ht="15.75" customHeight="1">
      <c r="A417">
        <v>3</v>
      </c>
      <c r="B417" t="s">
        <v>2974</v>
      </c>
      <c r="C417" s="38">
        <v>2006</v>
      </c>
      <c r="D417">
        <v>38</v>
      </c>
      <c r="E417">
        <v>17</v>
      </c>
      <c r="F417">
        <v>7</v>
      </c>
      <c r="G417">
        <v>14</v>
      </c>
      <c r="H417">
        <v>44</v>
      </c>
      <c r="I417">
        <v>43</v>
      </c>
      <c r="J417">
        <v>1</v>
      </c>
      <c r="K417">
        <v>58</v>
      </c>
      <c r="L417">
        <v>1.53</v>
      </c>
      <c r="N417" t="s">
        <v>2838</v>
      </c>
      <c r="O417" t="s">
        <v>2751</v>
      </c>
      <c r="P417" t="s">
        <v>842</v>
      </c>
    </row>
    <row r="418" spans="1:16" ht="15.75" customHeight="1">
      <c r="A418">
        <v>4</v>
      </c>
      <c r="B418" t="s">
        <v>2966</v>
      </c>
      <c r="C418" s="38">
        <v>2006</v>
      </c>
      <c r="D418">
        <v>38</v>
      </c>
      <c r="E418">
        <v>14</v>
      </c>
      <c r="F418">
        <v>15</v>
      </c>
      <c r="G418">
        <v>9</v>
      </c>
      <c r="H418">
        <v>38</v>
      </c>
      <c r="I418">
        <v>30</v>
      </c>
      <c r="J418">
        <v>8</v>
      </c>
      <c r="K418">
        <v>57</v>
      </c>
      <c r="L418">
        <v>1.5</v>
      </c>
      <c r="N418" t="s">
        <v>2847</v>
      </c>
      <c r="O418" t="s">
        <v>2687</v>
      </c>
      <c r="P418" t="s">
        <v>2820</v>
      </c>
    </row>
    <row r="419" spans="1:16" ht="15.75" customHeight="1">
      <c r="A419">
        <v>5</v>
      </c>
      <c r="B419" t="s">
        <v>2977</v>
      </c>
      <c r="C419" s="38">
        <v>2006</v>
      </c>
      <c r="D419">
        <v>38</v>
      </c>
      <c r="E419">
        <v>15</v>
      </c>
      <c r="F419">
        <v>12</v>
      </c>
      <c r="G419">
        <v>11</v>
      </c>
      <c r="H419">
        <v>47</v>
      </c>
      <c r="I419">
        <v>41</v>
      </c>
      <c r="J419">
        <v>6</v>
      </c>
      <c r="K419">
        <v>57</v>
      </c>
      <c r="L419">
        <v>1.5</v>
      </c>
      <c r="N419" t="s">
        <v>2848</v>
      </c>
      <c r="O419" t="s">
        <v>2849</v>
      </c>
      <c r="P419" t="s">
        <v>2824</v>
      </c>
    </row>
    <row r="420" spans="1:16" ht="15.75" customHeight="1">
      <c r="A420">
        <v>6</v>
      </c>
      <c r="B420" t="s">
        <v>2963</v>
      </c>
      <c r="C420" s="38">
        <v>2006</v>
      </c>
      <c r="D420">
        <v>38</v>
      </c>
      <c r="E420">
        <v>16</v>
      </c>
      <c r="F420">
        <v>9</v>
      </c>
      <c r="G420">
        <v>13</v>
      </c>
      <c r="H420">
        <v>39</v>
      </c>
      <c r="I420">
        <v>35</v>
      </c>
      <c r="J420">
        <v>4</v>
      </c>
      <c r="K420">
        <v>57</v>
      </c>
      <c r="L420">
        <v>1.5</v>
      </c>
      <c r="N420" t="s">
        <v>2850</v>
      </c>
      <c r="O420" t="s">
        <v>2794</v>
      </c>
      <c r="P420" t="s">
        <v>2851</v>
      </c>
    </row>
    <row r="421" spans="1:16" ht="15.75" customHeight="1">
      <c r="A421">
        <v>7</v>
      </c>
      <c r="B421" t="s">
        <v>2978</v>
      </c>
      <c r="C421" s="38">
        <v>2006</v>
      </c>
      <c r="D421">
        <v>38</v>
      </c>
      <c r="E421">
        <v>15</v>
      </c>
      <c r="F421">
        <v>12</v>
      </c>
      <c r="G421">
        <v>11</v>
      </c>
      <c r="H421">
        <v>46</v>
      </c>
      <c r="I421">
        <v>48</v>
      </c>
      <c r="J421">
        <v>-2</v>
      </c>
      <c r="K421">
        <v>57</v>
      </c>
      <c r="L421">
        <v>1.5</v>
      </c>
      <c r="N421" t="s">
        <v>2852</v>
      </c>
      <c r="O421" t="s">
        <v>2735</v>
      </c>
      <c r="P421" t="s">
        <v>2837</v>
      </c>
    </row>
    <row r="422" spans="1:16" ht="15.75" customHeight="1">
      <c r="A422">
        <v>8</v>
      </c>
      <c r="B422" t="s">
        <v>2985</v>
      </c>
      <c r="C422" s="38">
        <v>2006</v>
      </c>
      <c r="D422">
        <v>38</v>
      </c>
      <c r="E422">
        <v>13</v>
      </c>
      <c r="F422">
        <v>15</v>
      </c>
      <c r="G422">
        <v>10</v>
      </c>
      <c r="H422">
        <v>41</v>
      </c>
      <c r="I422">
        <v>41</v>
      </c>
      <c r="J422">
        <v>0</v>
      </c>
      <c r="K422">
        <v>54</v>
      </c>
      <c r="L422">
        <v>1.42</v>
      </c>
      <c r="N422" t="s">
        <v>2853</v>
      </c>
      <c r="O422" t="s">
        <v>2743</v>
      </c>
    </row>
    <row r="423" spans="1:16" ht="15.75" customHeight="1">
      <c r="A423">
        <v>9</v>
      </c>
      <c r="B423" t="s">
        <v>2960</v>
      </c>
      <c r="C423" s="38">
        <v>2006</v>
      </c>
      <c r="D423">
        <v>38</v>
      </c>
      <c r="E423">
        <v>13</v>
      </c>
      <c r="F423">
        <v>12</v>
      </c>
      <c r="G423">
        <v>13</v>
      </c>
      <c r="H423">
        <v>45</v>
      </c>
      <c r="I423">
        <v>38</v>
      </c>
      <c r="J423">
        <v>7</v>
      </c>
      <c r="K423">
        <v>51</v>
      </c>
      <c r="L423">
        <v>1.34</v>
      </c>
      <c r="N423" t="s">
        <v>2854</v>
      </c>
      <c r="O423" t="s">
        <v>2832</v>
      </c>
    </row>
    <row r="424" spans="1:16" ht="15.75" customHeight="1">
      <c r="A424">
        <v>10</v>
      </c>
      <c r="B424" t="s">
        <v>2965</v>
      </c>
      <c r="C424" s="38">
        <v>2006</v>
      </c>
      <c r="D424">
        <v>38</v>
      </c>
      <c r="E424">
        <v>13</v>
      </c>
      <c r="F424">
        <v>11</v>
      </c>
      <c r="G424">
        <v>14</v>
      </c>
      <c r="H424">
        <v>45</v>
      </c>
      <c r="I424">
        <v>43</v>
      </c>
      <c r="J424">
        <v>2</v>
      </c>
      <c r="K424">
        <v>50</v>
      </c>
      <c r="L424">
        <v>1.32</v>
      </c>
      <c r="N424" t="s">
        <v>2855</v>
      </c>
      <c r="O424" t="s">
        <v>2826</v>
      </c>
    </row>
    <row r="425" spans="1:16" ht="15.75" customHeight="1">
      <c r="A425">
        <v>11</v>
      </c>
      <c r="B425" t="s">
        <v>2962</v>
      </c>
      <c r="C425" s="38">
        <v>2006</v>
      </c>
      <c r="D425">
        <v>38</v>
      </c>
      <c r="E425">
        <v>14</v>
      </c>
      <c r="F425">
        <v>7</v>
      </c>
      <c r="G425">
        <v>17</v>
      </c>
      <c r="H425">
        <v>52</v>
      </c>
      <c r="I425">
        <v>50</v>
      </c>
      <c r="J425">
        <v>2</v>
      </c>
      <c r="K425">
        <v>49</v>
      </c>
      <c r="L425">
        <v>1.29</v>
      </c>
      <c r="N425" t="s">
        <v>2856</v>
      </c>
      <c r="O425" t="s">
        <v>2757</v>
      </c>
    </row>
    <row r="426" spans="1:16" ht="15.75" customHeight="1">
      <c r="A426">
        <v>12</v>
      </c>
      <c r="B426" t="s">
        <v>2987</v>
      </c>
      <c r="C426" s="38">
        <v>2006</v>
      </c>
      <c r="D426">
        <v>38</v>
      </c>
      <c r="E426">
        <v>11</v>
      </c>
      <c r="F426">
        <v>16</v>
      </c>
      <c r="G426">
        <v>11</v>
      </c>
      <c r="H426">
        <v>45</v>
      </c>
      <c r="I426">
        <v>46</v>
      </c>
      <c r="J426">
        <v>-1</v>
      </c>
      <c r="K426">
        <v>49</v>
      </c>
      <c r="L426">
        <v>1.29</v>
      </c>
      <c r="N426" t="s">
        <v>2857</v>
      </c>
      <c r="O426" t="s">
        <v>2783</v>
      </c>
    </row>
    <row r="427" spans="1:16" ht="15.75" customHeight="1">
      <c r="A427">
        <v>13</v>
      </c>
      <c r="B427" t="s">
        <v>2981</v>
      </c>
      <c r="C427" s="38">
        <v>2006</v>
      </c>
      <c r="D427">
        <v>38</v>
      </c>
      <c r="E427">
        <v>13</v>
      </c>
      <c r="F427">
        <v>10</v>
      </c>
      <c r="G427">
        <v>15</v>
      </c>
      <c r="H427">
        <v>37</v>
      </c>
      <c r="I427">
        <v>44</v>
      </c>
      <c r="J427">
        <v>-7</v>
      </c>
      <c r="K427">
        <v>49</v>
      </c>
      <c r="L427">
        <v>1.29</v>
      </c>
      <c r="N427" t="s">
        <v>2858</v>
      </c>
      <c r="O427" t="s">
        <v>2714</v>
      </c>
    </row>
    <row r="428" spans="1:16" ht="15.75" customHeight="1">
      <c r="A428">
        <v>14</v>
      </c>
      <c r="B428" t="s">
        <v>2973</v>
      </c>
      <c r="C428" s="38">
        <v>2006</v>
      </c>
      <c r="D428">
        <v>38</v>
      </c>
      <c r="E428">
        <v>12</v>
      </c>
      <c r="F428">
        <v>13</v>
      </c>
      <c r="G428">
        <v>13</v>
      </c>
      <c r="H428">
        <v>33</v>
      </c>
      <c r="I428">
        <v>40</v>
      </c>
      <c r="J428">
        <v>-7</v>
      </c>
      <c r="K428">
        <v>49</v>
      </c>
      <c r="L428">
        <v>1.29</v>
      </c>
      <c r="N428" t="s">
        <v>2859</v>
      </c>
      <c r="O428" t="s">
        <v>2653</v>
      </c>
    </row>
    <row r="429" spans="1:16" ht="15.75" customHeight="1">
      <c r="A429">
        <v>15</v>
      </c>
      <c r="B429" t="s">
        <v>2958</v>
      </c>
      <c r="C429" s="38">
        <v>2006</v>
      </c>
      <c r="D429">
        <v>38</v>
      </c>
      <c r="E429">
        <v>12</v>
      </c>
      <c r="F429">
        <v>12</v>
      </c>
      <c r="G429">
        <v>14</v>
      </c>
      <c r="H429">
        <v>42</v>
      </c>
      <c r="I429">
        <v>42</v>
      </c>
      <c r="J429">
        <v>0</v>
      </c>
      <c r="K429">
        <v>48</v>
      </c>
      <c r="L429">
        <v>1.26</v>
      </c>
      <c r="N429" t="s">
        <v>2860</v>
      </c>
      <c r="O429" t="s">
        <v>2673</v>
      </c>
    </row>
    <row r="430" spans="1:16" ht="15.75" customHeight="1">
      <c r="A430">
        <v>16</v>
      </c>
      <c r="B430" t="s">
        <v>2968</v>
      </c>
      <c r="C430" s="38">
        <v>2006</v>
      </c>
      <c r="D430">
        <v>38</v>
      </c>
      <c r="E430">
        <v>9</v>
      </c>
      <c r="F430">
        <v>16</v>
      </c>
      <c r="G430">
        <v>13</v>
      </c>
      <c r="H430">
        <v>34</v>
      </c>
      <c r="I430">
        <v>40</v>
      </c>
      <c r="J430">
        <v>-6</v>
      </c>
      <c r="K430">
        <v>43</v>
      </c>
      <c r="L430">
        <v>1.1299999999999999</v>
      </c>
      <c r="N430" t="s">
        <v>2861</v>
      </c>
      <c r="O430" t="s">
        <v>2723</v>
      </c>
    </row>
    <row r="431" spans="1:16" ht="15.75" customHeight="1">
      <c r="A431">
        <v>17</v>
      </c>
      <c r="B431" t="s">
        <v>2979</v>
      </c>
      <c r="C431" s="38">
        <v>2006</v>
      </c>
      <c r="D431">
        <v>38</v>
      </c>
      <c r="E431">
        <v>11</v>
      </c>
      <c r="F431">
        <v>10</v>
      </c>
      <c r="G431">
        <v>17</v>
      </c>
      <c r="H431">
        <v>36</v>
      </c>
      <c r="I431">
        <v>48</v>
      </c>
      <c r="J431">
        <v>-12</v>
      </c>
      <c r="K431">
        <v>43</v>
      </c>
      <c r="L431">
        <v>1.1299999999999999</v>
      </c>
      <c r="N431" t="s">
        <v>2833</v>
      </c>
      <c r="O431" t="s">
        <v>2689</v>
      </c>
    </row>
    <row r="432" spans="1:16" ht="15.75" customHeight="1">
      <c r="A432">
        <v>18</v>
      </c>
      <c r="B432" t="s">
        <v>2982</v>
      </c>
      <c r="C432" s="38">
        <v>2006</v>
      </c>
      <c r="D432">
        <v>38</v>
      </c>
      <c r="E432">
        <v>9</v>
      </c>
      <c r="F432">
        <v>12</v>
      </c>
      <c r="G432">
        <v>17</v>
      </c>
      <c r="H432">
        <v>39</v>
      </c>
      <c r="I432">
        <v>54</v>
      </c>
      <c r="J432">
        <v>-15</v>
      </c>
      <c r="K432">
        <v>39</v>
      </c>
      <c r="L432">
        <v>1.03</v>
      </c>
      <c r="N432" t="s">
        <v>2862</v>
      </c>
      <c r="O432" t="s">
        <v>2863</v>
      </c>
      <c r="P432" t="s">
        <v>894</v>
      </c>
    </row>
    <row r="433" spans="1:16" ht="15.75" customHeight="1">
      <c r="A433">
        <v>19</v>
      </c>
      <c r="B433" t="s">
        <v>2992</v>
      </c>
      <c r="C433" s="38">
        <v>2006</v>
      </c>
      <c r="D433">
        <v>38</v>
      </c>
      <c r="E433">
        <v>7</v>
      </c>
      <c r="F433">
        <v>14</v>
      </c>
      <c r="G433">
        <v>17</v>
      </c>
      <c r="H433">
        <v>46</v>
      </c>
      <c r="I433">
        <v>58</v>
      </c>
      <c r="J433">
        <v>-12</v>
      </c>
      <c r="K433">
        <v>35</v>
      </c>
      <c r="L433">
        <v>0.92</v>
      </c>
      <c r="N433" t="s">
        <v>2864</v>
      </c>
      <c r="O433" t="s">
        <v>2865</v>
      </c>
      <c r="P433" t="s">
        <v>894</v>
      </c>
    </row>
    <row r="434" spans="1:16" ht="15.75" customHeight="1">
      <c r="A434">
        <v>20</v>
      </c>
      <c r="B434" t="s">
        <v>2971</v>
      </c>
      <c r="C434" s="38">
        <v>2006</v>
      </c>
      <c r="D434">
        <v>38</v>
      </c>
      <c r="E434">
        <v>7</v>
      </c>
      <c r="F434">
        <v>13</v>
      </c>
      <c r="G434">
        <v>18</v>
      </c>
      <c r="H434">
        <v>29</v>
      </c>
      <c r="I434">
        <v>49</v>
      </c>
      <c r="J434">
        <v>-20</v>
      </c>
      <c r="K434">
        <v>34</v>
      </c>
      <c r="L434">
        <v>0.89</v>
      </c>
      <c r="N434" t="s">
        <v>2866</v>
      </c>
      <c r="O434" t="s">
        <v>2867</v>
      </c>
      <c r="P434" t="s">
        <v>894</v>
      </c>
    </row>
    <row r="436" spans="1:16" ht="15.75" customHeight="1">
      <c r="A436" t="s">
        <v>820</v>
      </c>
      <c r="B436" t="s">
        <v>821</v>
      </c>
      <c r="C436" s="31" t="s">
        <v>2</v>
      </c>
      <c r="D436" t="s">
        <v>822</v>
      </c>
      <c r="E436" t="s">
        <v>823</v>
      </c>
      <c r="F436" t="s">
        <v>824</v>
      </c>
      <c r="G436" t="s">
        <v>825</v>
      </c>
      <c r="H436" t="s">
        <v>826</v>
      </c>
      <c r="I436" t="s">
        <v>827</v>
      </c>
      <c r="J436" t="s">
        <v>828</v>
      </c>
      <c r="K436" t="s">
        <v>829</v>
      </c>
      <c r="L436" t="s">
        <v>830</v>
      </c>
      <c r="M436" t="s">
        <v>835</v>
      </c>
      <c r="N436" t="s">
        <v>836</v>
      </c>
      <c r="O436" t="s">
        <v>837</v>
      </c>
      <c r="P436" t="s">
        <v>838</v>
      </c>
    </row>
    <row r="437" spans="1:16" ht="15.75" customHeight="1">
      <c r="A437">
        <v>1</v>
      </c>
      <c r="B437" t="s">
        <v>2959</v>
      </c>
      <c r="C437" s="38">
        <v>2005</v>
      </c>
      <c r="D437">
        <v>38</v>
      </c>
      <c r="E437">
        <v>25</v>
      </c>
      <c r="F437">
        <v>9</v>
      </c>
      <c r="G437">
        <v>4</v>
      </c>
      <c r="H437">
        <v>73</v>
      </c>
      <c r="I437">
        <v>31</v>
      </c>
      <c r="J437">
        <v>42</v>
      </c>
      <c r="K437">
        <v>84</v>
      </c>
      <c r="L437">
        <v>2.21</v>
      </c>
      <c r="N437" t="s">
        <v>2868</v>
      </c>
      <c r="O437" t="s">
        <v>2845</v>
      </c>
      <c r="P437" t="s">
        <v>842</v>
      </c>
    </row>
    <row r="438" spans="1:16" ht="15.75" customHeight="1">
      <c r="A438">
        <v>2</v>
      </c>
      <c r="B438" t="s">
        <v>2963</v>
      </c>
      <c r="C438" s="38">
        <v>2005</v>
      </c>
      <c r="D438">
        <v>38</v>
      </c>
      <c r="E438">
        <v>18</v>
      </c>
      <c r="F438">
        <v>15</v>
      </c>
      <c r="G438">
        <v>5</v>
      </c>
      <c r="H438">
        <v>43</v>
      </c>
      <c r="I438">
        <v>25</v>
      </c>
      <c r="J438">
        <v>18</v>
      </c>
      <c r="K438">
        <v>69</v>
      </c>
      <c r="L438">
        <v>1.82</v>
      </c>
      <c r="N438" t="s">
        <v>2869</v>
      </c>
      <c r="O438" t="s">
        <v>2794</v>
      </c>
      <c r="P438" t="s">
        <v>842</v>
      </c>
    </row>
    <row r="439" spans="1:16" ht="15.75" customHeight="1">
      <c r="A439">
        <v>3</v>
      </c>
      <c r="B439" t="s">
        <v>2965</v>
      </c>
      <c r="C439" s="38">
        <v>2005</v>
      </c>
      <c r="D439">
        <v>38</v>
      </c>
      <c r="E439">
        <v>16</v>
      </c>
      <c r="F439">
        <v>14</v>
      </c>
      <c r="G439">
        <v>8</v>
      </c>
      <c r="H439">
        <v>56</v>
      </c>
      <c r="I439">
        <v>31</v>
      </c>
      <c r="J439">
        <v>25</v>
      </c>
      <c r="K439">
        <v>62</v>
      </c>
      <c r="L439">
        <v>1.63</v>
      </c>
      <c r="N439" t="s">
        <v>2870</v>
      </c>
      <c r="O439" t="s">
        <v>2826</v>
      </c>
      <c r="P439" t="s">
        <v>842</v>
      </c>
    </row>
    <row r="440" spans="1:16" ht="15.75" customHeight="1">
      <c r="A440">
        <v>4</v>
      </c>
      <c r="B440" t="s">
        <v>2977</v>
      </c>
      <c r="C440" s="38">
        <v>2005</v>
      </c>
      <c r="D440">
        <v>38</v>
      </c>
      <c r="E440">
        <v>14</v>
      </c>
      <c r="F440">
        <v>18</v>
      </c>
      <c r="G440">
        <v>6</v>
      </c>
      <c r="H440">
        <v>48</v>
      </c>
      <c r="I440">
        <v>34</v>
      </c>
      <c r="J440">
        <v>14</v>
      </c>
      <c r="K440">
        <v>60</v>
      </c>
      <c r="L440">
        <v>1.58</v>
      </c>
      <c r="N440" t="s">
        <v>2871</v>
      </c>
      <c r="O440" t="s">
        <v>2849</v>
      </c>
      <c r="P440" t="s">
        <v>2820</v>
      </c>
    </row>
    <row r="441" spans="1:16" ht="15.75" customHeight="1">
      <c r="A441">
        <v>5</v>
      </c>
      <c r="B441" t="s">
        <v>2961</v>
      </c>
      <c r="C441" s="38">
        <v>2005</v>
      </c>
      <c r="D441">
        <v>38</v>
      </c>
      <c r="E441">
        <v>16</v>
      </c>
      <c r="F441">
        <v>12</v>
      </c>
      <c r="G441">
        <v>10</v>
      </c>
      <c r="H441">
        <v>44</v>
      </c>
      <c r="I441">
        <v>35</v>
      </c>
      <c r="J441">
        <v>9</v>
      </c>
      <c r="K441">
        <v>60</v>
      </c>
      <c r="L441">
        <v>1.58</v>
      </c>
      <c r="N441" t="s">
        <v>2872</v>
      </c>
      <c r="O441" t="s">
        <v>2867</v>
      </c>
      <c r="P441" t="s">
        <v>2824</v>
      </c>
    </row>
    <row r="442" spans="1:16" ht="15.75" customHeight="1">
      <c r="A442">
        <v>6</v>
      </c>
      <c r="B442" t="s">
        <v>2985</v>
      </c>
      <c r="C442" s="38">
        <v>2005</v>
      </c>
      <c r="D442">
        <v>38</v>
      </c>
      <c r="E442">
        <v>17</v>
      </c>
      <c r="F442">
        <v>8</v>
      </c>
      <c r="G442">
        <v>13</v>
      </c>
      <c r="H442">
        <v>50</v>
      </c>
      <c r="I442">
        <v>39</v>
      </c>
      <c r="J442">
        <v>11</v>
      </c>
      <c r="K442">
        <v>59</v>
      </c>
      <c r="L442">
        <v>1.55</v>
      </c>
      <c r="N442" t="s">
        <v>2873</v>
      </c>
      <c r="O442" t="s">
        <v>2874</v>
      </c>
      <c r="P442" t="s">
        <v>2824</v>
      </c>
    </row>
    <row r="443" spans="1:16" ht="15.75" customHeight="1">
      <c r="A443">
        <v>7</v>
      </c>
      <c r="B443" t="s">
        <v>2966</v>
      </c>
      <c r="C443" s="38">
        <v>2005</v>
      </c>
      <c r="D443">
        <v>38</v>
      </c>
      <c r="E443">
        <v>18</v>
      </c>
      <c r="F443">
        <v>5</v>
      </c>
      <c r="G443">
        <v>15</v>
      </c>
      <c r="H443">
        <v>48</v>
      </c>
      <c r="I443">
        <v>49</v>
      </c>
      <c r="J443">
        <v>-1</v>
      </c>
      <c r="K443">
        <v>59</v>
      </c>
      <c r="L443">
        <v>1.55</v>
      </c>
      <c r="N443" t="s">
        <v>2847</v>
      </c>
      <c r="O443" t="s">
        <v>2875</v>
      </c>
    </row>
    <row r="444" spans="1:16" ht="15.75" customHeight="1">
      <c r="A444">
        <v>8</v>
      </c>
      <c r="B444" t="s">
        <v>2968</v>
      </c>
      <c r="C444" s="38">
        <v>2005</v>
      </c>
      <c r="D444">
        <v>38</v>
      </c>
      <c r="E444">
        <v>16</v>
      </c>
      <c r="F444">
        <v>10</v>
      </c>
      <c r="G444">
        <v>12</v>
      </c>
      <c r="H444">
        <v>36</v>
      </c>
      <c r="I444">
        <v>31</v>
      </c>
      <c r="J444">
        <v>5</v>
      </c>
      <c r="K444">
        <v>58</v>
      </c>
      <c r="L444">
        <v>1.53</v>
      </c>
      <c r="N444" t="s">
        <v>2876</v>
      </c>
      <c r="O444" t="s">
        <v>2714</v>
      </c>
    </row>
    <row r="445" spans="1:16" ht="15.75" customHeight="1">
      <c r="A445">
        <v>9</v>
      </c>
      <c r="B445" t="s">
        <v>2958</v>
      </c>
      <c r="C445" s="38">
        <v>2005</v>
      </c>
      <c r="D445">
        <v>38</v>
      </c>
      <c r="E445">
        <v>13</v>
      </c>
      <c r="F445">
        <v>13</v>
      </c>
      <c r="G445">
        <v>12</v>
      </c>
      <c r="H445">
        <v>44</v>
      </c>
      <c r="I445">
        <v>38</v>
      </c>
      <c r="J445">
        <v>6</v>
      </c>
      <c r="K445">
        <v>52</v>
      </c>
      <c r="L445">
        <v>1.37</v>
      </c>
      <c r="N445" t="s">
        <v>2877</v>
      </c>
      <c r="O445" t="s">
        <v>2878</v>
      </c>
      <c r="P445" t="s">
        <v>2851</v>
      </c>
    </row>
    <row r="446" spans="1:16" ht="15.75" customHeight="1">
      <c r="A446">
        <v>10</v>
      </c>
      <c r="B446" t="s">
        <v>2960</v>
      </c>
      <c r="C446" s="38">
        <v>2005</v>
      </c>
      <c r="D446">
        <v>38</v>
      </c>
      <c r="E446">
        <v>13</v>
      </c>
      <c r="F446">
        <v>13</v>
      </c>
      <c r="G446">
        <v>12</v>
      </c>
      <c r="H446">
        <v>42</v>
      </c>
      <c r="I446">
        <v>36</v>
      </c>
      <c r="J446">
        <v>6</v>
      </c>
      <c r="K446">
        <v>52</v>
      </c>
      <c r="L446">
        <v>1.37</v>
      </c>
      <c r="N446" t="s">
        <v>2879</v>
      </c>
      <c r="O446" t="s">
        <v>2880</v>
      </c>
    </row>
    <row r="447" spans="1:16" ht="15.75" customHeight="1">
      <c r="A447">
        <v>11</v>
      </c>
      <c r="B447" t="s">
        <v>2987</v>
      </c>
      <c r="C447" s="38">
        <v>2005</v>
      </c>
      <c r="D447">
        <v>38</v>
      </c>
      <c r="E447">
        <v>13</v>
      </c>
      <c r="F447">
        <v>13</v>
      </c>
      <c r="G447">
        <v>12</v>
      </c>
      <c r="H447">
        <v>33</v>
      </c>
      <c r="I447">
        <v>36</v>
      </c>
      <c r="J447">
        <v>-3</v>
      </c>
      <c r="K447">
        <v>52</v>
      </c>
      <c r="L447">
        <v>1.37</v>
      </c>
      <c r="N447" t="s">
        <v>2881</v>
      </c>
      <c r="O447" t="s">
        <v>2783</v>
      </c>
    </row>
    <row r="448" spans="1:16" ht="15.75" customHeight="1">
      <c r="A448">
        <v>12</v>
      </c>
      <c r="B448" t="s">
        <v>2981</v>
      </c>
      <c r="C448" s="38">
        <v>2005</v>
      </c>
      <c r="D448">
        <v>38</v>
      </c>
      <c r="E448">
        <v>12</v>
      </c>
      <c r="F448">
        <v>12</v>
      </c>
      <c r="G448">
        <v>14</v>
      </c>
      <c r="H448">
        <v>35</v>
      </c>
      <c r="I448">
        <v>37</v>
      </c>
      <c r="J448">
        <v>-2</v>
      </c>
      <c r="K448">
        <v>48</v>
      </c>
      <c r="L448">
        <v>1.26</v>
      </c>
      <c r="N448" t="s">
        <v>2882</v>
      </c>
      <c r="O448" t="s">
        <v>2780</v>
      </c>
      <c r="P448" t="s">
        <v>2837</v>
      </c>
    </row>
    <row r="449" spans="1:16" ht="15.75" customHeight="1">
      <c r="A449">
        <v>13</v>
      </c>
      <c r="B449" t="s">
        <v>2962</v>
      </c>
      <c r="C449" s="38">
        <v>2005</v>
      </c>
      <c r="D449">
        <v>38</v>
      </c>
      <c r="E449">
        <v>11</v>
      </c>
      <c r="F449">
        <v>14</v>
      </c>
      <c r="G449">
        <v>13</v>
      </c>
      <c r="H449">
        <v>29</v>
      </c>
      <c r="I449">
        <v>39</v>
      </c>
      <c r="J449">
        <v>-10</v>
      </c>
      <c r="K449">
        <v>47</v>
      </c>
      <c r="L449">
        <v>1.24</v>
      </c>
      <c r="N449" t="s">
        <v>2883</v>
      </c>
      <c r="O449" t="s">
        <v>2757</v>
      </c>
    </row>
    <row r="450" spans="1:16" ht="15.75" customHeight="1">
      <c r="A450">
        <v>14</v>
      </c>
      <c r="B450" t="s">
        <v>2971</v>
      </c>
      <c r="C450" s="38">
        <v>2005</v>
      </c>
      <c r="D450">
        <v>38</v>
      </c>
      <c r="E450">
        <v>11</v>
      </c>
      <c r="F450">
        <v>12</v>
      </c>
      <c r="G450">
        <v>15</v>
      </c>
      <c r="H450">
        <v>37</v>
      </c>
      <c r="I450">
        <v>41</v>
      </c>
      <c r="J450">
        <v>-4</v>
      </c>
      <c r="K450">
        <v>45</v>
      </c>
      <c r="L450">
        <v>1.18</v>
      </c>
      <c r="N450" t="s">
        <v>2884</v>
      </c>
      <c r="O450" t="s">
        <v>2673</v>
      </c>
    </row>
    <row r="451" spans="1:16" ht="15.75" customHeight="1">
      <c r="A451">
        <v>15</v>
      </c>
      <c r="B451" t="s">
        <v>2978</v>
      </c>
      <c r="C451" s="38">
        <v>2005</v>
      </c>
      <c r="D451">
        <v>38</v>
      </c>
      <c r="E451">
        <v>11</v>
      </c>
      <c r="F451">
        <v>11</v>
      </c>
      <c r="G451">
        <v>16</v>
      </c>
      <c r="H451">
        <v>34</v>
      </c>
      <c r="I451">
        <v>47</v>
      </c>
      <c r="J451">
        <v>-13</v>
      </c>
      <c r="K451">
        <v>44</v>
      </c>
      <c r="L451">
        <v>1.1599999999999999</v>
      </c>
      <c r="N451" t="s">
        <v>2885</v>
      </c>
      <c r="O451" t="s">
        <v>2735</v>
      </c>
    </row>
    <row r="452" spans="1:16" ht="15.75" customHeight="1">
      <c r="A452">
        <v>16</v>
      </c>
      <c r="B452" t="s">
        <v>2974</v>
      </c>
      <c r="C452" s="38">
        <v>2005</v>
      </c>
      <c r="D452">
        <v>38</v>
      </c>
      <c r="E452">
        <v>10</v>
      </c>
      <c r="F452">
        <v>11</v>
      </c>
      <c r="G452">
        <v>17</v>
      </c>
      <c r="H452">
        <v>36</v>
      </c>
      <c r="I452">
        <v>47</v>
      </c>
      <c r="J452">
        <v>-11</v>
      </c>
      <c r="K452">
        <v>41</v>
      </c>
      <c r="L452">
        <v>1.08</v>
      </c>
      <c r="N452" t="s">
        <v>2886</v>
      </c>
      <c r="O452" t="s">
        <v>2815</v>
      </c>
    </row>
    <row r="453" spans="1:16" ht="15.75" customHeight="1">
      <c r="A453">
        <v>17</v>
      </c>
      <c r="B453" t="s">
        <v>2982</v>
      </c>
      <c r="C453" s="38">
        <v>2005</v>
      </c>
      <c r="D453">
        <v>38</v>
      </c>
      <c r="E453">
        <v>9</v>
      </c>
      <c r="F453">
        <v>12</v>
      </c>
      <c r="G453">
        <v>17</v>
      </c>
      <c r="H453">
        <v>37</v>
      </c>
      <c r="I453">
        <v>47</v>
      </c>
      <c r="J453">
        <v>-10</v>
      </c>
      <c r="K453">
        <v>39</v>
      </c>
      <c r="L453">
        <v>1.03</v>
      </c>
      <c r="N453" t="s">
        <v>2887</v>
      </c>
      <c r="O453" t="s">
        <v>2863</v>
      </c>
    </row>
    <row r="454" spans="1:16" ht="15.75" customHeight="1">
      <c r="A454">
        <v>18</v>
      </c>
      <c r="B454" t="s">
        <v>2980</v>
      </c>
      <c r="C454" s="38">
        <v>2005</v>
      </c>
      <c r="D454">
        <v>38</v>
      </c>
      <c r="E454">
        <v>8</v>
      </c>
      <c r="F454">
        <v>9</v>
      </c>
      <c r="G454">
        <v>21</v>
      </c>
      <c r="H454">
        <v>27</v>
      </c>
      <c r="I454">
        <v>53</v>
      </c>
      <c r="J454">
        <v>-26</v>
      </c>
      <c r="K454">
        <v>33</v>
      </c>
      <c r="L454">
        <v>0.87</v>
      </c>
      <c r="N454" t="s">
        <v>2888</v>
      </c>
      <c r="O454" t="s">
        <v>2889</v>
      </c>
      <c r="P454" t="s">
        <v>894</v>
      </c>
    </row>
    <row r="455" spans="1:16" ht="15.75" customHeight="1">
      <c r="A455">
        <v>19</v>
      </c>
      <c r="B455" t="s">
        <v>2991</v>
      </c>
      <c r="C455" s="38">
        <v>2005</v>
      </c>
      <c r="D455">
        <v>38</v>
      </c>
      <c r="E455">
        <v>5</v>
      </c>
      <c r="F455">
        <v>14</v>
      </c>
      <c r="G455">
        <v>19</v>
      </c>
      <c r="H455">
        <v>33</v>
      </c>
      <c r="I455">
        <v>56</v>
      </c>
      <c r="J455">
        <v>-23</v>
      </c>
      <c r="K455">
        <v>29</v>
      </c>
      <c r="L455">
        <v>0.76</v>
      </c>
      <c r="N455" t="s">
        <v>2890</v>
      </c>
      <c r="O455" t="s">
        <v>2841</v>
      </c>
      <c r="P455" t="s">
        <v>894</v>
      </c>
    </row>
    <row r="456" spans="1:16" ht="15.75" customHeight="1">
      <c r="A456">
        <v>20</v>
      </c>
      <c r="B456" t="s">
        <v>2976</v>
      </c>
      <c r="C456" s="38">
        <v>2005</v>
      </c>
      <c r="D456">
        <v>38</v>
      </c>
      <c r="E456">
        <v>6</v>
      </c>
      <c r="F456">
        <v>11</v>
      </c>
      <c r="G456">
        <v>21</v>
      </c>
      <c r="H456">
        <v>26</v>
      </c>
      <c r="I456">
        <v>59</v>
      </c>
      <c r="J456">
        <v>-33</v>
      </c>
      <c r="K456">
        <v>29</v>
      </c>
      <c r="L456">
        <v>0.76</v>
      </c>
      <c r="N456" t="s">
        <v>2891</v>
      </c>
      <c r="O456" t="s">
        <v>2807</v>
      </c>
      <c r="P456" t="s">
        <v>894</v>
      </c>
    </row>
    <row r="458" spans="1:16" ht="15.75" customHeight="1">
      <c r="A458" t="s">
        <v>820</v>
      </c>
      <c r="B458" t="s">
        <v>821</v>
      </c>
      <c r="C458" s="31" t="s">
        <v>2</v>
      </c>
      <c r="D458" t="s">
        <v>822</v>
      </c>
      <c r="E458" t="s">
        <v>823</v>
      </c>
      <c r="F458" t="s">
        <v>824</v>
      </c>
      <c r="G458" t="s">
        <v>825</v>
      </c>
      <c r="H458" t="s">
        <v>826</v>
      </c>
      <c r="I458" t="s">
        <v>827</v>
      </c>
      <c r="J458" t="s">
        <v>828</v>
      </c>
      <c r="K458" t="s">
        <v>829</v>
      </c>
      <c r="L458" t="s">
        <v>830</v>
      </c>
      <c r="M458" t="s">
        <v>835</v>
      </c>
      <c r="N458" t="s">
        <v>836</v>
      </c>
      <c r="O458" t="s">
        <v>837</v>
      </c>
      <c r="P458" t="s">
        <v>838</v>
      </c>
    </row>
    <row r="459" spans="1:16" ht="15.75" customHeight="1">
      <c r="A459">
        <v>1</v>
      </c>
      <c r="B459" t="s">
        <v>2959</v>
      </c>
      <c r="C459" s="38">
        <v>2004</v>
      </c>
      <c r="D459">
        <v>38</v>
      </c>
      <c r="E459">
        <v>22</v>
      </c>
      <c r="F459">
        <v>13</v>
      </c>
      <c r="G459">
        <v>3</v>
      </c>
      <c r="H459">
        <v>56</v>
      </c>
      <c r="I459">
        <v>22</v>
      </c>
      <c r="J459">
        <v>34</v>
      </c>
      <c r="K459">
        <v>79</v>
      </c>
      <c r="L459">
        <v>2.08</v>
      </c>
      <c r="N459" t="s">
        <v>2892</v>
      </c>
      <c r="O459" t="s">
        <v>2845</v>
      </c>
      <c r="P459" t="s">
        <v>842</v>
      </c>
    </row>
    <row r="460" spans="1:16" ht="15.75" customHeight="1">
      <c r="A460">
        <v>2</v>
      </c>
      <c r="B460" t="s">
        <v>2965</v>
      </c>
      <c r="C460" s="38">
        <v>2004</v>
      </c>
      <c r="D460">
        <v>38</v>
      </c>
      <c r="E460">
        <v>18</v>
      </c>
      <c r="F460">
        <v>13</v>
      </c>
      <c r="G460">
        <v>7</v>
      </c>
      <c r="H460">
        <v>52</v>
      </c>
      <c r="I460">
        <v>29</v>
      </c>
      <c r="J460">
        <v>23</v>
      </c>
      <c r="K460">
        <v>67</v>
      </c>
      <c r="L460">
        <v>1.76</v>
      </c>
      <c r="N460" t="s">
        <v>2893</v>
      </c>
      <c r="O460" t="s">
        <v>2826</v>
      </c>
      <c r="P460" t="s">
        <v>842</v>
      </c>
    </row>
    <row r="461" spans="1:16" ht="15.75" customHeight="1">
      <c r="A461">
        <v>3</v>
      </c>
      <c r="B461" t="s">
        <v>2960</v>
      </c>
      <c r="C461" s="38">
        <v>2004</v>
      </c>
      <c r="D461">
        <v>38</v>
      </c>
      <c r="E461">
        <v>15</v>
      </c>
      <c r="F461">
        <v>18</v>
      </c>
      <c r="G461">
        <v>5</v>
      </c>
      <c r="H461">
        <v>52</v>
      </c>
      <c r="I461">
        <v>35</v>
      </c>
      <c r="J461">
        <v>17</v>
      </c>
      <c r="K461">
        <v>63</v>
      </c>
      <c r="L461">
        <v>1.66</v>
      </c>
      <c r="N461" t="s">
        <v>2894</v>
      </c>
      <c r="O461" t="s">
        <v>2832</v>
      </c>
      <c r="P461" t="s">
        <v>842</v>
      </c>
    </row>
    <row r="462" spans="1:16" ht="15.75" customHeight="1">
      <c r="A462">
        <v>4</v>
      </c>
      <c r="B462" t="s">
        <v>2966</v>
      </c>
      <c r="C462" s="38">
        <v>2004</v>
      </c>
      <c r="D462">
        <v>38</v>
      </c>
      <c r="E462">
        <v>15</v>
      </c>
      <c r="F462">
        <v>10</v>
      </c>
      <c r="G462">
        <v>13</v>
      </c>
      <c r="H462">
        <v>49</v>
      </c>
      <c r="I462">
        <v>42</v>
      </c>
      <c r="J462">
        <v>7</v>
      </c>
      <c r="K462">
        <v>55</v>
      </c>
      <c r="L462">
        <v>1.45</v>
      </c>
      <c r="N462" t="s">
        <v>2895</v>
      </c>
      <c r="O462" t="s">
        <v>2875</v>
      </c>
      <c r="P462" t="s">
        <v>2820</v>
      </c>
    </row>
    <row r="463" spans="1:16" ht="15.75" customHeight="1">
      <c r="A463">
        <v>5</v>
      </c>
      <c r="B463" t="s">
        <v>2961</v>
      </c>
      <c r="C463" s="38">
        <v>2004</v>
      </c>
      <c r="D463">
        <v>38</v>
      </c>
      <c r="E463">
        <v>15</v>
      </c>
      <c r="F463">
        <v>10</v>
      </c>
      <c r="G463">
        <v>13</v>
      </c>
      <c r="H463">
        <v>47</v>
      </c>
      <c r="I463">
        <v>42</v>
      </c>
      <c r="J463">
        <v>5</v>
      </c>
      <c r="K463">
        <v>55</v>
      </c>
      <c r="L463">
        <v>1.45</v>
      </c>
      <c r="N463" t="s">
        <v>2896</v>
      </c>
      <c r="O463" t="s">
        <v>2867</v>
      </c>
      <c r="P463" t="s">
        <v>2824</v>
      </c>
    </row>
    <row r="464" spans="1:16" ht="15.75" customHeight="1">
      <c r="A464">
        <v>6</v>
      </c>
      <c r="B464" t="s">
        <v>2962</v>
      </c>
      <c r="C464" s="38">
        <v>2004</v>
      </c>
      <c r="D464">
        <v>38</v>
      </c>
      <c r="E464">
        <v>12</v>
      </c>
      <c r="F464">
        <v>17</v>
      </c>
      <c r="G464">
        <v>9</v>
      </c>
      <c r="H464">
        <v>47</v>
      </c>
      <c r="I464">
        <v>34</v>
      </c>
      <c r="J464">
        <v>13</v>
      </c>
      <c r="K464">
        <v>53</v>
      </c>
      <c r="L464">
        <v>1.39</v>
      </c>
      <c r="N464" t="s">
        <v>2897</v>
      </c>
      <c r="O464" t="s">
        <v>2757</v>
      </c>
      <c r="P464" t="s">
        <v>2824</v>
      </c>
    </row>
    <row r="465" spans="1:16" ht="15.75" customHeight="1">
      <c r="A465">
        <v>7</v>
      </c>
      <c r="B465" t="s">
        <v>2977</v>
      </c>
      <c r="C465" s="38">
        <v>2004</v>
      </c>
      <c r="D465">
        <v>38</v>
      </c>
      <c r="E465">
        <v>13</v>
      </c>
      <c r="F465">
        <v>13</v>
      </c>
      <c r="G465">
        <v>12</v>
      </c>
      <c r="H465">
        <v>45</v>
      </c>
      <c r="I465">
        <v>39</v>
      </c>
      <c r="J465">
        <v>6</v>
      </c>
      <c r="K465">
        <v>52</v>
      </c>
      <c r="L465">
        <v>1.37</v>
      </c>
      <c r="N465" t="s">
        <v>2898</v>
      </c>
      <c r="O465" t="s">
        <v>2849</v>
      </c>
      <c r="P465" t="s">
        <v>2824</v>
      </c>
    </row>
    <row r="466" spans="1:16" ht="15.75" customHeight="1">
      <c r="A466">
        <v>8</v>
      </c>
      <c r="B466" t="s">
        <v>2985</v>
      </c>
      <c r="C466" s="38">
        <v>2004</v>
      </c>
      <c r="D466">
        <v>38</v>
      </c>
      <c r="E466">
        <v>14</v>
      </c>
      <c r="F466">
        <v>10</v>
      </c>
      <c r="G466">
        <v>14</v>
      </c>
      <c r="H466">
        <v>48</v>
      </c>
      <c r="I466">
        <v>47</v>
      </c>
      <c r="J466">
        <v>1</v>
      </c>
      <c r="K466">
        <v>52</v>
      </c>
      <c r="L466">
        <v>1.37</v>
      </c>
      <c r="N466" t="s">
        <v>2899</v>
      </c>
      <c r="O466" t="s">
        <v>2874</v>
      </c>
      <c r="P466" t="s">
        <v>2851</v>
      </c>
    </row>
    <row r="467" spans="1:16" ht="15.75" customHeight="1">
      <c r="A467">
        <v>9</v>
      </c>
      <c r="B467" t="s">
        <v>2958</v>
      </c>
      <c r="C467" s="38">
        <v>2004</v>
      </c>
      <c r="D467">
        <v>38</v>
      </c>
      <c r="E467">
        <v>12</v>
      </c>
      <c r="F467">
        <v>15</v>
      </c>
      <c r="G467">
        <v>11</v>
      </c>
      <c r="H467">
        <v>40</v>
      </c>
      <c r="I467">
        <v>41</v>
      </c>
      <c r="J467">
        <v>-1</v>
      </c>
      <c r="K467">
        <v>51</v>
      </c>
      <c r="L467">
        <v>1.34</v>
      </c>
      <c r="N467" t="s">
        <v>2900</v>
      </c>
      <c r="O467" t="s">
        <v>2878</v>
      </c>
    </row>
    <row r="468" spans="1:16" ht="15.75" customHeight="1">
      <c r="A468">
        <v>10</v>
      </c>
      <c r="B468" t="s">
        <v>2978</v>
      </c>
      <c r="C468" s="38">
        <v>2004</v>
      </c>
      <c r="D468">
        <v>38</v>
      </c>
      <c r="E468">
        <v>13</v>
      </c>
      <c r="F468">
        <v>11</v>
      </c>
      <c r="G468">
        <v>14</v>
      </c>
      <c r="H468">
        <v>42</v>
      </c>
      <c r="I468">
        <v>41</v>
      </c>
      <c r="J468">
        <v>1</v>
      </c>
      <c r="K468">
        <v>50</v>
      </c>
      <c r="L468">
        <v>1.32</v>
      </c>
      <c r="N468" t="s">
        <v>2901</v>
      </c>
      <c r="O468" t="s">
        <v>2735</v>
      </c>
    </row>
    <row r="469" spans="1:16" ht="15.75" customHeight="1">
      <c r="A469">
        <v>11</v>
      </c>
      <c r="B469" t="s">
        <v>2991</v>
      </c>
      <c r="C469" s="38">
        <v>2004</v>
      </c>
      <c r="D469">
        <v>38</v>
      </c>
      <c r="E469">
        <v>12</v>
      </c>
      <c r="F469">
        <v>12</v>
      </c>
      <c r="G469">
        <v>14</v>
      </c>
      <c r="H469">
        <v>42</v>
      </c>
      <c r="I469">
        <v>43</v>
      </c>
      <c r="J469">
        <v>-1</v>
      </c>
      <c r="K469">
        <v>48</v>
      </c>
      <c r="L469">
        <v>1.26</v>
      </c>
      <c r="N469" t="s">
        <v>2902</v>
      </c>
      <c r="O469" t="s">
        <v>2841</v>
      </c>
      <c r="P469" t="s">
        <v>2837</v>
      </c>
    </row>
    <row r="470" spans="1:16" ht="15.75" customHeight="1">
      <c r="A470">
        <v>12</v>
      </c>
      <c r="B470" t="s">
        <v>2968</v>
      </c>
      <c r="C470" s="38">
        <v>2004</v>
      </c>
      <c r="D470">
        <v>38</v>
      </c>
      <c r="E470">
        <v>10</v>
      </c>
      <c r="F470">
        <v>16</v>
      </c>
      <c r="G470">
        <v>12</v>
      </c>
      <c r="H470">
        <v>38</v>
      </c>
      <c r="I470">
        <v>45</v>
      </c>
      <c r="J470">
        <v>-7</v>
      </c>
      <c r="K470">
        <v>46</v>
      </c>
      <c r="L470">
        <v>1.21</v>
      </c>
      <c r="N470" t="s">
        <v>2903</v>
      </c>
      <c r="O470" t="s">
        <v>2714</v>
      </c>
    </row>
    <row r="471" spans="1:16" ht="15.75" customHeight="1">
      <c r="A471">
        <v>13</v>
      </c>
      <c r="B471" t="s">
        <v>2974</v>
      </c>
      <c r="C471" s="38">
        <v>2004</v>
      </c>
      <c r="D471">
        <v>38</v>
      </c>
      <c r="E471">
        <v>12</v>
      </c>
      <c r="F471">
        <v>10</v>
      </c>
      <c r="G471">
        <v>16</v>
      </c>
      <c r="H471">
        <v>36</v>
      </c>
      <c r="I471">
        <v>43</v>
      </c>
      <c r="J471">
        <v>-7</v>
      </c>
      <c r="K471">
        <v>46</v>
      </c>
      <c r="L471">
        <v>1.21</v>
      </c>
      <c r="N471" t="s">
        <v>2904</v>
      </c>
      <c r="O471" t="s">
        <v>2815</v>
      </c>
    </row>
    <row r="472" spans="1:16" ht="15.75" customHeight="1">
      <c r="A472">
        <v>14</v>
      </c>
      <c r="B472" t="s">
        <v>2980</v>
      </c>
      <c r="C472" s="38">
        <v>2004</v>
      </c>
      <c r="D472">
        <v>38</v>
      </c>
      <c r="E472">
        <v>10</v>
      </c>
      <c r="F472">
        <v>15</v>
      </c>
      <c r="G472">
        <v>13</v>
      </c>
      <c r="H472">
        <v>36</v>
      </c>
      <c r="I472">
        <v>40</v>
      </c>
      <c r="J472">
        <v>-4</v>
      </c>
      <c r="K472">
        <v>45</v>
      </c>
      <c r="L472">
        <v>1.18</v>
      </c>
      <c r="N472" t="s">
        <v>2905</v>
      </c>
      <c r="O472" t="s">
        <v>2889</v>
      </c>
    </row>
    <row r="473" spans="1:16" ht="15.75" customHeight="1">
      <c r="A473">
        <v>15</v>
      </c>
      <c r="B473" t="s">
        <v>2963</v>
      </c>
      <c r="C473" s="38">
        <v>2004</v>
      </c>
      <c r="D473">
        <v>38</v>
      </c>
      <c r="E473">
        <v>8</v>
      </c>
      <c r="F473">
        <v>20</v>
      </c>
      <c r="G473">
        <v>10</v>
      </c>
      <c r="H473">
        <v>37</v>
      </c>
      <c r="I473">
        <v>41</v>
      </c>
      <c r="J473">
        <v>-4</v>
      </c>
      <c r="K473">
        <v>44</v>
      </c>
      <c r="L473">
        <v>1.1599999999999999</v>
      </c>
      <c r="N473" t="s">
        <v>2906</v>
      </c>
      <c r="O473" t="s">
        <v>2794</v>
      </c>
    </row>
    <row r="474" spans="1:16" ht="15.75" customHeight="1">
      <c r="A474">
        <v>16</v>
      </c>
      <c r="B474" t="s">
        <v>2976</v>
      </c>
      <c r="C474" s="38">
        <v>2004</v>
      </c>
      <c r="D474">
        <v>38</v>
      </c>
      <c r="E474">
        <v>10</v>
      </c>
      <c r="F474">
        <v>14</v>
      </c>
      <c r="G474">
        <v>14</v>
      </c>
      <c r="H474">
        <v>33</v>
      </c>
      <c r="I474">
        <v>45</v>
      </c>
      <c r="J474">
        <v>-12</v>
      </c>
      <c r="K474">
        <v>44</v>
      </c>
      <c r="L474">
        <v>1.1599999999999999</v>
      </c>
      <c r="N474" t="s">
        <v>2907</v>
      </c>
      <c r="O474" t="s">
        <v>2807</v>
      </c>
    </row>
    <row r="475" spans="1:16" ht="15.75" customHeight="1">
      <c r="A475">
        <v>17</v>
      </c>
      <c r="B475" t="s">
        <v>2971</v>
      </c>
      <c r="C475" s="38">
        <v>2004</v>
      </c>
      <c r="D475">
        <v>38</v>
      </c>
      <c r="E475">
        <v>10</v>
      </c>
      <c r="F475">
        <v>13</v>
      </c>
      <c r="G475">
        <v>15</v>
      </c>
      <c r="H475">
        <v>33</v>
      </c>
      <c r="I475">
        <v>38</v>
      </c>
      <c r="J475">
        <v>-5</v>
      </c>
      <c r="K475">
        <v>43</v>
      </c>
      <c r="L475">
        <v>1.1299999999999999</v>
      </c>
      <c r="N475" t="s">
        <v>2812</v>
      </c>
      <c r="O475" t="s">
        <v>2673</v>
      </c>
    </row>
    <row r="476" spans="1:16" ht="15.75" customHeight="1">
      <c r="A476">
        <v>18</v>
      </c>
      <c r="B476" t="s">
        <v>2970</v>
      </c>
      <c r="C476" s="38">
        <v>2004</v>
      </c>
      <c r="D476">
        <v>38</v>
      </c>
      <c r="E476">
        <v>10</v>
      </c>
      <c r="F476">
        <v>12</v>
      </c>
      <c r="G476">
        <v>16</v>
      </c>
      <c r="H476">
        <v>36</v>
      </c>
      <c r="I476">
        <v>60</v>
      </c>
      <c r="J476">
        <v>-24</v>
      </c>
      <c r="K476">
        <v>42</v>
      </c>
      <c r="L476">
        <v>1.1100000000000001</v>
      </c>
      <c r="N476" t="s">
        <v>2908</v>
      </c>
      <c r="O476" t="s">
        <v>2811</v>
      </c>
      <c r="P476" t="s">
        <v>894</v>
      </c>
    </row>
    <row r="477" spans="1:16" ht="15.75" customHeight="1">
      <c r="A477">
        <v>19</v>
      </c>
      <c r="B477" t="s">
        <v>2969</v>
      </c>
      <c r="C477" s="38">
        <v>2004</v>
      </c>
      <c r="D477">
        <v>38</v>
      </c>
      <c r="E477">
        <v>11</v>
      </c>
      <c r="F477">
        <v>8</v>
      </c>
      <c r="G477">
        <v>19</v>
      </c>
      <c r="H477">
        <v>32</v>
      </c>
      <c r="I477">
        <v>48</v>
      </c>
      <c r="J477">
        <v>-16</v>
      </c>
      <c r="K477">
        <v>41</v>
      </c>
      <c r="L477">
        <v>1.08</v>
      </c>
      <c r="N477" t="s">
        <v>2819</v>
      </c>
      <c r="O477" t="s">
        <v>2689</v>
      </c>
      <c r="P477" t="s">
        <v>894</v>
      </c>
    </row>
    <row r="478" spans="1:16" ht="15.75" customHeight="1">
      <c r="A478">
        <v>20</v>
      </c>
      <c r="B478" t="s">
        <v>2993</v>
      </c>
      <c r="C478" s="38">
        <v>2004</v>
      </c>
      <c r="D478">
        <v>38</v>
      </c>
      <c r="E478">
        <v>6</v>
      </c>
      <c r="F478">
        <v>14</v>
      </c>
      <c r="G478">
        <v>18</v>
      </c>
      <c r="H478">
        <v>25</v>
      </c>
      <c r="I478">
        <v>51</v>
      </c>
      <c r="J478">
        <v>-26</v>
      </c>
      <c r="K478">
        <v>32</v>
      </c>
      <c r="L478">
        <v>0.84</v>
      </c>
      <c r="N478" t="s">
        <v>2909</v>
      </c>
      <c r="O478" t="s">
        <v>2661</v>
      </c>
      <c r="P478" t="s">
        <v>894</v>
      </c>
    </row>
    <row r="480" spans="1:16" ht="15.75" customHeight="1">
      <c r="A480" t="s">
        <v>820</v>
      </c>
      <c r="B480" t="s">
        <v>821</v>
      </c>
      <c r="C480" s="31" t="s">
        <v>2</v>
      </c>
      <c r="D480" t="s">
        <v>822</v>
      </c>
      <c r="E480" t="s">
        <v>823</v>
      </c>
      <c r="F480" t="s">
        <v>824</v>
      </c>
      <c r="G480" t="s">
        <v>825</v>
      </c>
      <c r="H480" t="s">
        <v>826</v>
      </c>
      <c r="I480" t="s">
        <v>827</v>
      </c>
      <c r="J480" t="s">
        <v>828</v>
      </c>
      <c r="K480" t="s">
        <v>829</v>
      </c>
      <c r="L480" t="s">
        <v>830</v>
      </c>
      <c r="M480" t="s">
        <v>835</v>
      </c>
      <c r="N480" t="s">
        <v>836</v>
      </c>
      <c r="O480" t="s">
        <v>837</v>
      </c>
      <c r="P480" t="s">
        <v>838</v>
      </c>
    </row>
    <row r="481" spans="1:16" ht="15.75" customHeight="1">
      <c r="A481">
        <v>1</v>
      </c>
      <c r="B481" t="s">
        <v>2959</v>
      </c>
      <c r="C481" s="38">
        <v>2003</v>
      </c>
      <c r="D481">
        <v>38</v>
      </c>
      <c r="E481">
        <v>24</v>
      </c>
      <c r="F481">
        <v>7</v>
      </c>
      <c r="G481">
        <v>7</v>
      </c>
      <c r="H481">
        <v>64</v>
      </c>
      <c r="I481">
        <v>26</v>
      </c>
      <c r="J481">
        <v>38</v>
      </c>
      <c r="K481">
        <v>79</v>
      </c>
      <c r="L481">
        <v>2.08</v>
      </c>
      <c r="N481" t="s">
        <v>2910</v>
      </c>
      <c r="O481" t="s">
        <v>2845</v>
      </c>
      <c r="P481" t="s">
        <v>842</v>
      </c>
    </row>
    <row r="482" spans="1:16" ht="15.75" customHeight="1">
      <c r="A482">
        <v>2</v>
      </c>
      <c r="B482" t="s">
        <v>2958</v>
      </c>
      <c r="C482" s="38">
        <v>2003</v>
      </c>
      <c r="D482">
        <v>38</v>
      </c>
      <c r="E482">
        <v>22</v>
      </c>
      <c r="F482">
        <v>10</v>
      </c>
      <c r="G482">
        <v>6</v>
      </c>
      <c r="H482">
        <v>50</v>
      </c>
      <c r="I482">
        <v>28</v>
      </c>
      <c r="J482">
        <v>22</v>
      </c>
      <c r="K482">
        <v>76</v>
      </c>
      <c r="L482">
        <v>2</v>
      </c>
      <c r="N482" t="s">
        <v>2911</v>
      </c>
      <c r="O482" t="s">
        <v>2813</v>
      </c>
      <c r="P482" t="s">
        <v>842</v>
      </c>
    </row>
    <row r="483" spans="1:16" ht="15.75" customHeight="1">
      <c r="A483">
        <v>3</v>
      </c>
      <c r="B483" t="s">
        <v>2960</v>
      </c>
      <c r="C483" s="38">
        <v>2003</v>
      </c>
      <c r="D483">
        <v>38</v>
      </c>
      <c r="E483">
        <v>21</v>
      </c>
      <c r="F483">
        <v>12</v>
      </c>
      <c r="G483">
        <v>5</v>
      </c>
      <c r="H483">
        <v>59</v>
      </c>
      <c r="I483">
        <v>30</v>
      </c>
      <c r="J483">
        <v>29</v>
      </c>
      <c r="K483">
        <v>75</v>
      </c>
      <c r="L483">
        <v>1.97</v>
      </c>
      <c r="N483" t="s">
        <v>2912</v>
      </c>
      <c r="O483" t="s">
        <v>2832</v>
      </c>
      <c r="P483" t="s">
        <v>842</v>
      </c>
    </row>
    <row r="484" spans="1:16" ht="15.75" customHeight="1">
      <c r="A484">
        <v>4</v>
      </c>
      <c r="B484" t="s">
        <v>2985</v>
      </c>
      <c r="C484" s="38">
        <v>2003</v>
      </c>
      <c r="D484">
        <v>38</v>
      </c>
      <c r="E484">
        <v>19</v>
      </c>
      <c r="F484">
        <v>8</v>
      </c>
      <c r="G484">
        <v>11</v>
      </c>
      <c r="H484">
        <v>60</v>
      </c>
      <c r="I484">
        <v>34</v>
      </c>
      <c r="J484">
        <v>26</v>
      </c>
      <c r="K484">
        <v>65</v>
      </c>
      <c r="L484">
        <v>1.71</v>
      </c>
      <c r="N484" t="s">
        <v>2913</v>
      </c>
      <c r="O484" t="s">
        <v>2874</v>
      </c>
      <c r="P484" t="s">
        <v>2820</v>
      </c>
    </row>
    <row r="485" spans="1:16" ht="15.75" customHeight="1">
      <c r="A485">
        <v>5</v>
      </c>
      <c r="B485" t="s">
        <v>2978</v>
      </c>
      <c r="C485" s="38">
        <v>2003</v>
      </c>
      <c r="D485">
        <v>38</v>
      </c>
      <c r="E485">
        <v>18</v>
      </c>
      <c r="F485">
        <v>9</v>
      </c>
      <c r="G485">
        <v>11</v>
      </c>
      <c r="H485">
        <v>54</v>
      </c>
      <c r="I485">
        <v>42</v>
      </c>
      <c r="J485">
        <v>12</v>
      </c>
      <c r="K485">
        <v>63</v>
      </c>
      <c r="L485">
        <v>1.66</v>
      </c>
      <c r="N485" t="s">
        <v>2914</v>
      </c>
      <c r="O485" t="s">
        <v>2735</v>
      </c>
      <c r="P485" t="s">
        <v>2851</v>
      </c>
    </row>
    <row r="486" spans="1:16" ht="15.75" customHeight="1">
      <c r="A486">
        <v>6</v>
      </c>
      <c r="B486" t="s">
        <v>2971</v>
      </c>
      <c r="C486" s="38">
        <v>2003</v>
      </c>
      <c r="D486">
        <v>38</v>
      </c>
      <c r="E486">
        <v>17</v>
      </c>
      <c r="F486">
        <v>9</v>
      </c>
      <c r="G486">
        <v>12</v>
      </c>
      <c r="H486">
        <v>47</v>
      </c>
      <c r="I486">
        <v>35</v>
      </c>
      <c r="J486">
        <v>12</v>
      </c>
      <c r="K486">
        <v>60</v>
      </c>
      <c r="L486">
        <v>1.58</v>
      </c>
      <c r="N486" t="s">
        <v>2915</v>
      </c>
      <c r="O486" t="s">
        <v>2673</v>
      </c>
      <c r="P486" t="s">
        <v>2824</v>
      </c>
    </row>
    <row r="487" spans="1:16" ht="15.75" customHeight="1">
      <c r="A487">
        <v>7</v>
      </c>
      <c r="B487" t="s">
        <v>2961</v>
      </c>
      <c r="C487" s="38">
        <v>2003</v>
      </c>
      <c r="D487">
        <v>38</v>
      </c>
      <c r="E487">
        <v>17</v>
      </c>
      <c r="F487">
        <v>6</v>
      </c>
      <c r="G487">
        <v>15</v>
      </c>
      <c r="H487">
        <v>51</v>
      </c>
      <c r="I487">
        <v>45</v>
      </c>
      <c r="J487">
        <v>6</v>
      </c>
      <c r="K487">
        <v>57</v>
      </c>
      <c r="L487">
        <v>1.5</v>
      </c>
      <c r="N487" t="s">
        <v>2916</v>
      </c>
      <c r="O487" t="s">
        <v>2867</v>
      </c>
    </row>
    <row r="488" spans="1:16" ht="15.75" customHeight="1">
      <c r="A488">
        <v>8</v>
      </c>
      <c r="B488" t="s">
        <v>2977</v>
      </c>
      <c r="C488" s="38">
        <v>2003</v>
      </c>
      <c r="D488">
        <v>38</v>
      </c>
      <c r="E488">
        <v>15</v>
      </c>
      <c r="F488">
        <v>8</v>
      </c>
      <c r="G488">
        <v>15</v>
      </c>
      <c r="H488">
        <v>34</v>
      </c>
      <c r="I488">
        <v>48</v>
      </c>
      <c r="J488">
        <v>-14</v>
      </c>
      <c r="K488">
        <v>53</v>
      </c>
      <c r="L488">
        <v>1.39</v>
      </c>
      <c r="N488" t="s">
        <v>2917</v>
      </c>
      <c r="O488" t="s">
        <v>2849</v>
      </c>
    </row>
    <row r="489" spans="1:16" ht="15.75" customHeight="1">
      <c r="A489">
        <v>9</v>
      </c>
      <c r="B489" t="s">
        <v>2966</v>
      </c>
      <c r="C489" s="38">
        <v>2003</v>
      </c>
      <c r="D489">
        <v>38</v>
      </c>
      <c r="E489">
        <v>14</v>
      </c>
      <c r="F489">
        <v>10</v>
      </c>
      <c r="G489">
        <v>14</v>
      </c>
      <c r="H489">
        <v>56</v>
      </c>
      <c r="I489">
        <v>44</v>
      </c>
      <c r="J489">
        <v>12</v>
      </c>
      <c r="K489">
        <v>52</v>
      </c>
      <c r="L489">
        <v>1.37</v>
      </c>
      <c r="N489" t="s">
        <v>2895</v>
      </c>
      <c r="O489" t="s">
        <v>2918</v>
      </c>
    </row>
    <row r="490" spans="1:16" ht="15.75" customHeight="1">
      <c r="A490">
        <v>10</v>
      </c>
      <c r="B490" t="s">
        <v>2965</v>
      </c>
      <c r="C490" s="38">
        <v>2003</v>
      </c>
      <c r="D490">
        <v>38</v>
      </c>
      <c r="E490">
        <v>14</v>
      </c>
      <c r="F490">
        <v>9</v>
      </c>
      <c r="G490">
        <v>15</v>
      </c>
      <c r="H490">
        <v>41</v>
      </c>
      <c r="I490">
        <v>41</v>
      </c>
      <c r="J490">
        <v>0</v>
      </c>
      <c r="K490">
        <v>51</v>
      </c>
      <c r="L490">
        <v>1.34</v>
      </c>
      <c r="N490" t="s">
        <v>2919</v>
      </c>
      <c r="O490" t="s">
        <v>2807</v>
      </c>
      <c r="P490" t="s">
        <v>2824</v>
      </c>
    </row>
    <row r="491" spans="1:16" ht="15.75" customHeight="1">
      <c r="A491">
        <v>11</v>
      </c>
      <c r="B491" t="s">
        <v>2968</v>
      </c>
      <c r="C491" s="38">
        <v>2003</v>
      </c>
      <c r="D491">
        <v>38</v>
      </c>
      <c r="E491">
        <v>11</v>
      </c>
      <c r="F491">
        <v>17</v>
      </c>
      <c r="G491">
        <v>10</v>
      </c>
      <c r="H491">
        <v>42</v>
      </c>
      <c r="I491">
        <v>39</v>
      </c>
      <c r="J491">
        <v>3</v>
      </c>
      <c r="K491">
        <v>50</v>
      </c>
      <c r="L491">
        <v>1.32</v>
      </c>
      <c r="N491" t="s">
        <v>2920</v>
      </c>
      <c r="O491" t="s">
        <v>2714</v>
      </c>
      <c r="P491" t="s">
        <v>2824</v>
      </c>
    </row>
    <row r="492" spans="1:16" ht="15.75" customHeight="1">
      <c r="A492">
        <v>12</v>
      </c>
      <c r="B492" t="s">
        <v>2963</v>
      </c>
      <c r="C492" s="38">
        <v>2003</v>
      </c>
      <c r="D492">
        <v>38</v>
      </c>
      <c r="E492">
        <v>13</v>
      </c>
      <c r="F492">
        <v>11</v>
      </c>
      <c r="G492">
        <v>14</v>
      </c>
      <c r="H492">
        <v>40</v>
      </c>
      <c r="I492">
        <v>43</v>
      </c>
      <c r="J492">
        <v>-3</v>
      </c>
      <c r="K492">
        <v>50</v>
      </c>
      <c r="L492">
        <v>1.32</v>
      </c>
      <c r="N492" t="s">
        <v>2921</v>
      </c>
      <c r="O492" t="s">
        <v>2794</v>
      </c>
    </row>
    <row r="493" spans="1:16" ht="15.75" customHeight="1">
      <c r="A493">
        <v>13</v>
      </c>
      <c r="B493" t="s">
        <v>2991</v>
      </c>
      <c r="C493" s="38">
        <v>2003</v>
      </c>
      <c r="D493">
        <v>38</v>
      </c>
      <c r="E493">
        <v>10</v>
      </c>
      <c r="F493">
        <v>13</v>
      </c>
      <c r="G493">
        <v>15</v>
      </c>
      <c r="H493">
        <v>43</v>
      </c>
      <c r="I493">
        <v>50</v>
      </c>
      <c r="J493">
        <v>-7</v>
      </c>
      <c r="K493">
        <v>43</v>
      </c>
      <c r="L493">
        <v>1.1299999999999999</v>
      </c>
      <c r="N493" t="s">
        <v>2922</v>
      </c>
      <c r="O493" t="s">
        <v>2923</v>
      </c>
    </row>
    <row r="494" spans="1:16" ht="15.75" customHeight="1">
      <c r="A494">
        <v>14</v>
      </c>
      <c r="B494" t="s">
        <v>2976</v>
      </c>
      <c r="C494" s="38">
        <v>2003</v>
      </c>
      <c r="D494">
        <v>38</v>
      </c>
      <c r="E494">
        <v>11</v>
      </c>
      <c r="F494">
        <v>9</v>
      </c>
      <c r="G494">
        <v>18</v>
      </c>
      <c r="H494">
        <v>34</v>
      </c>
      <c r="I494">
        <v>42</v>
      </c>
      <c r="J494">
        <v>-8</v>
      </c>
      <c r="K494">
        <v>42</v>
      </c>
      <c r="L494">
        <v>1.1100000000000001</v>
      </c>
      <c r="N494" t="s">
        <v>2924</v>
      </c>
      <c r="O494" t="s">
        <v>2925</v>
      </c>
    </row>
    <row r="495" spans="1:16" ht="15.75" customHeight="1">
      <c r="A495">
        <v>15</v>
      </c>
      <c r="B495" t="s">
        <v>2980</v>
      </c>
      <c r="C495" s="38">
        <v>2003</v>
      </c>
      <c r="D495">
        <v>38</v>
      </c>
      <c r="E495">
        <v>10</v>
      </c>
      <c r="F495">
        <v>10</v>
      </c>
      <c r="G495">
        <v>18</v>
      </c>
      <c r="H495">
        <v>33</v>
      </c>
      <c r="I495">
        <v>55</v>
      </c>
      <c r="J495">
        <v>-22</v>
      </c>
      <c r="K495">
        <v>40</v>
      </c>
      <c r="L495">
        <v>1.05</v>
      </c>
      <c r="N495" t="s">
        <v>2926</v>
      </c>
      <c r="O495" t="s">
        <v>2927</v>
      </c>
    </row>
    <row r="496" spans="1:16" ht="15.75" customHeight="1">
      <c r="A496">
        <v>16</v>
      </c>
      <c r="B496" t="s">
        <v>2974</v>
      </c>
      <c r="C496" s="38">
        <v>2003</v>
      </c>
      <c r="D496">
        <v>38</v>
      </c>
      <c r="E496">
        <v>9</v>
      </c>
      <c r="F496">
        <v>12</v>
      </c>
      <c r="G496">
        <v>17</v>
      </c>
      <c r="H496">
        <v>31</v>
      </c>
      <c r="I496">
        <v>44</v>
      </c>
      <c r="J496">
        <v>-13</v>
      </c>
      <c r="K496">
        <v>39</v>
      </c>
      <c r="L496">
        <v>1.03</v>
      </c>
      <c r="N496" t="s">
        <v>2928</v>
      </c>
      <c r="O496" t="s">
        <v>2815</v>
      </c>
    </row>
    <row r="497" spans="1:16" ht="15.75" customHeight="1">
      <c r="A497">
        <v>17</v>
      </c>
      <c r="B497" t="s">
        <v>2969</v>
      </c>
      <c r="C497" s="38">
        <v>2003</v>
      </c>
      <c r="D497">
        <v>38</v>
      </c>
      <c r="E497">
        <v>9</v>
      </c>
      <c r="F497">
        <v>12</v>
      </c>
      <c r="G497">
        <v>17</v>
      </c>
      <c r="H497">
        <v>33</v>
      </c>
      <c r="I497">
        <v>49</v>
      </c>
      <c r="J497">
        <v>-16</v>
      </c>
      <c r="K497">
        <v>39</v>
      </c>
      <c r="L497">
        <v>1.03</v>
      </c>
      <c r="N497" t="s">
        <v>2929</v>
      </c>
      <c r="O497" t="s">
        <v>2689</v>
      </c>
    </row>
    <row r="498" spans="1:16" ht="15.75" customHeight="1">
      <c r="A498">
        <v>18</v>
      </c>
      <c r="B498" t="s">
        <v>2967</v>
      </c>
      <c r="C498" s="38">
        <v>2003</v>
      </c>
      <c r="D498">
        <v>38</v>
      </c>
      <c r="E498">
        <v>10</v>
      </c>
      <c r="F498">
        <v>8</v>
      </c>
      <c r="G498">
        <v>20</v>
      </c>
      <c r="H498">
        <v>36</v>
      </c>
      <c r="I498">
        <v>58</v>
      </c>
      <c r="J498">
        <v>-22</v>
      </c>
      <c r="K498">
        <v>38</v>
      </c>
      <c r="L498">
        <v>1</v>
      </c>
      <c r="N498" t="s">
        <v>2930</v>
      </c>
      <c r="O498" t="s">
        <v>2863</v>
      </c>
      <c r="P498" t="s">
        <v>894</v>
      </c>
    </row>
    <row r="499" spans="1:16" ht="15.75" customHeight="1">
      <c r="A499">
        <v>19</v>
      </c>
      <c r="B499" t="s">
        <v>2987</v>
      </c>
      <c r="C499" s="38">
        <v>2003</v>
      </c>
      <c r="D499">
        <v>38</v>
      </c>
      <c r="E499">
        <v>9</v>
      </c>
      <c r="F499">
        <v>11</v>
      </c>
      <c r="G499">
        <v>18</v>
      </c>
      <c r="H499">
        <v>35</v>
      </c>
      <c r="I499">
        <v>57</v>
      </c>
      <c r="J499">
        <v>-22</v>
      </c>
      <c r="K499">
        <v>38</v>
      </c>
      <c r="L499">
        <v>1</v>
      </c>
      <c r="N499" t="s">
        <v>2931</v>
      </c>
      <c r="O499" t="s">
        <v>2790</v>
      </c>
      <c r="P499" t="s">
        <v>894</v>
      </c>
    </row>
    <row r="500" spans="1:16" ht="15.75" customHeight="1">
      <c r="A500">
        <v>20</v>
      </c>
      <c r="B500" t="s">
        <v>2964</v>
      </c>
      <c r="C500" s="38">
        <v>2003</v>
      </c>
      <c r="D500">
        <v>38</v>
      </c>
      <c r="E500">
        <v>8</v>
      </c>
      <c r="F500">
        <v>7</v>
      </c>
      <c r="G500">
        <v>23</v>
      </c>
      <c r="H500">
        <v>41</v>
      </c>
      <c r="I500">
        <v>74</v>
      </c>
      <c r="J500">
        <v>-33</v>
      </c>
      <c r="K500">
        <v>31</v>
      </c>
      <c r="L500">
        <v>0.82</v>
      </c>
      <c r="N500" t="s">
        <v>2932</v>
      </c>
      <c r="O500" t="s">
        <v>2661</v>
      </c>
      <c r="P500" t="s">
        <v>894</v>
      </c>
    </row>
    <row r="502" spans="1:16" ht="15.75" customHeight="1">
      <c r="A502" t="s">
        <v>820</v>
      </c>
      <c r="B502" t="s">
        <v>821</v>
      </c>
      <c r="C502" s="31" t="s">
        <v>2</v>
      </c>
      <c r="D502" t="s">
        <v>822</v>
      </c>
      <c r="E502" t="s">
        <v>823</v>
      </c>
      <c r="F502" t="s">
        <v>824</v>
      </c>
      <c r="G502" t="s">
        <v>825</v>
      </c>
      <c r="H502" t="s">
        <v>826</v>
      </c>
      <c r="I502" t="s">
        <v>827</v>
      </c>
      <c r="J502" t="s">
        <v>828</v>
      </c>
      <c r="K502" t="s">
        <v>829</v>
      </c>
      <c r="L502" t="s">
        <v>830</v>
      </c>
      <c r="M502" t="s">
        <v>835</v>
      </c>
      <c r="N502" t="s">
        <v>836</v>
      </c>
      <c r="O502" t="s">
        <v>837</v>
      </c>
      <c r="P502" t="s">
        <v>838</v>
      </c>
    </row>
    <row r="503" spans="1:16" ht="15.75" customHeight="1">
      <c r="A503">
        <v>1</v>
      </c>
      <c r="B503" t="s">
        <v>2959</v>
      </c>
      <c r="C503" s="38">
        <v>2002</v>
      </c>
      <c r="D503">
        <v>34</v>
      </c>
      <c r="E503">
        <v>20</v>
      </c>
      <c r="F503">
        <v>6</v>
      </c>
      <c r="G503">
        <v>8</v>
      </c>
      <c r="H503">
        <v>62</v>
      </c>
      <c r="I503">
        <v>32</v>
      </c>
      <c r="J503">
        <v>30</v>
      </c>
      <c r="K503">
        <v>66</v>
      </c>
      <c r="L503">
        <v>1.94</v>
      </c>
      <c r="N503" t="s">
        <v>2933</v>
      </c>
      <c r="O503" t="s">
        <v>2845</v>
      </c>
      <c r="P503" t="s">
        <v>842</v>
      </c>
    </row>
    <row r="504" spans="1:16" ht="15.75" customHeight="1">
      <c r="A504">
        <v>2</v>
      </c>
      <c r="B504" t="s">
        <v>2977</v>
      </c>
      <c r="C504" s="38">
        <v>2002</v>
      </c>
      <c r="D504">
        <v>34</v>
      </c>
      <c r="E504">
        <v>18</v>
      </c>
      <c r="F504">
        <v>10</v>
      </c>
      <c r="G504">
        <v>6</v>
      </c>
      <c r="H504">
        <v>55</v>
      </c>
      <c r="I504">
        <v>30</v>
      </c>
      <c r="J504">
        <v>25</v>
      </c>
      <c r="K504">
        <v>64</v>
      </c>
      <c r="L504">
        <v>1.88</v>
      </c>
      <c r="N504" t="s">
        <v>2934</v>
      </c>
      <c r="O504" t="s">
        <v>2880</v>
      </c>
      <c r="P504" t="s">
        <v>842</v>
      </c>
    </row>
    <row r="505" spans="1:16" ht="15.75" customHeight="1">
      <c r="A505">
        <v>3</v>
      </c>
      <c r="B505" t="s">
        <v>2985</v>
      </c>
      <c r="C505" s="38">
        <v>2002</v>
      </c>
      <c r="D505">
        <v>34</v>
      </c>
      <c r="E505">
        <v>16</v>
      </c>
      <c r="F505">
        <v>11</v>
      </c>
      <c r="G505">
        <v>7</v>
      </c>
      <c r="H505">
        <v>48</v>
      </c>
      <c r="I505">
        <v>38</v>
      </c>
      <c r="J505">
        <v>10</v>
      </c>
      <c r="K505">
        <v>59</v>
      </c>
      <c r="L505">
        <v>1.74</v>
      </c>
      <c r="N505" t="s">
        <v>2935</v>
      </c>
      <c r="O505" t="s">
        <v>2874</v>
      </c>
      <c r="P505" t="s">
        <v>842</v>
      </c>
    </row>
    <row r="506" spans="1:16" ht="15.75" customHeight="1">
      <c r="A506">
        <v>4</v>
      </c>
      <c r="B506" t="s">
        <v>2958</v>
      </c>
      <c r="C506" s="38">
        <v>2002</v>
      </c>
      <c r="D506">
        <v>34</v>
      </c>
      <c r="E506">
        <v>15</v>
      </c>
      <c r="F506">
        <v>13</v>
      </c>
      <c r="G506">
        <v>6</v>
      </c>
      <c r="H506">
        <v>43</v>
      </c>
      <c r="I506">
        <v>24</v>
      </c>
      <c r="J506">
        <v>19</v>
      </c>
      <c r="K506">
        <v>58</v>
      </c>
      <c r="L506">
        <v>1.71</v>
      </c>
      <c r="N506" t="s">
        <v>2936</v>
      </c>
      <c r="O506" t="s">
        <v>2878</v>
      </c>
      <c r="P506" t="s">
        <v>2820</v>
      </c>
    </row>
    <row r="507" spans="1:16" ht="15.75" customHeight="1">
      <c r="A507">
        <v>5</v>
      </c>
      <c r="B507" t="s">
        <v>2965</v>
      </c>
      <c r="C507" s="38">
        <v>2002</v>
      </c>
      <c r="D507">
        <v>34</v>
      </c>
      <c r="E507">
        <v>15</v>
      </c>
      <c r="F507">
        <v>11</v>
      </c>
      <c r="G507">
        <v>8</v>
      </c>
      <c r="H507">
        <v>39</v>
      </c>
      <c r="I507">
        <v>32</v>
      </c>
      <c r="J507">
        <v>7</v>
      </c>
      <c r="K507">
        <v>56</v>
      </c>
      <c r="L507">
        <v>1.65</v>
      </c>
      <c r="N507" t="s">
        <v>2937</v>
      </c>
      <c r="O507" t="s">
        <v>2807</v>
      </c>
      <c r="P507" t="s">
        <v>2824</v>
      </c>
    </row>
    <row r="508" spans="1:16" ht="15.75" customHeight="1">
      <c r="A508">
        <v>6</v>
      </c>
      <c r="B508" t="s">
        <v>2963</v>
      </c>
      <c r="C508" s="38">
        <v>2002</v>
      </c>
      <c r="D508">
        <v>34</v>
      </c>
      <c r="E508">
        <v>14</v>
      </c>
      <c r="F508">
        <v>8</v>
      </c>
      <c r="G508">
        <v>12</v>
      </c>
      <c r="H508">
        <v>34</v>
      </c>
      <c r="I508">
        <v>31</v>
      </c>
      <c r="J508">
        <v>3</v>
      </c>
      <c r="K508">
        <v>50</v>
      </c>
      <c r="L508">
        <v>1.47</v>
      </c>
      <c r="N508" t="s">
        <v>2938</v>
      </c>
      <c r="O508" t="s">
        <v>2794</v>
      </c>
      <c r="P508" t="s">
        <v>2851</v>
      </c>
    </row>
    <row r="509" spans="1:16" ht="15.75" customHeight="1">
      <c r="A509">
        <v>7</v>
      </c>
      <c r="B509" t="s">
        <v>2982</v>
      </c>
      <c r="C509" s="38">
        <v>2002</v>
      </c>
      <c r="D509">
        <v>34</v>
      </c>
      <c r="E509">
        <v>13</v>
      </c>
      <c r="F509">
        <v>8</v>
      </c>
      <c r="G509">
        <v>13</v>
      </c>
      <c r="H509">
        <v>40</v>
      </c>
      <c r="I509">
        <v>35</v>
      </c>
      <c r="J509">
        <v>5</v>
      </c>
      <c r="K509">
        <v>47</v>
      </c>
      <c r="L509">
        <v>1.38</v>
      </c>
      <c r="N509" t="s">
        <v>2939</v>
      </c>
      <c r="O509" t="s">
        <v>2940</v>
      </c>
      <c r="P509" t="s">
        <v>2824</v>
      </c>
    </row>
    <row r="510" spans="1:16" ht="15.75" customHeight="1">
      <c r="A510">
        <v>8</v>
      </c>
      <c r="B510" t="s">
        <v>2978</v>
      </c>
      <c r="C510" s="38">
        <v>2002</v>
      </c>
      <c r="D510">
        <v>34</v>
      </c>
      <c r="E510">
        <v>12</v>
      </c>
      <c r="F510">
        <v>10</v>
      </c>
      <c r="G510">
        <v>12</v>
      </c>
      <c r="H510">
        <v>41</v>
      </c>
      <c r="I510">
        <v>40</v>
      </c>
      <c r="J510">
        <v>1</v>
      </c>
      <c r="K510">
        <v>46</v>
      </c>
      <c r="L510">
        <v>1.35</v>
      </c>
      <c r="N510" t="s">
        <v>2941</v>
      </c>
      <c r="O510" t="s">
        <v>2942</v>
      </c>
      <c r="P510" t="s">
        <v>2824</v>
      </c>
    </row>
    <row r="511" spans="1:16" ht="15.75" customHeight="1">
      <c r="A511">
        <v>9</v>
      </c>
      <c r="B511" t="s">
        <v>2961</v>
      </c>
      <c r="C511" s="38">
        <v>2002</v>
      </c>
      <c r="D511">
        <v>34</v>
      </c>
      <c r="E511">
        <v>11</v>
      </c>
      <c r="F511">
        <v>11</v>
      </c>
      <c r="G511">
        <v>12</v>
      </c>
      <c r="H511">
        <v>34</v>
      </c>
      <c r="I511">
        <v>39</v>
      </c>
      <c r="J511">
        <v>-5</v>
      </c>
      <c r="K511">
        <v>44</v>
      </c>
      <c r="L511">
        <v>1.29</v>
      </c>
      <c r="N511" t="s">
        <v>2943</v>
      </c>
      <c r="O511" t="s">
        <v>2766</v>
      </c>
    </row>
    <row r="512" spans="1:16" ht="15.75" customHeight="1">
      <c r="A512">
        <v>10</v>
      </c>
      <c r="B512" t="s">
        <v>2971</v>
      </c>
      <c r="C512" s="38">
        <v>2002</v>
      </c>
      <c r="D512">
        <v>34</v>
      </c>
      <c r="E512">
        <v>12</v>
      </c>
      <c r="F512">
        <v>7</v>
      </c>
      <c r="G512">
        <v>15</v>
      </c>
      <c r="H512">
        <v>35</v>
      </c>
      <c r="I512">
        <v>41</v>
      </c>
      <c r="J512">
        <v>-6</v>
      </c>
      <c r="K512">
        <v>43</v>
      </c>
      <c r="L512">
        <v>1.26</v>
      </c>
      <c r="N512" t="s">
        <v>2944</v>
      </c>
      <c r="O512" t="s">
        <v>2673</v>
      </c>
    </row>
    <row r="513" spans="1:16" ht="15.75" customHeight="1">
      <c r="A513">
        <v>11</v>
      </c>
      <c r="B513" t="s">
        <v>2969</v>
      </c>
      <c r="C513" s="38">
        <v>2002</v>
      </c>
      <c r="D513">
        <v>34</v>
      </c>
      <c r="E513">
        <v>12</v>
      </c>
      <c r="F513">
        <v>5</v>
      </c>
      <c r="G513">
        <v>17</v>
      </c>
      <c r="H513">
        <v>38</v>
      </c>
      <c r="I513">
        <v>44</v>
      </c>
      <c r="J513">
        <v>-6</v>
      </c>
      <c r="K513">
        <v>41</v>
      </c>
      <c r="L513">
        <v>1.21</v>
      </c>
      <c r="N513" t="s">
        <v>2945</v>
      </c>
      <c r="O513" t="s">
        <v>2689</v>
      </c>
    </row>
    <row r="514" spans="1:16" ht="15.75" customHeight="1">
      <c r="A514">
        <v>12</v>
      </c>
      <c r="B514" t="s">
        <v>2966</v>
      </c>
      <c r="C514" s="38">
        <v>2002</v>
      </c>
      <c r="D514">
        <v>34</v>
      </c>
      <c r="E514">
        <v>11</v>
      </c>
      <c r="F514">
        <v>8</v>
      </c>
      <c r="G514">
        <v>15</v>
      </c>
      <c r="H514">
        <v>40</v>
      </c>
      <c r="I514">
        <v>51</v>
      </c>
      <c r="J514">
        <v>-11</v>
      </c>
      <c r="K514">
        <v>41</v>
      </c>
      <c r="L514">
        <v>1.21</v>
      </c>
      <c r="N514" t="s">
        <v>2946</v>
      </c>
      <c r="O514" t="s">
        <v>2947</v>
      </c>
    </row>
    <row r="515" spans="1:16" ht="15.75" customHeight="1">
      <c r="A515">
        <v>13</v>
      </c>
      <c r="B515" t="s">
        <v>2964</v>
      </c>
      <c r="C515" s="38">
        <v>2002</v>
      </c>
      <c r="D515">
        <v>34</v>
      </c>
      <c r="E515">
        <v>9</v>
      </c>
      <c r="F515">
        <v>13</v>
      </c>
      <c r="G515">
        <v>12</v>
      </c>
      <c r="H515">
        <v>28</v>
      </c>
      <c r="I515">
        <v>31</v>
      </c>
      <c r="J515">
        <v>-3</v>
      </c>
      <c r="K515">
        <v>40</v>
      </c>
      <c r="L515">
        <v>1.18</v>
      </c>
      <c r="N515" t="s">
        <v>2948</v>
      </c>
      <c r="O515" t="s">
        <v>2661</v>
      </c>
    </row>
    <row r="516" spans="1:16" ht="15.75" customHeight="1">
      <c r="A516">
        <v>14</v>
      </c>
      <c r="B516" t="s">
        <v>2992</v>
      </c>
      <c r="C516" s="38">
        <v>2002</v>
      </c>
      <c r="D516">
        <v>34</v>
      </c>
      <c r="E516">
        <v>8</v>
      </c>
      <c r="F516">
        <v>15</v>
      </c>
      <c r="G516">
        <v>11</v>
      </c>
      <c r="H516">
        <v>35</v>
      </c>
      <c r="I516">
        <v>39</v>
      </c>
      <c r="J516">
        <v>-4</v>
      </c>
      <c r="K516">
        <v>39</v>
      </c>
      <c r="L516">
        <v>1.1499999999999999</v>
      </c>
      <c r="N516" t="s">
        <v>2949</v>
      </c>
      <c r="O516" t="s">
        <v>2865</v>
      </c>
    </row>
    <row r="517" spans="1:16" ht="15.75" customHeight="1">
      <c r="A517">
        <v>15</v>
      </c>
      <c r="B517" t="s">
        <v>2960</v>
      </c>
      <c r="C517" s="38">
        <v>2002</v>
      </c>
      <c r="D517">
        <v>34</v>
      </c>
      <c r="E517">
        <v>9</v>
      </c>
      <c r="F517">
        <v>12</v>
      </c>
      <c r="G517">
        <v>13</v>
      </c>
      <c r="H517">
        <v>36</v>
      </c>
      <c r="I517">
        <v>41</v>
      </c>
      <c r="J517">
        <v>-5</v>
      </c>
      <c r="K517">
        <v>39</v>
      </c>
      <c r="L517">
        <v>1.1499999999999999</v>
      </c>
      <c r="N517" t="s">
        <v>2950</v>
      </c>
      <c r="O517" t="s">
        <v>2832</v>
      </c>
    </row>
    <row r="518" spans="1:16" ht="15.75" customHeight="1">
      <c r="A518">
        <v>16</v>
      </c>
      <c r="B518" t="s">
        <v>2967</v>
      </c>
      <c r="C518" s="38">
        <v>2002</v>
      </c>
      <c r="D518">
        <v>34</v>
      </c>
      <c r="E518">
        <v>9</v>
      </c>
      <c r="F518">
        <v>8</v>
      </c>
      <c r="G518">
        <v>17</v>
      </c>
      <c r="H518">
        <v>34</v>
      </c>
      <c r="I518">
        <v>57</v>
      </c>
      <c r="J518">
        <v>-23</v>
      </c>
      <c r="K518">
        <v>35</v>
      </c>
      <c r="L518">
        <v>1.03</v>
      </c>
      <c r="N518" t="s">
        <v>2951</v>
      </c>
      <c r="O518" t="s">
        <v>2952</v>
      </c>
    </row>
    <row r="519" spans="1:16" ht="15.75" customHeight="1">
      <c r="A519">
        <v>17</v>
      </c>
      <c r="B519" t="s">
        <v>2976</v>
      </c>
      <c r="C519" s="38">
        <v>2002</v>
      </c>
      <c r="D519">
        <v>34</v>
      </c>
      <c r="E519">
        <v>9</v>
      </c>
      <c r="F519">
        <v>6</v>
      </c>
      <c r="G519">
        <v>19</v>
      </c>
      <c r="H519">
        <v>31</v>
      </c>
      <c r="I519">
        <v>47</v>
      </c>
      <c r="J519">
        <v>-16</v>
      </c>
      <c r="K519">
        <v>33</v>
      </c>
      <c r="L519">
        <v>0.97</v>
      </c>
      <c r="N519" t="s">
        <v>2953</v>
      </c>
      <c r="O519" t="s">
        <v>2954</v>
      </c>
      <c r="P519" t="s">
        <v>894</v>
      </c>
    </row>
    <row r="520" spans="1:16" ht="15.75" customHeight="1">
      <c r="A520">
        <v>18</v>
      </c>
      <c r="B520" t="s">
        <v>2973</v>
      </c>
      <c r="C520" s="38">
        <v>2002</v>
      </c>
      <c r="D520">
        <v>34</v>
      </c>
      <c r="E520">
        <v>7</v>
      </c>
      <c r="F520">
        <v>10</v>
      </c>
      <c r="G520">
        <v>17</v>
      </c>
      <c r="H520">
        <v>43</v>
      </c>
      <c r="I520">
        <v>64</v>
      </c>
      <c r="J520">
        <v>-21</v>
      </c>
      <c r="K520">
        <v>31</v>
      </c>
      <c r="L520">
        <v>0.91</v>
      </c>
      <c r="N520" t="s">
        <v>2955</v>
      </c>
      <c r="O520" t="s">
        <v>2956</v>
      </c>
      <c r="P520" t="s">
        <v>2957</v>
      </c>
    </row>
    <row r="522" spans="1:16" ht="15.75" customHeight="1">
      <c r="A522" t="s">
        <v>820</v>
      </c>
      <c r="B522" t="s">
        <v>821</v>
      </c>
      <c r="C522" s="31" t="s">
        <v>2</v>
      </c>
      <c r="D522" t="s">
        <v>822</v>
      </c>
      <c r="E522" t="s">
        <v>823</v>
      </c>
      <c r="F522" t="s">
        <v>824</v>
      </c>
      <c r="G522" t="s">
        <v>825</v>
      </c>
      <c r="H522" t="s">
        <v>826</v>
      </c>
      <c r="I522" t="s">
        <v>827</v>
      </c>
      <c r="J522" t="s">
        <v>828</v>
      </c>
      <c r="K522" t="s">
        <v>829</v>
      </c>
      <c r="L522" t="s">
        <v>830</v>
      </c>
      <c r="M522" t="s">
        <v>835</v>
      </c>
      <c r="N522" t="s">
        <v>836</v>
      </c>
      <c r="O522" t="s">
        <v>837</v>
      </c>
      <c r="P522" t="s">
        <v>838</v>
      </c>
    </row>
    <row r="523" spans="1:16" ht="15.75" customHeight="1">
      <c r="A523">
        <v>1</v>
      </c>
      <c r="B523" t="s">
        <v>2971</v>
      </c>
      <c r="C523" s="38">
        <v>2001</v>
      </c>
      <c r="D523">
        <v>34</v>
      </c>
      <c r="E523">
        <v>21</v>
      </c>
      <c r="F523">
        <v>5</v>
      </c>
      <c r="G523">
        <v>8</v>
      </c>
      <c r="H523">
        <v>58</v>
      </c>
      <c r="I523">
        <v>36</v>
      </c>
      <c r="J523">
        <v>22</v>
      </c>
      <c r="K523">
        <v>68</v>
      </c>
      <c r="L523">
        <v>2</v>
      </c>
      <c r="N523" t="s">
        <v>3427</v>
      </c>
      <c r="O523" t="s">
        <v>2673</v>
      </c>
      <c r="P523" t="s">
        <v>842</v>
      </c>
    </row>
    <row r="524" spans="1:16" ht="15.75" customHeight="1">
      <c r="A524">
        <v>2</v>
      </c>
      <c r="B524" t="s">
        <v>2959</v>
      </c>
      <c r="C524" s="38">
        <v>2001</v>
      </c>
      <c r="D524">
        <v>34</v>
      </c>
      <c r="E524">
        <v>17</v>
      </c>
      <c r="F524">
        <v>13</v>
      </c>
      <c r="G524">
        <v>4</v>
      </c>
      <c r="H524">
        <v>57</v>
      </c>
      <c r="I524">
        <v>30</v>
      </c>
      <c r="J524">
        <v>27</v>
      </c>
      <c r="K524">
        <v>64</v>
      </c>
      <c r="L524">
        <v>1.88</v>
      </c>
      <c r="N524" t="s">
        <v>3428</v>
      </c>
      <c r="O524" t="s">
        <v>2845</v>
      </c>
      <c r="P524" t="s">
        <v>842</v>
      </c>
    </row>
    <row r="525" spans="1:16" ht="15.75" customHeight="1">
      <c r="A525">
        <v>3</v>
      </c>
      <c r="B525" t="s">
        <v>2965</v>
      </c>
      <c r="C525" s="38">
        <v>2001</v>
      </c>
      <c r="D525">
        <v>34</v>
      </c>
      <c r="E525">
        <v>16</v>
      </c>
      <c r="F525">
        <v>11</v>
      </c>
      <c r="G525">
        <v>7</v>
      </c>
      <c r="H525">
        <v>43</v>
      </c>
      <c r="I525">
        <v>27</v>
      </c>
      <c r="J525">
        <v>16</v>
      </c>
      <c r="K525">
        <v>59</v>
      </c>
      <c r="L525">
        <v>1.74</v>
      </c>
      <c r="N525" t="s">
        <v>3429</v>
      </c>
      <c r="O525" t="s">
        <v>2807</v>
      </c>
      <c r="P525" t="s">
        <v>842</v>
      </c>
    </row>
    <row r="526" spans="1:16" ht="15.75" customHeight="1">
      <c r="A526">
        <v>4</v>
      </c>
      <c r="B526" t="s">
        <v>2963</v>
      </c>
      <c r="C526" s="38">
        <v>2001</v>
      </c>
      <c r="D526">
        <v>34</v>
      </c>
      <c r="E526">
        <v>15</v>
      </c>
      <c r="F526">
        <v>12</v>
      </c>
      <c r="G526">
        <v>7</v>
      </c>
      <c r="H526">
        <v>48</v>
      </c>
      <c r="I526">
        <v>32</v>
      </c>
      <c r="J526">
        <v>16</v>
      </c>
      <c r="K526">
        <v>57</v>
      </c>
      <c r="L526">
        <v>1.68</v>
      </c>
      <c r="N526" t="s">
        <v>3430</v>
      </c>
      <c r="O526" t="s">
        <v>2794</v>
      </c>
      <c r="P526" t="s">
        <v>2820</v>
      </c>
    </row>
    <row r="527" spans="1:16" ht="15.75" customHeight="1">
      <c r="A527">
        <v>5</v>
      </c>
      <c r="B527" t="s">
        <v>2992</v>
      </c>
      <c r="C527" s="38">
        <v>2001</v>
      </c>
      <c r="D527">
        <v>34</v>
      </c>
      <c r="E527">
        <v>14</v>
      </c>
      <c r="F527">
        <v>10</v>
      </c>
      <c r="G527">
        <v>10</v>
      </c>
      <c r="H527">
        <v>47</v>
      </c>
      <c r="I527">
        <v>40</v>
      </c>
      <c r="J527">
        <v>7</v>
      </c>
      <c r="K527">
        <v>52</v>
      </c>
      <c r="L527">
        <v>1.53</v>
      </c>
      <c r="N527" t="s">
        <v>3431</v>
      </c>
      <c r="O527" t="s">
        <v>3432</v>
      </c>
      <c r="P527" t="s">
        <v>2821</v>
      </c>
    </row>
    <row r="528" spans="1:16" ht="15.75" customHeight="1">
      <c r="A528">
        <v>6</v>
      </c>
      <c r="B528" t="s">
        <v>2966</v>
      </c>
      <c r="C528" s="38">
        <v>2001</v>
      </c>
      <c r="D528">
        <v>34</v>
      </c>
      <c r="E528">
        <v>15</v>
      </c>
      <c r="F528">
        <v>5</v>
      </c>
      <c r="G528">
        <v>14</v>
      </c>
      <c r="H528">
        <v>46</v>
      </c>
      <c r="I528">
        <v>37</v>
      </c>
      <c r="J528">
        <v>9</v>
      </c>
      <c r="K528">
        <v>50</v>
      </c>
      <c r="L528">
        <v>1.47</v>
      </c>
      <c r="N528" t="s">
        <v>3433</v>
      </c>
      <c r="O528" t="s">
        <v>3434</v>
      </c>
      <c r="P528" t="s">
        <v>2824</v>
      </c>
    </row>
    <row r="529" spans="1:16" ht="15.75" customHeight="1">
      <c r="A529">
        <v>7</v>
      </c>
      <c r="B529" t="s">
        <v>2982</v>
      </c>
      <c r="C529" s="38">
        <v>2001</v>
      </c>
      <c r="D529">
        <v>34</v>
      </c>
      <c r="E529">
        <v>11</v>
      </c>
      <c r="F529">
        <v>13</v>
      </c>
      <c r="G529">
        <v>10</v>
      </c>
      <c r="H529">
        <v>45</v>
      </c>
      <c r="I529">
        <v>47</v>
      </c>
      <c r="J529">
        <v>-2</v>
      </c>
      <c r="K529">
        <v>46</v>
      </c>
      <c r="L529">
        <v>1.35</v>
      </c>
      <c r="N529" t="s">
        <v>3435</v>
      </c>
      <c r="O529" t="s">
        <v>2940</v>
      </c>
      <c r="P529" t="s">
        <v>2824</v>
      </c>
    </row>
    <row r="530" spans="1:16" ht="15.75" customHeight="1">
      <c r="A530">
        <v>8</v>
      </c>
      <c r="B530" t="s">
        <v>2969</v>
      </c>
      <c r="C530" s="38">
        <v>2001</v>
      </c>
      <c r="D530">
        <v>34</v>
      </c>
      <c r="E530">
        <v>13</v>
      </c>
      <c r="F530">
        <v>6</v>
      </c>
      <c r="G530">
        <v>15</v>
      </c>
      <c r="H530">
        <v>45</v>
      </c>
      <c r="I530">
        <v>41</v>
      </c>
      <c r="J530">
        <v>4</v>
      </c>
      <c r="K530">
        <v>45</v>
      </c>
      <c r="L530">
        <v>1.32</v>
      </c>
      <c r="N530" t="s">
        <v>3436</v>
      </c>
      <c r="O530" t="s">
        <v>2947</v>
      </c>
      <c r="P530" t="s">
        <v>2824</v>
      </c>
    </row>
    <row r="531" spans="1:16" ht="15.75" customHeight="1">
      <c r="A531">
        <v>9</v>
      </c>
      <c r="B531" t="s">
        <v>2958</v>
      </c>
      <c r="C531" s="38">
        <v>2001</v>
      </c>
      <c r="D531">
        <v>34</v>
      </c>
      <c r="E531">
        <v>12</v>
      </c>
      <c r="F531">
        <v>8</v>
      </c>
      <c r="G531">
        <v>14</v>
      </c>
      <c r="H531">
        <v>44</v>
      </c>
      <c r="I531">
        <v>45</v>
      </c>
      <c r="J531">
        <v>-1</v>
      </c>
      <c r="K531">
        <v>44</v>
      </c>
      <c r="L531">
        <v>1.29</v>
      </c>
      <c r="N531" t="s">
        <v>3437</v>
      </c>
      <c r="O531" t="s">
        <v>2878</v>
      </c>
      <c r="P531" t="s">
        <v>2824</v>
      </c>
    </row>
    <row r="532" spans="1:16" ht="15.75" customHeight="1">
      <c r="A532">
        <v>10</v>
      </c>
      <c r="B532" t="s">
        <v>2967</v>
      </c>
      <c r="C532" s="38">
        <v>2001</v>
      </c>
      <c r="D532">
        <v>34</v>
      </c>
      <c r="E532">
        <v>11</v>
      </c>
      <c r="F532">
        <v>11</v>
      </c>
      <c r="G532">
        <v>12</v>
      </c>
      <c r="H532">
        <v>40</v>
      </c>
      <c r="I532">
        <v>48</v>
      </c>
      <c r="J532">
        <v>-8</v>
      </c>
      <c r="K532">
        <v>44</v>
      </c>
      <c r="L532">
        <v>1.29</v>
      </c>
      <c r="N532" t="s">
        <v>3438</v>
      </c>
      <c r="O532" t="s">
        <v>2952</v>
      </c>
    </row>
    <row r="533" spans="1:16" ht="15.75" customHeight="1">
      <c r="A533">
        <v>11</v>
      </c>
      <c r="B533" t="s">
        <v>2960</v>
      </c>
      <c r="C533" s="38">
        <v>2001</v>
      </c>
      <c r="D533">
        <v>34</v>
      </c>
      <c r="E533">
        <v>12</v>
      </c>
      <c r="F533">
        <v>7</v>
      </c>
      <c r="G533">
        <v>15</v>
      </c>
      <c r="H533">
        <v>53</v>
      </c>
      <c r="I533">
        <v>50</v>
      </c>
      <c r="J533">
        <v>3</v>
      </c>
      <c r="K533">
        <v>43</v>
      </c>
      <c r="L533">
        <v>1.26</v>
      </c>
      <c r="N533" t="s">
        <v>3439</v>
      </c>
      <c r="O533" t="s">
        <v>2889</v>
      </c>
    </row>
    <row r="534" spans="1:16" ht="15.75" customHeight="1">
      <c r="A534">
        <v>12</v>
      </c>
      <c r="B534" t="s">
        <v>2976</v>
      </c>
      <c r="C534" s="38">
        <v>2001</v>
      </c>
      <c r="D534">
        <v>34</v>
      </c>
      <c r="E534">
        <v>11</v>
      </c>
      <c r="F534">
        <v>9</v>
      </c>
      <c r="G534">
        <v>14</v>
      </c>
      <c r="H534">
        <v>35</v>
      </c>
      <c r="I534">
        <v>44</v>
      </c>
      <c r="J534">
        <v>-9</v>
      </c>
      <c r="K534">
        <v>42</v>
      </c>
      <c r="L534">
        <v>1.24</v>
      </c>
      <c r="N534" t="s">
        <v>3440</v>
      </c>
      <c r="O534" t="s">
        <v>3441</v>
      </c>
    </row>
    <row r="535" spans="1:16" ht="15.75" customHeight="1">
      <c r="A535">
        <v>13</v>
      </c>
      <c r="B535" t="s">
        <v>2985</v>
      </c>
      <c r="C535" s="38">
        <v>2001</v>
      </c>
      <c r="D535">
        <v>34</v>
      </c>
      <c r="E535">
        <v>11</v>
      </c>
      <c r="F535">
        <v>8</v>
      </c>
      <c r="G535">
        <v>15</v>
      </c>
      <c r="H535">
        <v>31</v>
      </c>
      <c r="I535">
        <v>41</v>
      </c>
      <c r="J535">
        <v>-10</v>
      </c>
      <c r="K535">
        <v>41</v>
      </c>
      <c r="L535">
        <v>1.21</v>
      </c>
      <c r="N535" t="s">
        <v>3442</v>
      </c>
      <c r="O535" t="s">
        <v>2874</v>
      </c>
    </row>
    <row r="536" spans="1:16" ht="15.75" customHeight="1">
      <c r="A536">
        <v>14</v>
      </c>
      <c r="B536" t="s">
        <v>2977</v>
      </c>
      <c r="C536" s="38">
        <v>2001</v>
      </c>
      <c r="D536">
        <v>34</v>
      </c>
      <c r="E536">
        <v>9</v>
      </c>
      <c r="F536">
        <v>13</v>
      </c>
      <c r="G536">
        <v>12</v>
      </c>
      <c r="H536">
        <v>37</v>
      </c>
      <c r="I536">
        <v>39</v>
      </c>
      <c r="J536">
        <v>-2</v>
      </c>
      <c r="K536">
        <v>40</v>
      </c>
      <c r="L536">
        <v>1.18</v>
      </c>
      <c r="N536" t="s">
        <v>3443</v>
      </c>
      <c r="O536" t="s">
        <v>2880</v>
      </c>
    </row>
    <row r="537" spans="1:16" ht="15.75" customHeight="1">
      <c r="A537">
        <v>15</v>
      </c>
      <c r="B537" t="s">
        <v>2961</v>
      </c>
      <c r="C537" s="38">
        <v>2001</v>
      </c>
      <c r="D537">
        <v>34</v>
      </c>
      <c r="E537">
        <v>11</v>
      </c>
      <c r="F537">
        <v>7</v>
      </c>
      <c r="G537">
        <v>16</v>
      </c>
      <c r="H537">
        <v>31</v>
      </c>
      <c r="I537">
        <v>40</v>
      </c>
      <c r="J537">
        <v>-9</v>
      </c>
      <c r="K537">
        <v>40</v>
      </c>
      <c r="L537">
        <v>1.18</v>
      </c>
      <c r="N537" t="s">
        <v>3444</v>
      </c>
      <c r="O537" t="s">
        <v>2927</v>
      </c>
    </row>
    <row r="538" spans="1:16" ht="15.75" customHeight="1">
      <c r="A538">
        <v>16</v>
      </c>
      <c r="B538" t="s">
        <v>2974</v>
      </c>
      <c r="C538" s="38">
        <v>2001</v>
      </c>
      <c r="D538">
        <v>34</v>
      </c>
      <c r="E538">
        <v>9</v>
      </c>
      <c r="F538">
        <v>10</v>
      </c>
      <c r="G538">
        <v>15</v>
      </c>
      <c r="H538">
        <v>34</v>
      </c>
      <c r="I538">
        <v>49</v>
      </c>
      <c r="J538">
        <v>-15</v>
      </c>
      <c r="K538">
        <v>37</v>
      </c>
      <c r="L538">
        <v>1.0900000000000001</v>
      </c>
      <c r="N538" t="s">
        <v>3445</v>
      </c>
      <c r="O538" t="s">
        <v>2815</v>
      </c>
      <c r="P538" t="s">
        <v>3446</v>
      </c>
    </row>
    <row r="539" spans="1:16" ht="15.75" customHeight="1">
      <c r="A539">
        <v>17</v>
      </c>
      <c r="B539" t="s">
        <v>2962</v>
      </c>
      <c r="C539" s="38">
        <v>2001</v>
      </c>
      <c r="D539">
        <v>34</v>
      </c>
      <c r="E539">
        <v>8</v>
      </c>
      <c r="F539">
        <v>10</v>
      </c>
      <c r="G539">
        <v>16</v>
      </c>
      <c r="H539">
        <v>42</v>
      </c>
      <c r="I539">
        <v>56</v>
      </c>
      <c r="J539">
        <v>-14</v>
      </c>
      <c r="K539">
        <v>34</v>
      </c>
      <c r="L539">
        <v>1</v>
      </c>
      <c r="N539" t="s">
        <v>3447</v>
      </c>
      <c r="O539" t="s">
        <v>3448</v>
      </c>
      <c r="P539" t="s">
        <v>894</v>
      </c>
    </row>
    <row r="540" spans="1:16" ht="15.75" customHeight="1">
      <c r="A540">
        <v>18</v>
      </c>
      <c r="B540" t="s">
        <v>2991</v>
      </c>
      <c r="C540" s="38">
        <v>2001</v>
      </c>
      <c r="D540">
        <v>34</v>
      </c>
      <c r="E540">
        <v>7</v>
      </c>
      <c r="F540">
        <v>8</v>
      </c>
      <c r="G540">
        <v>19</v>
      </c>
      <c r="H540">
        <v>28</v>
      </c>
      <c r="I540">
        <v>61</v>
      </c>
      <c r="J540">
        <v>-33</v>
      </c>
      <c r="K540">
        <v>29</v>
      </c>
      <c r="L540">
        <v>0.85</v>
      </c>
      <c r="N540" t="s">
        <v>3449</v>
      </c>
      <c r="O540" t="s">
        <v>3450</v>
      </c>
      <c r="P540" t="s">
        <v>3451</v>
      </c>
    </row>
  </sheetData>
  <hyperlinks>
    <hyperlink ref="B3" r:id="rId1" xr:uid="{00000000-0004-0000-0100-000000000000}"/>
    <hyperlink ref="R3" r:id="rId2" xr:uid="{00000000-0004-0000-0100-000001000000}"/>
    <hyperlink ref="S3" r:id="rId3" xr:uid="{00000000-0004-0000-0100-000002000000}"/>
    <hyperlink ref="B4" r:id="rId4" xr:uid="{00000000-0004-0000-0100-000003000000}"/>
    <hyperlink ref="R4" r:id="rId5" xr:uid="{00000000-0004-0000-0100-000004000000}"/>
    <hyperlink ref="S4" r:id="rId6" xr:uid="{00000000-0004-0000-0100-000005000000}"/>
    <hyperlink ref="B5" r:id="rId7" xr:uid="{00000000-0004-0000-0100-000006000000}"/>
    <hyperlink ref="R5" r:id="rId8" xr:uid="{00000000-0004-0000-0100-000007000000}"/>
    <hyperlink ref="S5" r:id="rId9" xr:uid="{00000000-0004-0000-0100-000008000000}"/>
    <hyperlink ref="B6" r:id="rId10" xr:uid="{00000000-0004-0000-0100-000009000000}"/>
    <hyperlink ref="R6" r:id="rId11" xr:uid="{00000000-0004-0000-0100-00000A000000}"/>
    <hyperlink ref="S6" r:id="rId12" xr:uid="{00000000-0004-0000-0100-00000B000000}"/>
    <hyperlink ref="B7" r:id="rId13" xr:uid="{00000000-0004-0000-0100-00000C000000}"/>
    <hyperlink ref="R7" r:id="rId14" xr:uid="{00000000-0004-0000-0100-00000D000000}"/>
    <hyperlink ref="S7" r:id="rId15" xr:uid="{00000000-0004-0000-0100-00000E000000}"/>
    <hyperlink ref="B8" r:id="rId16" xr:uid="{00000000-0004-0000-0100-00000F000000}"/>
    <hyperlink ref="R8" r:id="rId17" xr:uid="{00000000-0004-0000-0100-000010000000}"/>
    <hyperlink ref="S8" r:id="rId18" xr:uid="{00000000-0004-0000-0100-000011000000}"/>
    <hyperlink ref="B9" r:id="rId19" xr:uid="{00000000-0004-0000-0100-000012000000}"/>
    <hyperlink ref="R9" r:id="rId20" xr:uid="{00000000-0004-0000-0100-000013000000}"/>
    <hyperlink ref="S9" r:id="rId21" xr:uid="{00000000-0004-0000-0100-000014000000}"/>
    <hyperlink ref="B10" r:id="rId22" xr:uid="{00000000-0004-0000-0100-000015000000}"/>
    <hyperlink ref="R10" r:id="rId23" xr:uid="{00000000-0004-0000-0100-000016000000}"/>
    <hyperlink ref="S10" r:id="rId24" xr:uid="{00000000-0004-0000-0100-000017000000}"/>
    <hyperlink ref="B11" r:id="rId25" xr:uid="{00000000-0004-0000-0100-000018000000}"/>
    <hyperlink ref="R11" r:id="rId26" xr:uid="{00000000-0004-0000-0100-000019000000}"/>
    <hyperlink ref="S11" r:id="rId27" xr:uid="{00000000-0004-0000-0100-00001A000000}"/>
    <hyperlink ref="B12" r:id="rId28" xr:uid="{00000000-0004-0000-0100-00001B000000}"/>
    <hyperlink ref="R12" r:id="rId29" xr:uid="{00000000-0004-0000-0100-00001C000000}"/>
    <hyperlink ref="S12" r:id="rId30" xr:uid="{00000000-0004-0000-0100-00001D000000}"/>
    <hyperlink ref="B13" r:id="rId31" xr:uid="{00000000-0004-0000-0100-00001E000000}"/>
    <hyperlink ref="R13" r:id="rId32" xr:uid="{00000000-0004-0000-0100-00001F000000}"/>
    <hyperlink ref="S13" r:id="rId33" xr:uid="{00000000-0004-0000-0100-000020000000}"/>
    <hyperlink ref="B14" r:id="rId34" xr:uid="{00000000-0004-0000-0100-000021000000}"/>
    <hyperlink ref="R14" r:id="rId35" xr:uid="{00000000-0004-0000-0100-000022000000}"/>
    <hyperlink ref="S14" r:id="rId36" xr:uid="{00000000-0004-0000-0100-000023000000}"/>
    <hyperlink ref="B15" r:id="rId37" xr:uid="{00000000-0004-0000-0100-000024000000}"/>
    <hyperlink ref="R15" r:id="rId38" xr:uid="{00000000-0004-0000-0100-000025000000}"/>
    <hyperlink ref="S15" r:id="rId39" xr:uid="{00000000-0004-0000-0100-000026000000}"/>
    <hyperlink ref="B16" r:id="rId40" xr:uid="{00000000-0004-0000-0100-000027000000}"/>
    <hyperlink ref="R16" r:id="rId41" xr:uid="{00000000-0004-0000-0100-000028000000}"/>
    <hyperlink ref="S16" r:id="rId42" xr:uid="{00000000-0004-0000-0100-000029000000}"/>
    <hyperlink ref="B17" r:id="rId43" xr:uid="{00000000-0004-0000-0100-00002A000000}"/>
    <hyperlink ref="R17" r:id="rId44" xr:uid="{00000000-0004-0000-0100-00002B000000}"/>
    <hyperlink ref="S17" r:id="rId45" xr:uid="{00000000-0004-0000-0100-00002C000000}"/>
    <hyperlink ref="B18" r:id="rId46" xr:uid="{00000000-0004-0000-0100-00002D000000}"/>
    <hyperlink ref="R18" r:id="rId47" xr:uid="{00000000-0004-0000-0100-00002E000000}"/>
    <hyperlink ref="S18" r:id="rId48" xr:uid="{00000000-0004-0000-0100-00002F000000}"/>
    <hyperlink ref="B19" r:id="rId49" xr:uid="{00000000-0004-0000-0100-000030000000}"/>
    <hyperlink ref="R19" r:id="rId50" xr:uid="{00000000-0004-0000-0100-000031000000}"/>
    <hyperlink ref="S19" r:id="rId51" xr:uid="{00000000-0004-0000-0100-000032000000}"/>
    <hyperlink ref="B20" r:id="rId52" xr:uid="{00000000-0004-0000-0100-000033000000}"/>
    <hyperlink ref="R20" r:id="rId53" xr:uid="{00000000-0004-0000-0100-000034000000}"/>
    <hyperlink ref="S20" r:id="rId54" xr:uid="{00000000-0004-0000-0100-000035000000}"/>
    <hyperlink ref="B23" r:id="rId55" xr:uid="{00000000-0004-0000-0100-000036000000}"/>
    <hyperlink ref="R23" r:id="rId56" xr:uid="{00000000-0004-0000-0100-000037000000}"/>
    <hyperlink ref="S23" r:id="rId57" xr:uid="{00000000-0004-0000-0100-000038000000}"/>
    <hyperlink ref="B24" r:id="rId58" xr:uid="{00000000-0004-0000-0100-000039000000}"/>
    <hyperlink ref="R24" r:id="rId59" xr:uid="{00000000-0004-0000-0100-00003A000000}"/>
    <hyperlink ref="S24" r:id="rId60" xr:uid="{00000000-0004-0000-0100-00003B000000}"/>
    <hyperlink ref="B25" r:id="rId61" xr:uid="{00000000-0004-0000-0100-00003C000000}"/>
    <hyperlink ref="R25" r:id="rId62" xr:uid="{00000000-0004-0000-0100-00003D000000}"/>
    <hyperlink ref="S25" r:id="rId63" xr:uid="{00000000-0004-0000-0100-00003E000000}"/>
    <hyperlink ref="B26" r:id="rId64" xr:uid="{00000000-0004-0000-0100-00003F000000}"/>
    <hyperlink ref="R26" r:id="rId65" xr:uid="{00000000-0004-0000-0100-000040000000}"/>
    <hyperlink ref="S26" r:id="rId66" xr:uid="{00000000-0004-0000-0100-000041000000}"/>
    <hyperlink ref="B27" r:id="rId67" xr:uid="{00000000-0004-0000-0100-000042000000}"/>
    <hyperlink ref="R27" r:id="rId68" xr:uid="{00000000-0004-0000-0100-000043000000}"/>
    <hyperlink ref="S27" r:id="rId69" xr:uid="{00000000-0004-0000-0100-000044000000}"/>
    <hyperlink ref="B28" r:id="rId70" xr:uid="{00000000-0004-0000-0100-000045000000}"/>
    <hyperlink ref="R28" r:id="rId71" xr:uid="{00000000-0004-0000-0100-000046000000}"/>
    <hyperlink ref="S28" r:id="rId72" xr:uid="{00000000-0004-0000-0100-000047000000}"/>
    <hyperlink ref="B29" r:id="rId73" xr:uid="{00000000-0004-0000-0100-000048000000}"/>
    <hyperlink ref="R29" r:id="rId74" xr:uid="{00000000-0004-0000-0100-000049000000}"/>
    <hyperlink ref="S29" r:id="rId75" xr:uid="{00000000-0004-0000-0100-00004A000000}"/>
    <hyperlink ref="B30" r:id="rId76" xr:uid="{00000000-0004-0000-0100-00004B000000}"/>
    <hyperlink ref="R30" r:id="rId77" xr:uid="{00000000-0004-0000-0100-00004C000000}"/>
    <hyperlink ref="S30" r:id="rId78" xr:uid="{00000000-0004-0000-0100-00004D000000}"/>
    <hyperlink ref="B31" r:id="rId79" xr:uid="{00000000-0004-0000-0100-00004E000000}"/>
    <hyperlink ref="R31" r:id="rId80" xr:uid="{00000000-0004-0000-0100-00004F000000}"/>
    <hyperlink ref="S31" r:id="rId81" xr:uid="{00000000-0004-0000-0100-000050000000}"/>
    <hyperlink ref="B32" r:id="rId82" xr:uid="{00000000-0004-0000-0100-000051000000}"/>
    <hyperlink ref="R32" r:id="rId83" xr:uid="{00000000-0004-0000-0100-000052000000}"/>
    <hyperlink ref="S32" r:id="rId84" xr:uid="{00000000-0004-0000-0100-000053000000}"/>
    <hyperlink ref="B33" r:id="rId85" xr:uid="{00000000-0004-0000-0100-000054000000}"/>
    <hyperlink ref="R33" r:id="rId86" xr:uid="{00000000-0004-0000-0100-000055000000}"/>
    <hyperlink ref="S33" r:id="rId87" xr:uid="{00000000-0004-0000-0100-000056000000}"/>
    <hyperlink ref="B34" r:id="rId88" xr:uid="{00000000-0004-0000-0100-000057000000}"/>
    <hyperlink ref="R34" r:id="rId89" xr:uid="{00000000-0004-0000-0100-000058000000}"/>
    <hyperlink ref="S34" r:id="rId90" xr:uid="{00000000-0004-0000-0100-000059000000}"/>
    <hyperlink ref="B35" r:id="rId91" xr:uid="{00000000-0004-0000-0100-00005A000000}"/>
    <hyperlink ref="R35" r:id="rId92" xr:uid="{00000000-0004-0000-0100-00005B000000}"/>
    <hyperlink ref="S35" r:id="rId93" xr:uid="{00000000-0004-0000-0100-00005C000000}"/>
    <hyperlink ref="B36" r:id="rId94" xr:uid="{00000000-0004-0000-0100-00005D000000}"/>
    <hyperlink ref="R36" r:id="rId95" xr:uid="{00000000-0004-0000-0100-00005E000000}"/>
    <hyperlink ref="S36" r:id="rId96" xr:uid="{00000000-0004-0000-0100-00005F000000}"/>
    <hyperlink ref="B37" r:id="rId97" xr:uid="{00000000-0004-0000-0100-000060000000}"/>
    <hyperlink ref="R37" r:id="rId98" xr:uid="{00000000-0004-0000-0100-000061000000}"/>
    <hyperlink ref="S37" r:id="rId99" xr:uid="{00000000-0004-0000-0100-000062000000}"/>
    <hyperlink ref="B38" r:id="rId100" xr:uid="{00000000-0004-0000-0100-000063000000}"/>
    <hyperlink ref="R38" r:id="rId101" xr:uid="{00000000-0004-0000-0100-000064000000}"/>
    <hyperlink ref="S38" r:id="rId102" xr:uid="{00000000-0004-0000-0100-000065000000}"/>
    <hyperlink ref="B39" r:id="rId103" xr:uid="{00000000-0004-0000-0100-000066000000}"/>
    <hyperlink ref="R39" r:id="rId104" xr:uid="{00000000-0004-0000-0100-000067000000}"/>
    <hyperlink ref="S39" r:id="rId105" xr:uid="{00000000-0004-0000-0100-000068000000}"/>
    <hyperlink ref="B40" r:id="rId106" xr:uid="{00000000-0004-0000-0100-000069000000}"/>
    <hyperlink ref="R40" r:id="rId107" xr:uid="{00000000-0004-0000-0100-00006A000000}"/>
    <hyperlink ref="S40" r:id="rId108" xr:uid="{00000000-0004-0000-0100-00006B000000}"/>
    <hyperlink ref="B43" r:id="rId109" xr:uid="{00000000-0004-0000-0100-00006C000000}"/>
    <hyperlink ref="R43" r:id="rId110" xr:uid="{00000000-0004-0000-0100-00006D000000}"/>
    <hyperlink ref="S43" r:id="rId111" xr:uid="{00000000-0004-0000-0100-00006E000000}"/>
    <hyperlink ref="B44" r:id="rId112" xr:uid="{00000000-0004-0000-0100-00006F000000}"/>
    <hyperlink ref="R44" r:id="rId113" xr:uid="{00000000-0004-0000-0100-000070000000}"/>
    <hyperlink ref="S44" r:id="rId114" xr:uid="{00000000-0004-0000-0100-000071000000}"/>
    <hyperlink ref="B45" r:id="rId115" xr:uid="{00000000-0004-0000-0100-000072000000}"/>
    <hyperlink ref="R45" r:id="rId116" xr:uid="{00000000-0004-0000-0100-000073000000}"/>
    <hyperlink ref="S45" r:id="rId117" xr:uid="{00000000-0004-0000-0100-000074000000}"/>
    <hyperlink ref="B46" r:id="rId118" xr:uid="{00000000-0004-0000-0100-000075000000}"/>
    <hyperlink ref="R46" r:id="rId119" xr:uid="{00000000-0004-0000-0100-000076000000}"/>
    <hyperlink ref="S46" r:id="rId120" xr:uid="{00000000-0004-0000-0100-000077000000}"/>
    <hyperlink ref="B47" r:id="rId121" xr:uid="{00000000-0004-0000-0100-000078000000}"/>
    <hyperlink ref="R47" r:id="rId122" xr:uid="{00000000-0004-0000-0100-000079000000}"/>
    <hyperlink ref="S47" r:id="rId123" xr:uid="{00000000-0004-0000-0100-00007A000000}"/>
    <hyperlink ref="B48" r:id="rId124" xr:uid="{00000000-0004-0000-0100-00007B000000}"/>
    <hyperlink ref="R48" r:id="rId125" xr:uid="{00000000-0004-0000-0100-00007C000000}"/>
    <hyperlink ref="S48" r:id="rId126" xr:uid="{00000000-0004-0000-0100-00007D000000}"/>
    <hyperlink ref="B49" r:id="rId127" xr:uid="{00000000-0004-0000-0100-00007E000000}"/>
    <hyperlink ref="R49" r:id="rId128" xr:uid="{00000000-0004-0000-0100-00007F000000}"/>
    <hyperlink ref="S49" r:id="rId129" xr:uid="{00000000-0004-0000-0100-000080000000}"/>
    <hyperlink ref="B50" r:id="rId130" xr:uid="{00000000-0004-0000-0100-000081000000}"/>
    <hyperlink ref="R50" r:id="rId131" xr:uid="{00000000-0004-0000-0100-000082000000}"/>
    <hyperlink ref="S50" r:id="rId132" xr:uid="{00000000-0004-0000-0100-000083000000}"/>
    <hyperlink ref="B51" r:id="rId133" xr:uid="{00000000-0004-0000-0100-000084000000}"/>
    <hyperlink ref="R51" r:id="rId134" xr:uid="{00000000-0004-0000-0100-000085000000}"/>
    <hyperlink ref="S51" r:id="rId135" xr:uid="{00000000-0004-0000-0100-000086000000}"/>
    <hyperlink ref="B52" r:id="rId136" xr:uid="{00000000-0004-0000-0100-000087000000}"/>
    <hyperlink ref="R52" r:id="rId137" xr:uid="{00000000-0004-0000-0100-000088000000}"/>
    <hyperlink ref="S52" r:id="rId138" xr:uid="{00000000-0004-0000-0100-000089000000}"/>
    <hyperlink ref="B53" r:id="rId139" xr:uid="{00000000-0004-0000-0100-00008A000000}"/>
    <hyperlink ref="R53" r:id="rId140" xr:uid="{00000000-0004-0000-0100-00008B000000}"/>
    <hyperlink ref="S53" r:id="rId141" xr:uid="{00000000-0004-0000-0100-00008C000000}"/>
    <hyperlink ref="B54" r:id="rId142" xr:uid="{00000000-0004-0000-0100-00008D000000}"/>
    <hyperlink ref="R54" r:id="rId143" xr:uid="{00000000-0004-0000-0100-00008E000000}"/>
    <hyperlink ref="S54" r:id="rId144" xr:uid="{00000000-0004-0000-0100-00008F000000}"/>
    <hyperlink ref="B55" r:id="rId145" xr:uid="{00000000-0004-0000-0100-000090000000}"/>
    <hyperlink ref="R55" r:id="rId146" xr:uid="{00000000-0004-0000-0100-000091000000}"/>
    <hyperlink ref="S55" r:id="rId147" xr:uid="{00000000-0004-0000-0100-000092000000}"/>
    <hyperlink ref="B56" r:id="rId148" xr:uid="{00000000-0004-0000-0100-000093000000}"/>
    <hyperlink ref="R56" r:id="rId149" xr:uid="{00000000-0004-0000-0100-000094000000}"/>
    <hyperlink ref="S56" r:id="rId150" xr:uid="{00000000-0004-0000-0100-000095000000}"/>
    <hyperlink ref="B57" r:id="rId151" xr:uid="{00000000-0004-0000-0100-000096000000}"/>
    <hyperlink ref="R57" r:id="rId152" xr:uid="{00000000-0004-0000-0100-000097000000}"/>
    <hyperlink ref="S57" r:id="rId153" xr:uid="{00000000-0004-0000-0100-000098000000}"/>
    <hyperlink ref="B58" r:id="rId154" xr:uid="{00000000-0004-0000-0100-000099000000}"/>
    <hyperlink ref="R58" r:id="rId155" xr:uid="{00000000-0004-0000-0100-00009A000000}"/>
    <hyperlink ref="S58" r:id="rId156" xr:uid="{00000000-0004-0000-0100-00009B000000}"/>
    <hyperlink ref="B59" r:id="rId157" xr:uid="{00000000-0004-0000-0100-00009C000000}"/>
    <hyperlink ref="R59" r:id="rId158" xr:uid="{00000000-0004-0000-0100-00009D000000}"/>
    <hyperlink ref="S59" r:id="rId159" xr:uid="{00000000-0004-0000-0100-00009E000000}"/>
    <hyperlink ref="B60" r:id="rId160" xr:uid="{00000000-0004-0000-0100-00009F000000}"/>
    <hyperlink ref="R60" r:id="rId161" xr:uid="{00000000-0004-0000-0100-0000A0000000}"/>
    <hyperlink ref="S60" r:id="rId162" xr:uid="{00000000-0004-0000-0100-0000A1000000}"/>
    <hyperlink ref="B63" r:id="rId163" xr:uid="{00000000-0004-0000-0100-0000A2000000}"/>
    <hyperlink ref="R63" r:id="rId164" xr:uid="{00000000-0004-0000-0100-0000A3000000}"/>
    <hyperlink ref="S63" r:id="rId165" xr:uid="{00000000-0004-0000-0100-0000A4000000}"/>
    <hyperlink ref="B64" r:id="rId166" xr:uid="{00000000-0004-0000-0100-0000A5000000}"/>
    <hyperlink ref="R64" r:id="rId167" xr:uid="{00000000-0004-0000-0100-0000A6000000}"/>
    <hyperlink ref="S64" r:id="rId168" xr:uid="{00000000-0004-0000-0100-0000A7000000}"/>
    <hyperlink ref="B65" r:id="rId169" xr:uid="{00000000-0004-0000-0100-0000A8000000}"/>
    <hyperlink ref="R65" r:id="rId170" xr:uid="{00000000-0004-0000-0100-0000A9000000}"/>
    <hyperlink ref="S65" r:id="rId171" xr:uid="{00000000-0004-0000-0100-0000AA000000}"/>
    <hyperlink ref="B66" r:id="rId172" xr:uid="{00000000-0004-0000-0100-0000AB000000}"/>
    <hyperlink ref="R66" r:id="rId173" xr:uid="{00000000-0004-0000-0100-0000AC000000}"/>
    <hyperlink ref="S66" r:id="rId174" xr:uid="{00000000-0004-0000-0100-0000AD000000}"/>
    <hyperlink ref="B67" r:id="rId175" xr:uid="{00000000-0004-0000-0100-0000AE000000}"/>
    <hyperlink ref="R67" r:id="rId176" xr:uid="{00000000-0004-0000-0100-0000AF000000}"/>
    <hyperlink ref="S67" r:id="rId177" xr:uid="{00000000-0004-0000-0100-0000B0000000}"/>
    <hyperlink ref="B68" r:id="rId178" xr:uid="{00000000-0004-0000-0100-0000B1000000}"/>
    <hyperlink ref="R68" r:id="rId179" xr:uid="{00000000-0004-0000-0100-0000B2000000}"/>
    <hyperlink ref="S68" r:id="rId180" xr:uid="{00000000-0004-0000-0100-0000B3000000}"/>
    <hyperlink ref="B69" r:id="rId181" xr:uid="{00000000-0004-0000-0100-0000B4000000}"/>
    <hyperlink ref="R69" r:id="rId182" xr:uid="{00000000-0004-0000-0100-0000B5000000}"/>
    <hyperlink ref="S69" r:id="rId183" xr:uid="{00000000-0004-0000-0100-0000B6000000}"/>
    <hyperlink ref="B70" r:id="rId184" xr:uid="{00000000-0004-0000-0100-0000B7000000}"/>
    <hyperlink ref="R70" r:id="rId185" xr:uid="{00000000-0004-0000-0100-0000B8000000}"/>
    <hyperlink ref="S70" r:id="rId186" xr:uid="{00000000-0004-0000-0100-0000B9000000}"/>
    <hyperlink ref="B71" r:id="rId187" xr:uid="{00000000-0004-0000-0100-0000BA000000}"/>
    <hyperlink ref="R71" r:id="rId188" xr:uid="{00000000-0004-0000-0100-0000BB000000}"/>
    <hyperlink ref="S71" r:id="rId189" xr:uid="{00000000-0004-0000-0100-0000BC000000}"/>
    <hyperlink ref="B72" r:id="rId190" xr:uid="{00000000-0004-0000-0100-0000BD000000}"/>
    <hyperlink ref="R72" r:id="rId191" xr:uid="{00000000-0004-0000-0100-0000BE000000}"/>
    <hyperlink ref="S72" r:id="rId192" xr:uid="{00000000-0004-0000-0100-0000BF000000}"/>
    <hyperlink ref="B73" r:id="rId193" xr:uid="{00000000-0004-0000-0100-0000C0000000}"/>
    <hyperlink ref="R73" r:id="rId194" xr:uid="{00000000-0004-0000-0100-0000C1000000}"/>
    <hyperlink ref="S73" r:id="rId195" xr:uid="{00000000-0004-0000-0100-0000C2000000}"/>
    <hyperlink ref="B74" r:id="rId196" xr:uid="{00000000-0004-0000-0100-0000C3000000}"/>
    <hyperlink ref="R74" r:id="rId197" xr:uid="{00000000-0004-0000-0100-0000C4000000}"/>
    <hyperlink ref="S74" r:id="rId198" xr:uid="{00000000-0004-0000-0100-0000C5000000}"/>
    <hyperlink ref="B75" r:id="rId199" xr:uid="{00000000-0004-0000-0100-0000C6000000}"/>
    <hyperlink ref="R75" r:id="rId200" xr:uid="{00000000-0004-0000-0100-0000C7000000}"/>
    <hyperlink ref="S75" r:id="rId201" xr:uid="{00000000-0004-0000-0100-0000C8000000}"/>
    <hyperlink ref="B76" r:id="rId202" xr:uid="{00000000-0004-0000-0100-0000C9000000}"/>
    <hyperlink ref="R76" r:id="rId203" xr:uid="{00000000-0004-0000-0100-0000CA000000}"/>
    <hyperlink ref="S76" r:id="rId204" xr:uid="{00000000-0004-0000-0100-0000CB000000}"/>
    <hyperlink ref="B77" r:id="rId205" xr:uid="{00000000-0004-0000-0100-0000CC000000}"/>
    <hyperlink ref="R77" r:id="rId206" xr:uid="{00000000-0004-0000-0100-0000CD000000}"/>
    <hyperlink ref="S77" r:id="rId207" xr:uid="{00000000-0004-0000-0100-0000CE000000}"/>
    <hyperlink ref="B78" r:id="rId208" xr:uid="{00000000-0004-0000-0100-0000CF000000}"/>
    <hyperlink ref="R78" r:id="rId209" xr:uid="{00000000-0004-0000-0100-0000D0000000}"/>
    <hyperlink ref="S78" r:id="rId210" xr:uid="{00000000-0004-0000-0100-0000D1000000}"/>
    <hyperlink ref="B79" r:id="rId211" xr:uid="{00000000-0004-0000-0100-0000D2000000}"/>
    <hyperlink ref="R79" r:id="rId212" xr:uid="{00000000-0004-0000-0100-0000D3000000}"/>
    <hyperlink ref="S79" r:id="rId213" xr:uid="{00000000-0004-0000-0100-0000D4000000}"/>
    <hyperlink ref="B80" r:id="rId214" xr:uid="{00000000-0004-0000-0100-0000D5000000}"/>
    <hyperlink ref="R80" r:id="rId215" xr:uid="{00000000-0004-0000-0100-0000D6000000}"/>
    <hyperlink ref="S80" r:id="rId216" xr:uid="{00000000-0004-0000-0100-0000D7000000}"/>
    <hyperlink ref="B81" r:id="rId217" xr:uid="{00000000-0004-0000-0100-0000D8000000}"/>
    <hyperlink ref="R81" r:id="rId218" xr:uid="{00000000-0004-0000-0100-0000D9000000}"/>
    <hyperlink ref="S81" r:id="rId219" xr:uid="{00000000-0004-0000-0100-0000DA000000}"/>
    <hyperlink ref="B82" r:id="rId220" xr:uid="{00000000-0004-0000-0100-0000DB000000}"/>
    <hyperlink ref="R82" r:id="rId221" xr:uid="{00000000-0004-0000-0100-0000DC000000}"/>
    <hyperlink ref="S82" r:id="rId222" xr:uid="{00000000-0004-0000-0100-0000DD000000}"/>
    <hyperlink ref="B85" r:id="rId223" xr:uid="{00000000-0004-0000-0100-0000DE000000}"/>
    <hyperlink ref="R85" r:id="rId224" xr:uid="{00000000-0004-0000-0100-0000DF000000}"/>
    <hyperlink ref="S85" r:id="rId225" xr:uid="{00000000-0004-0000-0100-0000E0000000}"/>
    <hyperlink ref="B86" r:id="rId226" xr:uid="{00000000-0004-0000-0100-0000E1000000}"/>
    <hyperlink ref="R86" r:id="rId227" xr:uid="{00000000-0004-0000-0100-0000E2000000}"/>
    <hyperlink ref="S86" r:id="rId228" xr:uid="{00000000-0004-0000-0100-0000E3000000}"/>
    <hyperlink ref="B87" r:id="rId229" xr:uid="{00000000-0004-0000-0100-0000E4000000}"/>
    <hyperlink ref="R87" r:id="rId230" xr:uid="{00000000-0004-0000-0100-0000E5000000}"/>
    <hyperlink ref="S87" r:id="rId231" xr:uid="{00000000-0004-0000-0100-0000E6000000}"/>
    <hyperlink ref="B88" r:id="rId232" xr:uid="{00000000-0004-0000-0100-0000E7000000}"/>
    <hyperlink ref="R88" r:id="rId233" xr:uid="{00000000-0004-0000-0100-0000E8000000}"/>
    <hyperlink ref="S88" r:id="rId234" xr:uid="{00000000-0004-0000-0100-0000E9000000}"/>
    <hyperlink ref="B89" r:id="rId235" xr:uid="{00000000-0004-0000-0100-0000EA000000}"/>
    <hyperlink ref="R89" r:id="rId236" xr:uid="{00000000-0004-0000-0100-0000EB000000}"/>
    <hyperlink ref="S89" r:id="rId237" xr:uid="{00000000-0004-0000-0100-0000EC000000}"/>
    <hyperlink ref="B90" r:id="rId238" xr:uid="{00000000-0004-0000-0100-0000ED000000}"/>
    <hyperlink ref="R90" r:id="rId239" xr:uid="{00000000-0004-0000-0100-0000EE000000}"/>
    <hyperlink ref="S90" r:id="rId240" xr:uid="{00000000-0004-0000-0100-0000EF000000}"/>
    <hyperlink ref="B91" r:id="rId241" xr:uid="{00000000-0004-0000-0100-0000F0000000}"/>
    <hyperlink ref="R91" r:id="rId242" xr:uid="{00000000-0004-0000-0100-0000F1000000}"/>
    <hyperlink ref="S91" r:id="rId243" xr:uid="{00000000-0004-0000-0100-0000F2000000}"/>
    <hyperlink ref="B92" r:id="rId244" xr:uid="{00000000-0004-0000-0100-0000F3000000}"/>
    <hyperlink ref="R92" r:id="rId245" xr:uid="{00000000-0004-0000-0100-0000F4000000}"/>
    <hyperlink ref="S92" r:id="rId246" xr:uid="{00000000-0004-0000-0100-0000F5000000}"/>
    <hyperlink ref="B93" r:id="rId247" xr:uid="{00000000-0004-0000-0100-0000F6000000}"/>
    <hyperlink ref="R93" r:id="rId248" xr:uid="{00000000-0004-0000-0100-0000F7000000}"/>
    <hyperlink ref="S93" r:id="rId249" xr:uid="{00000000-0004-0000-0100-0000F8000000}"/>
    <hyperlink ref="B94" r:id="rId250" xr:uid="{00000000-0004-0000-0100-0000F9000000}"/>
    <hyperlink ref="R94" r:id="rId251" xr:uid="{00000000-0004-0000-0100-0000FA000000}"/>
    <hyperlink ref="S94" r:id="rId252" xr:uid="{00000000-0004-0000-0100-0000FB000000}"/>
    <hyperlink ref="B95" r:id="rId253" xr:uid="{00000000-0004-0000-0100-0000FC000000}"/>
    <hyperlink ref="R95" r:id="rId254" xr:uid="{00000000-0004-0000-0100-0000FD000000}"/>
    <hyperlink ref="S95" r:id="rId255" xr:uid="{00000000-0004-0000-0100-0000FE000000}"/>
    <hyperlink ref="B96" r:id="rId256" xr:uid="{00000000-0004-0000-0100-0000FF000000}"/>
    <hyperlink ref="R96" r:id="rId257" xr:uid="{00000000-0004-0000-0100-000000010000}"/>
    <hyperlink ref="S96" r:id="rId258" xr:uid="{00000000-0004-0000-0100-000001010000}"/>
    <hyperlink ref="B97" r:id="rId259" xr:uid="{00000000-0004-0000-0100-000002010000}"/>
    <hyperlink ref="R97" r:id="rId260" xr:uid="{00000000-0004-0000-0100-000003010000}"/>
    <hyperlink ref="S97" r:id="rId261" xr:uid="{00000000-0004-0000-0100-000004010000}"/>
    <hyperlink ref="B98" r:id="rId262" xr:uid="{00000000-0004-0000-0100-000005010000}"/>
    <hyperlink ref="R98" r:id="rId263" xr:uid="{00000000-0004-0000-0100-000006010000}"/>
    <hyperlink ref="S98" r:id="rId264" xr:uid="{00000000-0004-0000-0100-000007010000}"/>
    <hyperlink ref="B99" r:id="rId265" xr:uid="{00000000-0004-0000-0100-000008010000}"/>
    <hyperlink ref="R99" r:id="rId266" xr:uid="{00000000-0004-0000-0100-000009010000}"/>
    <hyperlink ref="S99" r:id="rId267" xr:uid="{00000000-0004-0000-0100-00000A010000}"/>
    <hyperlink ref="B100" r:id="rId268" xr:uid="{00000000-0004-0000-0100-00000B010000}"/>
    <hyperlink ref="R100" r:id="rId269" xr:uid="{00000000-0004-0000-0100-00000C010000}"/>
    <hyperlink ref="S100" r:id="rId270" xr:uid="{00000000-0004-0000-0100-00000D010000}"/>
    <hyperlink ref="B101" r:id="rId271" xr:uid="{00000000-0004-0000-0100-00000E010000}"/>
    <hyperlink ref="R101" r:id="rId272" xr:uid="{00000000-0004-0000-0100-00000F010000}"/>
    <hyperlink ref="S101" r:id="rId273" xr:uid="{00000000-0004-0000-0100-000010010000}"/>
    <hyperlink ref="B102" r:id="rId274" xr:uid="{00000000-0004-0000-0100-000011010000}"/>
    <hyperlink ref="R102" r:id="rId275" xr:uid="{00000000-0004-0000-0100-000012010000}"/>
    <hyperlink ref="S102" r:id="rId276" xr:uid="{00000000-0004-0000-0100-000013010000}"/>
    <hyperlink ref="B103" r:id="rId277" xr:uid="{00000000-0004-0000-0100-000014010000}"/>
    <hyperlink ref="R103" r:id="rId278" xr:uid="{00000000-0004-0000-0100-000015010000}"/>
    <hyperlink ref="S103" r:id="rId279" xr:uid="{00000000-0004-0000-0100-000016010000}"/>
    <hyperlink ref="B104" r:id="rId280" xr:uid="{00000000-0004-0000-0100-000017010000}"/>
    <hyperlink ref="R104" r:id="rId281" xr:uid="{00000000-0004-0000-0100-000018010000}"/>
    <hyperlink ref="S104" r:id="rId282" xr:uid="{00000000-0004-0000-0100-000019010000}"/>
    <hyperlink ref="B107" r:id="rId283" xr:uid="{00000000-0004-0000-0100-00001A010000}"/>
    <hyperlink ref="R107" r:id="rId284" xr:uid="{00000000-0004-0000-0100-00001B010000}"/>
    <hyperlink ref="S107" r:id="rId285" xr:uid="{00000000-0004-0000-0100-00001C010000}"/>
    <hyperlink ref="B108" r:id="rId286" xr:uid="{00000000-0004-0000-0100-00001D010000}"/>
    <hyperlink ref="R108" r:id="rId287" xr:uid="{00000000-0004-0000-0100-00001E010000}"/>
    <hyperlink ref="S108" r:id="rId288" xr:uid="{00000000-0004-0000-0100-00001F010000}"/>
    <hyperlink ref="B109" r:id="rId289" xr:uid="{00000000-0004-0000-0100-000020010000}"/>
    <hyperlink ref="R109" r:id="rId290" xr:uid="{00000000-0004-0000-0100-000021010000}"/>
    <hyperlink ref="S109" r:id="rId291" xr:uid="{00000000-0004-0000-0100-000022010000}"/>
    <hyperlink ref="B110" r:id="rId292" xr:uid="{00000000-0004-0000-0100-000023010000}"/>
    <hyperlink ref="R110" r:id="rId293" xr:uid="{00000000-0004-0000-0100-000024010000}"/>
    <hyperlink ref="S110" r:id="rId294" xr:uid="{00000000-0004-0000-0100-000025010000}"/>
    <hyperlink ref="B111" r:id="rId295" xr:uid="{00000000-0004-0000-0100-000026010000}"/>
    <hyperlink ref="R111" r:id="rId296" xr:uid="{00000000-0004-0000-0100-000027010000}"/>
    <hyperlink ref="S111" r:id="rId297" xr:uid="{00000000-0004-0000-0100-000028010000}"/>
    <hyperlink ref="B112" r:id="rId298" xr:uid="{00000000-0004-0000-0100-000029010000}"/>
    <hyperlink ref="R112" r:id="rId299" xr:uid="{00000000-0004-0000-0100-00002A010000}"/>
    <hyperlink ref="S112" r:id="rId300" xr:uid="{00000000-0004-0000-0100-00002B010000}"/>
    <hyperlink ref="B113" r:id="rId301" xr:uid="{00000000-0004-0000-0100-00002C010000}"/>
    <hyperlink ref="R113" r:id="rId302" xr:uid="{00000000-0004-0000-0100-00002D010000}"/>
    <hyperlink ref="S113" r:id="rId303" xr:uid="{00000000-0004-0000-0100-00002E010000}"/>
    <hyperlink ref="B114" r:id="rId304" xr:uid="{00000000-0004-0000-0100-00002F010000}"/>
    <hyperlink ref="R114" r:id="rId305" xr:uid="{00000000-0004-0000-0100-000030010000}"/>
    <hyperlink ref="S114" r:id="rId306" xr:uid="{00000000-0004-0000-0100-000031010000}"/>
    <hyperlink ref="B115" r:id="rId307" xr:uid="{00000000-0004-0000-0100-000032010000}"/>
    <hyperlink ref="R115" r:id="rId308" xr:uid="{00000000-0004-0000-0100-000033010000}"/>
    <hyperlink ref="S115" r:id="rId309" xr:uid="{00000000-0004-0000-0100-000034010000}"/>
    <hyperlink ref="B116" r:id="rId310" xr:uid="{00000000-0004-0000-0100-000035010000}"/>
    <hyperlink ref="R116" r:id="rId311" xr:uid="{00000000-0004-0000-0100-000036010000}"/>
    <hyperlink ref="S116" r:id="rId312" xr:uid="{00000000-0004-0000-0100-000037010000}"/>
    <hyperlink ref="B117" r:id="rId313" xr:uid="{00000000-0004-0000-0100-000038010000}"/>
    <hyperlink ref="R117" r:id="rId314" xr:uid="{00000000-0004-0000-0100-000039010000}"/>
    <hyperlink ref="S117" r:id="rId315" xr:uid="{00000000-0004-0000-0100-00003A010000}"/>
    <hyperlink ref="B118" r:id="rId316" xr:uid="{00000000-0004-0000-0100-00003B010000}"/>
    <hyperlink ref="R118" r:id="rId317" xr:uid="{00000000-0004-0000-0100-00003C010000}"/>
    <hyperlink ref="S118" r:id="rId318" xr:uid="{00000000-0004-0000-0100-00003D010000}"/>
    <hyperlink ref="B119" r:id="rId319" xr:uid="{00000000-0004-0000-0100-00003E010000}"/>
    <hyperlink ref="R119" r:id="rId320" xr:uid="{00000000-0004-0000-0100-00003F010000}"/>
    <hyperlink ref="S119" r:id="rId321" xr:uid="{00000000-0004-0000-0100-000040010000}"/>
    <hyperlink ref="B120" r:id="rId322" xr:uid="{00000000-0004-0000-0100-000041010000}"/>
    <hyperlink ref="R120" r:id="rId323" xr:uid="{00000000-0004-0000-0100-000042010000}"/>
    <hyperlink ref="S120" r:id="rId324" xr:uid="{00000000-0004-0000-0100-000043010000}"/>
    <hyperlink ref="B121" r:id="rId325" xr:uid="{00000000-0004-0000-0100-000044010000}"/>
    <hyperlink ref="R121" r:id="rId326" xr:uid="{00000000-0004-0000-0100-000045010000}"/>
    <hyperlink ref="S121" r:id="rId327" xr:uid="{00000000-0004-0000-0100-000046010000}"/>
    <hyperlink ref="B122" r:id="rId328" xr:uid="{00000000-0004-0000-0100-000047010000}"/>
    <hyperlink ref="R122" r:id="rId329" xr:uid="{00000000-0004-0000-0100-000048010000}"/>
    <hyperlink ref="S122" r:id="rId330" xr:uid="{00000000-0004-0000-0100-000049010000}"/>
    <hyperlink ref="B123" r:id="rId331" xr:uid="{00000000-0004-0000-0100-00004A010000}"/>
    <hyperlink ref="R123" r:id="rId332" xr:uid="{00000000-0004-0000-0100-00004B010000}"/>
    <hyperlink ref="S123" r:id="rId333" xr:uid="{00000000-0004-0000-0100-00004C010000}"/>
    <hyperlink ref="B124" r:id="rId334" xr:uid="{00000000-0004-0000-0100-00004D010000}"/>
    <hyperlink ref="R124" r:id="rId335" xr:uid="{00000000-0004-0000-0100-00004E010000}"/>
    <hyperlink ref="S124" r:id="rId336" xr:uid="{00000000-0004-0000-0100-00004F010000}"/>
    <hyperlink ref="B125" r:id="rId337" xr:uid="{00000000-0004-0000-0100-000050010000}"/>
    <hyperlink ref="R125" r:id="rId338" xr:uid="{00000000-0004-0000-0100-000051010000}"/>
    <hyperlink ref="S125" r:id="rId339" xr:uid="{00000000-0004-0000-0100-000052010000}"/>
    <hyperlink ref="B126" r:id="rId340" xr:uid="{00000000-0004-0000-0100-000053010000}"/>
    <hyperlink ref="R126" r:id="rId341" xr:uid="{00000000-0004-0000-0100-000054010000}"/>
    <hyperlink ref="S126" r:id="rId342" xr:uid="{00000000-0004-0000-0100-000055010000}"/>
    <hyperlink ref="B129" r:id="rId343" xr:uid="{00000000-0004-0000-0100-000056010000}"/>
    <hyperlink ref="R129" r:id="rId344" xr:uid="{00000000-0004-0000-0100-000057010000}"/>
    <hyperlink ref="S129" r:id="rId345" xr:uid="{00000000-0004-0000-0100-000058010000}"/>
    <hyperlink ref="B130" r:id="rId346" xr:uid="{00000000-0004-0000-0100-000059010000}"/>
    <hyperlink ref="R130" r:id="rId347" xr:uid="{00000000-0004-0000-0100-00005A010000}"/>
    <hyperlink ref="S130" r:id="rId348" xr:uid="{00000000-0004-0000-0100-00005B010000}"/>
    <hyperlink ref="B131" r:id="rId349" xr:uid="{00000000-0004-0000-0100-00005C010000}"/>
    <hyperlink ref="R131" r:id="rId350" xr:uid="{00000000-0004-0000-0100-00005D010000}"/>
    <hyperlink ref="S131" r:id="rId351" xr:uid="{00000000-0004-0000-0100-00005E010000}"/>
    <hyperlink ref="B132" r:id="rId352" xr:uid="{00000000-0004-0000-0100-00005F010000}"/>
    <hyperlink ref="R132" r:id="rId353" xr:uid="{00000000-0004-0000-0100-000060010000}"/>
    <hyperlink ref="S132" r:id="rId354" xr:uid="{00000000-0004-0000-0100-000061010000}"/>
    <hyperlink ref="B133" r:id="rId355" xr:uid="{00000000-0004-0000-0100-000062010000}"/>
    <hyperlink ref="R133" r:id="rId356" xr:uid="{00000000-0004-0000-0100-000063010000}"/>
    <hyperlink ref="S133" r:id="rId357" xr:uid="{00000000-0004-0000-0100-000064010000}"/>
    <hyperlink ref="B134" r:id="rId358" xr:uid="{00000000-0004-0000-0100-000065010000}"/>
    <hyperlink ref="R134" r:id="rId359" xr:uid="{00000000-0004-0000-0100-000066010000}"/>
    <hyperlink ref="S134" r:id="rId360" xr:uid="{00000000-0004-0000-0100-000067010000}"/>
    <hyperlink ref="B135" r:id="rId361" xr:uid="{00000000-0004-0000-0100-000068010000}"/>
    <hyperlink ref="R135" r:id="rId362" xr:uid="{00000000-0004-0000-0100-000069010000}"/>
    <hyperlink ref="S135" r:id="rId363" xr:uid="{00000000-0004-0000-0100-00006A010000}"/>
    <hyperlink ref="B136" r:id="rId364" xr:uid="{00000000-0004-0000-0100-00006B010000}"/>
    <hyperlink ref="R136" r:id="rId365" xr:uid="{00000000-0004-0000-0100-00006C010000}"/>
    <hyperlink ref="S136" r:id="rId366" xr:uid="{00000000-0004-0000-0100-00006D010000}"/>
    <hyperlink ref="B137" r:id="rId367" xr:uid="{00000000-0004-0000-0100-00006E010000}"/>
    <hyperlink ref="R137" r:id="rId368" xr:uid="{00000000-0004-0000-0100-00006F010000}"/>
    <hyperlink ref="S137" r:id="rId369" xr:uid="{00000000-0004-0000-0100-000070010000}"/>
    <hyperlink ref="B138" r:id="rId370" xr:uid="{00000000-0004-0000-0100-000071010000}"/>
    <hyperlink ref="R138" r:id="rId371" xr:uid="{00000000-0004-0000-0100-000072010000}"/>
    <hyperlink ref="S138" r:id="rId372" xr:uid="{00000000-0004-0000-0100-000073010000}"/>
    <hyperlink ref="B139" r:id="rId373" xr:uid="{00000000-0004-0000-0100-000074010000}"/>
    <hyperlink ref="R139" r:id="rId374" xr:uid="{00000000-0004-0000-0100-000075010000}"/>
    <hyperlink ref="S139" r:id="rId375" xr:uid="{00000000-0004-0000-0100-000076010000}"/>
    <hyperlink ref="B140" r:id="rId376" xr:uid="{00000000-0004-0000-0100-000077010000}"/>
    <hyperlink ref="R140" r:id="rId377" xr:uid="{00000000-0004-0000-0100-000078010000}"/>
    <hyperlink ref="S140" r:id="rId378" xr:uid="{00000000-0004-0000-0100-000079010000}"/>
    <hyperlink ref="B141" r:id="rId379" xr:uid="{00000000-0004-0000-0100-00007A010000}"/>
    <hyperlink ref="R141" r:id="rId380" xr:uid="{00000000-0004-0000-0100-00007B010000}"/>
    <hyperlink ref="S141" r:id="rId381" xr:uid="{00000000-0004-0000-0100-00007C010000}"/>
    <hyperlink ref="B142" r:id="rId382" xr:uid="{00000000-0004-0000-0100-00007D010000}"/>
    <hyperlink ref="R142" r:id="rId383" xr:uid="{00000000-0004-0000-0100-00007E010000}"/>
    <hyperlink ref="S142" r:id="rId384" xr:uid="{00000000-0004-0000-0100-00007F010000}"/>
    <hyperlink ref="B143" r:id="rId385" xr:uid="{00000000-0004-0000-0100-000080010000}"/>
    <hyperlink ref="R143" r:id="rId386" xr:uid="{00000000-0004-0000-0100-000081010000}"/>
    <hyperlink ref="S143" r:id="rId387" xr:uid="{00000000-0004-0000-0100-000082010000}"/>
    <hyperlink ref="B144" r:id="rId388" xr:uid="{00000000-0004-0000-0100-000083010000}"/>
    <hyperlink ref="R144" r:id="rId389" xr:uid="{00000000-0004-0000-0100-000084010000}"/>
    <hyperlink ref="S144" r:id="rId390" xr:uid="{00000000-0004-0000-0100-000085010000}"/>
    <hyperlink ref="B145" r:id="rId391" xr:uid="{00000000-0004-0000-0100-000086010000}"/>
    <hyperlink ref="R145" r:id="rId392" xr:uid="{00000000-0004-0000-0100-000087010000}"/>
    <hyperlink ref="S145" r:id="rId393" xr:uid="{00000000-0004-0000-0100-000088010000}"/>
    <hyperlink ref="B146" r:id="rId394" xr:uid="{00000000-0004-0000-0100-000089010000}"/>
    <hyperlink ref="R146" r:id="rId395" xr:uid="{00000000-0004-0000-0100-00008A010000}"/>
    <hyperlink ref="S146" r:id="rId396" xr:uid="{00000000-0004-0000-0100-00008B010000}"/>
    <hyperlink ref="B147" r:id="rId397" xr:uid="{00000000-0004-0000-0100-00008C010000}"/>
    <hyperlink ref="R147" r:id="rId398" xr:uid="{00000000-0004-0000-0100-00008D010000}"/>
    <hyperlink ref="S147" r:id="rId399" xr:uid="{00000000-0004-0000-0100-00008E010000}"/>
    <hyperlink ref="B148" r:id="rId400" xr:uid="{00000000-0004-0000-0100-00008F010000}"/>
    <hyperlink ref="R148" r:id="rId401" xr:uid="{00000000-0004-0000-0100-000090010000}"/>
    <hyperlink ref="S148" r:id="rId402" xr:uid="{00000000-0004-0000-0100-000091010000}"/>
    <hyperlink ref="B151" r:id="rId403" xr:uid="{00000000-0004-0000-0100-000092010000}"/>
    <hyperlink ref="R151" r:id="rId404" xr:uid="{00000000-0004-0000-0100-000093010000}"/>
    <hyperlink ref="S151" r:id="rId405" xr:uid="{00000000-0004-0000-0100-000094010000}"/>
    <hyperlink ref="B152" r:id="rId406" xr:uid="{00000000-0004-0000-0100-000095010000}"/>
    <hyperlink ref="R152" r:id="rId407" xr:uid="{00000000-0004-0000-0100-000096010000}"/>
    <hyperlink ref="S152" r:id="rId408" xr:uid="{00000000-0004-0000-0100-000097010000}"/>
    <hyperlink ref="B153" r:id="rId409" xr:uid="{00000000-0004-0000-0100-000098010000}"/>
    <hyperlink ref="R153" r:id="rId410" xr:uid="{00000000-0004-0000-0100-000099010000}"/>
    <hyperlink ref="S153" r:id="rId411" xr:uid="{00000000-0004-0000-0100-00009A010000}"/>
    <hyperlink ref="B154" r:id="rId412" xr:uid="{00000000-0004-0000-0100-00009B010000}"/>
    <hyperlink ref="R154" r:id="rId413" xr:uid="{00000000-0004-0000-0100-00009C010000}"/>
    <hyperlink ref="S154" r:id="rId414" xr:uid="{00000000-0004-0000-0100-00009D010000}"/>
    <hyperlink ref="B155" r:id="rId415" xr:uid="{00000000-0004-0000-0100-00009E010000}"/>
    <hyperlink ref="R155" r:id="rId416" xr:uid="{00000000-0004-0000-0100-00009F010000}"/>
    <hyperlink ref="S155" r:id="rId417" xr:uid="{00000000-0004-0000-0100-0000A0010000}"/>
    <hyperlink ref="B156" r:id="rId418" xr:uid="{00000000-0004-0000-0100-0000A1010000}"/>
    <hyperlink ref="R156" r:id="rId419" xr:uid="{00000000-0004-0000-0100-0000A2010000}"/>
    <hyperlink ref="S156" r:id="rId420" xr:uid="{00000000-0004-0000-0100-0000A3010000}"/>
    <hyperlink ref="B157" r:id="rId421" xr:uid="{00000000-0004-0000-0100-0000A4010000}"/>
    <hyperlink ref="R157" r:id="rId422" xr:uid="{00000000-0004-0000-0100-0000A5010000}"/>
    <hyperlink ref="S157" r:id="rId423" xr:uid="{00000000-0004-0000-0100-0000A6010000}"/>
    <hyperlink ref="B158" r:id="rId424" xr:uid="{00000000-0004-0000-0100-0000A7010000}"/>
    <hyperlink ref="R158" r:id="rId425" xr:uid="{00000000-0004-0000-0100-0000A8010000}"/>
    <hyperlink ref="S158" r:id="rId426" xr:uid="{00000000-0004-0000-0100-0000A9010000}"/>
    <hyperlink ref="B159" r:id="rId427" xr:uid="{00000000-0004-0000-0100-0000AA010000}"/>
    <hyperlink ref="R159" r:id="rId428" xr:uid="{00000000-0004-0000-0100-0000AB010000}"/>
    <hyperlink ref="S159" r:id="rId429" xr:uid="{00000000-0004-0000-0100-0000AC010000}"/>
    <hyperlink ref="B160" r:id="rId430" xr:uid="{00000000-0004-0000-0100-0000AD010000}"/>
    <hyperlink ref="R160" r:id="rId431" xr:uid="{00000000-0004-0000-0100-0000AE010000}"/>
    <hyperlink ref="S160" r:id="rId432" xr:uid="{00000000-0004-0000-0100-0000AF010000}"/>
    <hyperlink ref="B161" r:id="rId433" xr:uid="{00000000-0004-0000-0100-0000B0010000}"/>
    <hyperlink ref="R161" r:id="rId434" xr:uid="{00000000-0004-0000-0100-0000B1010000}"/>
    <hyperlink ref="S161" r:id="rId435" xr:uid="{00000000-0004-0000-0100-0000B2010000}"/>
    <hyperlink ref="B162" r:id="rId436" xr:uid="{00000000-0004-0000-0100-0000B3010000}"/>
    <hyperlink ref="R162" r:id="rId437" xr:uid="{00000000-0004-0000-0100-0000B4010000}"/>
    <hyperlink ref="S162" r:id="rId438" xr:uid="{00000000-0004-0000-0100-0000B5010000}"/>
    <hyperlink ref="B163" r:id="rId439" xr:uid="{00000000-0004-0000-0100-0000B6010000}"/>
    <hyperlink ref="R163" r:id="rId440" xr:uid="{00000000-0004-0000-0100-0000B7010000}"/>
    <hyperlink ref="S163" r:id="rId441" xr:uid="{00000000-0004-0000-0100-0000B8010000}"/>
    <hyperlink ref="B164" r:id="rId442" xr:uid="{00000000-0004-0000-0100-0000B9010000}"/>
    <hyperlink ref="R164" r:id="rId443" xr:uid="{00000000-0004-0000-0100-0000BA010000}"/>
    <hyperlink ref="S164" r:id="rId444" xr:uid="{00000000-0004-0000-0100-0000BB010000}"/>
    <hyperlink ref="B165" r:id="rId445" xr:uid="{00000000-0004-0000-0100-0000BC010000}"/>
    <hyperlink ref="R165" r:id="rId446" xr:uid="{00000000-0004-0000-0100-0000BD010000}"/>
    <hyperlink ref="S165" r:id="rId447" xr:uid="{00000000-0004-0000-0100-0000BE010000}"/>
    <hyperlink ref="B166" r:id="rId448" xr:uid="{00000000-0004-0000-0100-0000BF010000}"/>
    <hyperlink ref="R166" r:id="rId449" xr:uid="{00000000-0004-0000-0100-0000C0010000}"/>
    <hyperlink ref="S166" r:id="rId450" xr:uid="{00000000-0004-0000-0100-0000C1010000}"/>
    <hyperlink ref="B167" r:id="rId451" xr:uid="{00000000-0004-0000-0100-0000C2010000}"/>
    <hyperlink ref="R167" r:id="rId452" xr:uid="{00000000-0004-0000-0100-0000C3010000}"/>
    <hyperlink ref="S167" r:id="rId453" xr:uid="{00000000-0004-0000-0100-0000C4010000}"/>
    <hyperlink ref="B168" r:id="rId454" xr:uid="{00000000-0004-0000-0100-0000C5010000}"/>
    <hyperlink ref="R168" r:id="rId455" xr:uid="{00000000-0004-0000-0100-0000C6010000}"/>
    <hyperlink ref="S168" r:id="rId456" xr:uid="{00000000-0004-0000-0100-0000C7010000}"/>
    <hyperlink ref="B169" r:id="rId457" xr:uid="{00000000-0004-0000-0100-0000C8010000}"/>
    <hyperlink ref="R169" r:id="rId458" xr:uid="{00000000-0004-0000-0100-0000C9010000}"/>
    <hyperlink ref="S169" r:id="rId459" xr:uid="{00000000-0004-0000-0100-0000CA010000}"/>
    <hyperlink ref="B170" r:id="rId460" xr:uid="{00000000-0004-0000-0100-0000CB010000}"/>
    <hyperlink ref="R170" r:id="rId461" xr:uid="{00000000-0004-0000-0100-0000CC010000}"/>
    <hyperlink ref="S170" r:id="rId462" xr:uid="{00000000-0004-0000-0100-0000CD010000}"/>
    <hyperlink ref="B173" r:id="rId463" xr:uid="{00000000-0004-0000-0100-0000CE010000}"/>
    <hyperlink ref="R173" r:id="rId464" xr:uid="{00000000-0004-0000-0100-0000CF010000}"/>
    <hyperlink ref="S173" r:id="rId465" xr:uid="{00000000-0004-0000-0100-0000D0010000}"/>
    <hyperlink ref="B174" r:id="rId466" xr:uid="{00000000-0004-0000-0100-0000D1010000}"/>
    <hyperlink ref="R174" r:id="rId467" xr:uid="{00000000-0004-0000-0100-0000D2010000}"/>
    <hyperlink ref="S174" r:id="rId468" xr:uid="{00000000-0004-0000-0100-0000D3010000}"/>
    <hyperlink ref="B175" r:id="rId469" xr:uid="{00000000-0004-0000-0100-0000D4010000}"/>
    <hyperlink ref="R175" r:id="rId470" xr:uid="{00000000-0004-0000-0100-0000D5010000}"/>
    <hyperlink ref="S175" r:id="rId471" xr:uid="{00000000-0004-0000-0100-0000D6010000}"/>
    <hyperlink ref="B176" r:id="rId472" xr:uid="{00000000-0004-0000-0100-0000D7010000}"/>
    <hyperlink ref="R176" r:id="rId473" xr:uid="{00000000-0004-0000-0100-0000D8010000}"/>
    <hyperlink ref="S176" r:id="rId474" xr:uid="{00000000-0004-0000-0100-0000D9010000}"/>
    <hyperlink ref="B177" r:id="rId475" xr:uid="{00000000-0004-0000-0100-0000DA010000}"/>
    <hyperlink ref="R177" r:id="rId476" xr:uid="{00000000-0004-0000-0100-0000DB010000}"/>
    <hyperlink ref="S177" r:id="rId477" xr:uid="{00000000-0004-0000-0100-0000DC010000}"/>
    <hyperlink ref="B178" r:id="rId478" xr:uid="{00000000-0004-0000-0100-0000DD010000}"/>
    <hyperlink ref="R178" r:id="rId479" xr:uid="{00000000-0004-0000-0100-0000DE010000}"/>
    <hyperlink ref="S178" r:id="rId480" xr:uid="{00000000-0004-0000-0100-0000DF010000}"/>
    <hyperlink ref="B179" r:id="rId481" xr:uid="{00000000-0004-0000-0100-0000E0010000}"/>
    <hyperlink ref="R179" r:id="rId482" xr:uid="{00000000-0004-0000-0100-0000E1010000}"/>
    <hyperlink ref="S179" r:id="rId483" xr:uid="{00000000-0004-0000-0100-0000E2010000}"/>
    <hyperlink ref="B180" r:id="rId484" xr:uid="{00000000-0004-0000-0100-0000E3010000}"/>
    <hyperlink ref="R180" r:id="rId485" xr:uid="{00000000-0004-0000-0100-0000E4010000}"/>
    <hyperlink ref="S180" r:id="rId486" xr:uid="{00000000-0004-0000-0100-0000E5010000}"/>
    <hyperlink ref="B181" r:id="rId487" xr:uid="{00000000-0004-0000-0100-0000E6010000}"/>
    <hyperlink ref="R181" r:id="rId488" xr:uid="{00000000-0004-0000-0100-0000E7010000}"/>
    <hyperlink ref="S181" r:id="rId489" xr:uid="{00000000-0004-0000-0100-0000E8010000}"/>
    <hyperlink ref="B182" r:id="rId490" xr:uid="{00000000-0004-0000-0100-0000E9010000}"/>
    <hyperlink ref="R182" r:id="rId491" xr:uid="{00000000-0004-0000-0100-0000EA010000}"/>
    <hyperlink ref="S182" r:id="rId492" xr:uid="{00000000-0004-0000-0100-0000EB010000}"/>
    <hyperlink ref="B183" r:id="rId493" xr:uid="{00000000-0004-0000-0100-0000EC010000}"/>
    <hyperlink ref="R183" r:id="rId494" xr:uid="{00000000-0004-0000-0100-0000ED010000}"/>
    <hyperlink ref="S183" r:id="rId495" xr:uid="{00000000-0004-0000-0100-0000EE010000}"/>
    <hyperlink ref="B184" r:id="rId496" xr:uid="{00000000-0004-0000-0100-0000EF010000}"/>
    <hyperlink ref="R184" r:id="rId497" xr:uid="{00000000-0004-0000-0100-0000F0010000}"/>
    <hyperlink ref="S184" r:id="rId498" xr:uid="{00000000-0004-0000-0100-0000F1010000}"/>
    <hyperlink ref="B185" r:id="rId499" xr:uid="{00000000-0004-0000-0100-0000F2010000}"/>
    <hyperlink ref="R185" r:id="rId500" xr:uid="{00000000-0004-0000-0100-0000F3010000}"/>
    <hyperlink ref="S185" r:id="rId501" xr:uid="{00000000-0004-0000-0100-0000F4010000}"/>
    <hyperlink ref="B186" r:id="rId502" xr:uid="{00000000-0004-0000-0100-0000F5010000}"/>
    <hyperlink ref="R186" r:id="rId503" xr:uid="{00000000-0004-0000-0100-0000F6010000}"/>
    <hyperlink ref="S186" r:id="rId504" xr:uid="{00000000-0004-0000-0100-0000F7010000}"/>
    <hyperlink ref="B187" r:id="rId505" xr:uid="{00000000-0004-0000-0100-0000F8010000}"/>
    <hyperlink ref="R187" r:id="rId506" xr:uid="{00000000-0004-0000-0100-0000F9010000}"/>
    <hyperlink ref="S187" r:id="rId507" xr:uid="{00000000-0004-0000-0100-0000FA010000}"/>
    <hyperlink ref="B188" r:id="rId508" xr:uid="{00000000-0004-0000-0100-0000FB010000}"/>
    <hyperlink ref="R188" r:id="rId509" xr:uid="{00000000-0004-0000-0100-0000FC010000}"/>
    <hyperlink ref="S188" r:id="rId510" xr:uid="{00000000-0004-0000-0100-0000FD010000}"/>
    <hyperlink ref="B189" r:id="rId511" xr:uid="{00000000-0004-0000-0100-0000FE010000}"/>
    <hyperlink ref="R189" r:id="rId512" xr:uid="{00000000-0004-0000-0100-0000FF010000}"/>
    <hyperlink ref="S189" r:id="rId513" xr:uid="{00000000-0004-0000-0100-000000020000}"/>
    <hyperlink ref="B190" r:id="rId514" xr:uid="{00000000-0004-0000-0100-000001020000}"/>
    <hyperlink ref="R190" r:id="rId515" xr:uid="{00000000-0004-0000-0100-000002020000}"/>
    <hyperlink ref="S190" r:id="rId516" xr:uid="{00000000-0004-0000-0100-000003020000}"/>
    <hyperlink ref="B191" r:id="rId517" xr:uid="{00000000-0004-0000-0100-000004020000}"/>
    <hyperlink ref="R191" r:id="rId518" xr:uid="{00000000-0004-0000-0100-000005020000}"/>
    <hyperlink ref="S191" r:id="rId519" xr:uid="{00000000-0004-0000-0100-000006020000}"/>
    <hyperlink ref="B192" r:id="rId520" xr:uid="{00000000-0004-0000-0100-000007020000}"/>
    <hyperlink ref="R192" r:id="rId521" xr:uid="{00000000-0004-0000-0100-000008020000}"/>
    <hyperlink ref="S192" r:id="rId522" xr:uid="{00000000-0004-0000-0100-000009020000}"/>
    <hyperlink ref="B195" r:id="rId523" xr:uid="{00000000-0004-0000-0100-00000A020000}"/>
    <hyperlink ref="N195" r:id="rId524" xr:uid="{00000000-0004-0000-0100-00000B020000}"/>
    <hyperlink ref="O195" r:id="rId525" xr:uid="{00000000-0004-0000-0100-00000C020000}"/>
    <hyperlink ref="B196" r:id="rId526" xr:uid="{00000000-0004-0000-0100-00000D020000}"/>
    <hyperlink ref="N196" r:id="rId527" xr:uid="{00000000-0004-0000-0100-00000E020000}"/>
    <hyperlink ref="O196" r:id="rId528" xr:uid="{00000000-0004-0000-0100-00000F020000}"/>
    <hyperlink ref="B197" r:id="rId529" xr:uid="{00000000-0004-0000-0100-000010020000}"/>
    <hyperlink ref="N197" r:id="rId530" xr:uid="{00000000-0004-0000-0100-000011020000}"/>
    <hyperlink ref="O197" r:id="rId531" xr:uid="{00000000-0004-0000-0100-000012020000}"/>
    <hyperlink ref="B198" r:id="rId532" xr:uid="{00000000-0004-0000-0100-000013020000}"/>
    <hyperlink ref="N198" r:id="rId533" xr:uid="{00000000-0004-0000-0100-000014020000}"/>
    <hyperlink ref="O198" r:id="rId534" xr:uid="{00000000-0004-0000-0100-000015020000}"/>
    <hyperlink ref="B199" r:id="rId535" xr:uid="{00000000-0004-0000-0100-000016020000}"/>
    <hyperlink ref="N199" r:id="rId536" xr:uid="{00000000-0004-0000-0100-000017020000}"/>
    <hyperlink ref="O199" r:id="rId537" xr:uid="{00000000-0004-0000-0100-000018020000}"/>
    <hyperlink ref="B200" r:id="rId538" xr:uid="{00000000-0004-0000-0100-000019020000}"/>
    <hyperlink ref="N200" r:id="rId539" xr:uid="{00000000-0004-0000-0100-00001A020000}"/>
    <hyperlink ref="O200" r:id="rId540" xr:uid="{00000000-0004-0000-0100-00001B020000}"/>
    <hyperlink ref="B201" r:id="rId541" xr:uid="{00000000-0004-0000-0100-00001C020000}"/>
    <hyperlink ref="N201" r:id="rId542" xr:uid="{00000000-0004-0000-0100-00001D020000}"/>
    <hyperlink ref="O201" r:id="rId543" xr:uid="{00000000-0004-0000-0100-00001E020000}"/>
    <hyperlink ref="B202" r:id="rId544" xr:uid="{00000000-0004-0000-0100-00001F020000}"/>
    <hyperlink ref="N202" r:id="rId545" xr:uid="{00000000-0004-0000-0100-000020020000}"/>
    <hyperlink ref="O202" r:id="rId546" xr:uid="{00000000-0004-0000-0100-000021020000}"/>
    <hyperlink ref="B203" r:id="rId547" xr:uid="{00000000-0004-0000-0100-000022020000}"/>
    <hyperlink ref="N203" r:id="rId548" xr:uid="{00000000-0004-0000-0100-000023020000}"/>
    <hyperlink ref="O203" r:id="rId549" xr:uid="{00000000-0004-0000-0100-000024020000}"/>
    <hyperlink ref="B204" r:id="rId550" xr:uid="{00000000-0004-0000-0100-000025020000}"/>
    <hyperlink ref="N204" r:id="rId551" xr:uid="{00000000-0004-0000-0100-000026020000}"/>
    <hyperlink ref="O204" r:id="rId552" xr:uid="{00000000-0004-0000-0100-000027020000}"/>
    <hyperlink ref="B205" r:id="rId553" xr:uid="{00000000-0004-0000-0100-000028020000}"/>
    <hyperlink ref="N205" r:id="rId554" xr:uid="{00000000-0004-0000-0100-000029020000}"/>
    <hyperlink ref="O205" r:id="rId555" xr:uid="{00000000-0004-0000-0100-00002A020000}"/>
    <hyperlink ref="B206" r:id="rId556" xr:uid="{00000000-0004-0000-0100-00002B020000}"/>
    <hyperlink ref="N206" r:id="rId557" xr:uid="{00000000-0004-0000-0100-00002C020000}"/>
    <hyperlink ref="O206" r:id="rId558" xr:uid="{00000000-0004-0000-0100-00002D020000}"/>
    <hyperlink ref="B207" r:id="rId559" xr:uid="{00000000-0004-0000-0100-00002E020000}"/>
    <hyperlink ref="N207" r:id="rId560" xr:uid="{00000000-0004-0000-0100-00002F020000}"/>
    <hyperlink ref="O207" r:id="rId561" xr:uid="{00000000-0004-0000-0100-000030020000}"/>
    <hyperlink ref="B208" r:id="rId562" xr:uid="{00000000-0004-0000-0100-000031020000}"/>
    <hyperlink ref="N208" r:id="rId563" xr:uid="{00000000-0004-0000-0100-000032020000}"/>
    <hyperlink ref="O208" r:id="rId564" xr:uid="{00000000-0004-0000-0100-000033020000}"/>
    <hyperlink ref="B209" r:id="rId565" xr:uid="{00000000-0004-0000-0100-000034020000}"/>
    <hyperlink ref="N209" r:id="rId566" xr:uid="{00000000-0004-0000-0100-000035020000}"/>
    <hyperlink ref="O209" r:id="rId567" xr:uid="{00000000-0004-0000-0100-000036020000}"/>
    <hyperlink ref="B210" r:id="rId568" xr:uid="{00000000-0004-0000-0100-000037020000}"/>
    <hyperlink ref="N210" r:id="rId569" xr:uid="{00000000-0004-0000-0100-000038020000}"/>
    <hyperlink ref="O210" r:id="rId570" xr:uid="{00000000-0004-0000-0100-000039020000}"/>
    <hyperlink ref="B211" r:id="rId571" xr:uid="{00000000-0004-0000-0100-00003A020000}"/>
    <hyperlink ref="N211" r:id="rId572" xr:uid="{00000000-0004-0000-0100-00003B020000}"/>
    <hyperlink ref="O211" r:id="rId573" xr:uid="{00000000-0004-0000-0100-00003C020000}"/>
    <hyperlink ref="B212" r:id="rId574" xr:uid="{00000000-0004-0000-0100-00003D020000}"/>
    <hyperlink ref="N212" r:id="rId575" xr:uid="{00000000-0004-0000-0100-00003E020000}"/>
    <hyperlink ref="O212" r:id="rId576" xr:uid="{00000000-0004-0000-0100-00003F020000}"/>
    <hyperlink ref="B213" r:id="rId577" xr:uid="{00000000-0004-0000-0100-000040020000}"/>
    <hyperlink ref="N213" r:id="rId578" xr:uid="{00000000-0004-0000-0100-000041020000}"/>
    <hyperlink ref="O213" r:id="rId579" xr:uid="{00000000-0004-0000-0100-000042020000}"/>
    <hyperlink ref="B214" r:id="rId580" xr:uid="{00000000-0004-0000-0100-000043020000}"/>
    <hyperlink ref="N214" r:id="rId581" xr:uid="{00000000-0004-0000-0100-000044020000}"/>
    <hyperlink ref="O214" r:id="rId582" xr:uid="{00000000-0004-0000-0100-000045020000}"/>
    <hyperlink ref="B217" r:id="rId583" xr:uid="{00000000-0004-0000-0100-000046020000}"/>
    <hyperlink ref="N217" r:id="rId584" xr:uid="{00000000-0004-0000-0100-000047020000}"/>
    <hyperlink ref="O217" r:id="rId585" xr:uid="{00000000-0004-0000-0100-000048020000}"/>
    <hyperlink ref="B218" r:id="rId586" xr:uid="{00000000-0004-0000-0100-000049020000}"/>
    <hyperlink ref="N218" r:id="rId587" xr:uid="{00000000-0004-0000-0100-00004A020000}"/>
    <hyperlink ref="O218" r:id="rId588" xr:uid="{00000000-0004-0000-0100-00004B020000}"/>
    <hyperlink ref="B219" r:id="rId589" xr:uid="{00000000-0004-0000-0100-00004C020000}"/>
    <hyperlink ref="N219" r:id="rId590" xr:uid="{00000000-0004-0000-0100-00004D020000}"/>
    <hyperlink ref="O219" r:id="rId591" xr:uid="{00000000-0004-0000-0100-00004E020000}"/>
    <hyperlink ref="B220" r:id="rId592" xr:uid="{00000000-0004-0000-0100-00004F020000}"/>
    <hyperlink ref="N220" r:id="rId593" xr:uid="{00000000-0004-0000-0100-000050020000}"/>
    <hyperlink ref="O220" r:id="rId594" xr:uid="{00000000-0004-0000-0100-000051020000}"/>
    <hyperlink ref="B221" r:id="rId595" xr:uid="{00000000-0004-0000-0100-000052020000}"/>
    <hyperlink ref="N221" r:id="rId596" xr:uid="{00000000-0004-0000-0100-000053020000}"/>
    <hyperlink ref="O221" r:id="rId597" xr:uid="{00000000-0004-0000-0100-000054020000}"/>
    <hyperlink ref="B222" r:id="rId598" xr:uid="{00000000-0004-0000-0100-000055020000}"/>
    <hyperlink ref="N222" r:id="rId599" xr:uid="{00000000-0004-0000-0100-000056020000}"/>
    <hyperlink ref="O222" r:id="rId600" xr:uid="{00000000-0004-0000-0100-000057020000}"/>
    <hyperlink ref="B223" r:id="rId601" xr:uid="{00000000-0004-0000-0100-000058020000}"/>
    <hyperlink ref="N223" r:id="rId602" xr:uid="{00000000-0004-0000-0100-000059020000}"/>
    <hyperlink ref="O223" r:id="rId603" xr:uid="{00000000-0004-0000-0100-00005A020000}"/>
    <hyperlink ref="B224" r:id="rId604" xr:uid="{00000000-0004-0000-0100-00005B020000}"/>
    <hyperlink ref="N224" r:id="rId605" xr:uid="{00000000-0004-0000-0100-00005C020000}"/>
    <hyperlink ref="O224" r:id="rId606" xr:uid="{00000000-0004-0000-0100-00005D020000}"/>
    <hyperlink ref="B225" r:id="rId607" xr:uid="{00000000-0004-0000-0100-00005E020000}"/>
    <hyperlink ref="N225" r:id="rId608" xr:uid="{00000000-0004-0000-0100-00005F020000}"/>
    <hyperlink ref="O225" r:id="rId609" xr:uid="{00000000-0004-0000-0100-000060020000}"/>
    <hyperlink ref="B226" r:id="rId610" xr:uid="{00000000-0004-0000-0100-000061020000}"/>
    <hyperlink ref="N226" r:id="rId611" xr:uid="{00000000-0004-0000-0100-000062020000}"/>
    <hyperlink ref="O226" r:id="rId612" xr:uid="{00000000-0004-0000-0100-000063020000}"/>
    <hyperlink ref="B227" r:id="rId613" xr:uid="{00000000-0004-0000-0100-000064020000}"/>
    <hyperlink ref="N227" r:id="rId614" xr:uid="{00000000-0004-0000-0100-000065020000}"/>
    <hyperlink ref="O227" r:id="rId615" xr:uid="{00000000-0004-0000-0100-000066020000}"/>
    <hyperlink ref="B228" r:id="rId616" xr:uid="{00000000-0004-0000-0100-000067020000}"/>
    <hyperlink ref="N228" r:id="rId617" xr:uid="{00000000-0004-0000-0100-000068020000}"/>
    <hyperlink ref="O228" r:id="rId618" xr:uid="{00000000-0004-0000-0100-000069020000}"/>
    <hyperlink ref="B229" r:id="rId619" xr:uid="{00000000-0004-0000-0100-00006A020000}"/>
    <hyperlink ref="N229" r:id="rId620" xr:uid="{00000000-0004-0000-0100-00006B020000}"/>
    <hyperlink ref="O229" r:id="rId621" xr:uid="{00000000-0004-0000-0100-00006C020000}"/>
    <hyperlink ref="B230" r:id="rId622" xr:uid="{00000000-0004-0000-0100-00006D020000}"/>
    <hyperlink ref="N230" r:id="rId623" xr:uid="{00000000-0004-0000-0100-00006E020000}"/>
    <hyperlink ref="O230" r:id="rId624" xr:uid="{00000000-0004-0000-0100-00006F020000}"/>
    <hyperlink ref="B231" r:id="rId625" xr:uid="{00000000-0004-0000-0100-000070020000}"/>
    <hyperlink ref="N231" r:id="rId626" xr:uid="{00000000-0004-0000-0100-000071020000}"/>
    <hyperlink ref="O231" r:id="rId627" xr:uid="{00000000-0004-0000-0100-000072020000}"/>
    <hyperlink ref="B232" r:id="rId628" xr:uid="{00000000-0004-0000-0100-000073020000}"/>
    <hyperlink ref="N232" r:id="rId629" xr:uid="{00000000-0004-0000-0100-000074020000}"/>
    <hyperlink ref="O232" r:id="rId630" xr:uid="{00000000-0004-0000-0100-000075020000}"/>
    <hyperlink ref="B233" r:id="rId631" xr:uid="{00000000-0004-0000-0100-000076020000}"/>
    <hyperlink ref="N233" r:id="rId632" xr:uid="{00000000-0004-0000-0100-000077020000}"/>
    <hyperlink ref="O233" r:id="rId633" xr:uid="{00000000-0004-0000-0100-000078020000}"/>
    <hyperlink ref="B234" r:id="rId634" xr:uid="{00000000-0004-0000-0100-000079020000}"/>
    <hyperlink ref="N234" r:id="rId635" xr:uid="{00000000-0004-0000-0100-00007A020000}"/>
    <hyperlink ref="O234" r:id="rId636" xr:uid="{00000000-0004-0000-0100-00007B020000}"/>
    <hyperlink ref="B235" r:id="rId637" xr:uid="{00000000-0004-0000-0100-00007C020000}"/>
    <hyperlink ref="N235" r:id="rId638" xr:uid="{00000000-0004-0000-0100-00007D020000}"/>
    <hyperlink ref="O235" r:id="rId639" xr:uid="{00000000-0004-0000-0100-00007E020000}"/>
    <hyperlink ref="B236" r:id="rId640" xr:uid="{00000000-0004-0000-0100-00007F020000}"/>
    <hyperlink ref="N236" r:id="rId641" xr:uid="{00000000-0004-0000-0100-000080020000}"/>
    <hyperlink ref="O236" r:id="rId642" xr:uid="{00000000-0004-0000-0100-00008102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548"/>
  <sheetViews>
    <sheetView topLeftCell="A517" workbookViewId="0">
      <selection activeCell="C554" sqref="C554"/>
    </sheetView>
  </sheetViews>
  <sheetFormatPr defaultColWidth="12.609375" defaultRowHeight="15.75" customHeight="1"/>
  <sheetData>
    <row r="1" spans="1:20" ht="15.75" customHeight="1">
      <c r="A1" s="10" t="s">
        <v>820</v>
      </c>
      <c r="B1" s="11" t="s">
        <v>821</v>
      </c>
      <c r="C1" s="11" t="s">
        <v>2</v>
      </c>
      <c r="D1" s="11" t="s">
        <v>822</v>
      </c>
      <c r="E1" s="11" t="s">
        <v>823</v>
      </c>
      <c r="F1" s="11" t="s">
        <v>824</v>
      </c>
      <c r="G1" s="11" t="s">
        <v>825</v>
      </c>
      <c r="H1" s="11" t="s">
        <v>826</v>
      </c>
      <c r="I1" s="11" t="s">
        <v>827</v>
      </c>
      <c r="J1" s="11" t="s">
        <v>828</v>
      </c>
      <c r="K1" s="11" t="s">
        <v>829</v>
      </c>
      <c r="L1" s="11" t="s">
        <v>830</v>
      </c>
      <c r="M1" s="11" t="s">
        <v>831</v>
      </c>
      <c r="N1" s="11" t="s">
        <v>832</v>
      </c>
      <c r="O1" s="11" t="s">
        <v>833</v>
      </c>
      <c r="P1" s="11" t="s">
        <v>834</v>
      </c>
      <c r="Q1" s="11" t="s">
        <v>835</v>
      </c>
      <c r="R1" s="11" t="s">
        <v>836</v>
      </c>
      <c r="S1" s="11" t="s">
        <v>837</v>
      </c>
      <c r="T1" s="11" t="s">
        <v>838</v>
      </c>
    </row>
    <row r="2" spans="1:20" ht="15.75" customHeight="1">
      <c r="A2" s="12">
        <v>1</v>
      </c>
      <c r="B2" s="13" t="s">
        <v>1497</v>
      </c>
      <c r="C2" s="14">
        <v>2025</v>
      </c>
      <c r="D2" s="14">
        <v>38</v>
      </c>
      <c r="E2" s="14">
        <v>25</v>
      </c>
      <c r="F2" s="14">
        <v>9</v>
      </c>
      <c r="G2" s="14">
        <v>4</v>
      </c>
      <c r="H2" s="14">
        <v>86</v>
      </c>
      <c r="I2" s="14">
        <v>41</v>
      </c>
      <c r="J2" s="14">
        <f>45</f>
        <v>45</v>
      </c>
      <c r="K2" s="14">
        <v>84</v>
      </c>
      <c r="L2" s="14">
        <v>2.21</v>
      </c>
      <c r="M2" s="14">
        <v>82.2</v>
      </c>
      <c r="N2" s="14">
        <v>38.6</v>
      </c>
      <c r="O2" s="14">
        <f>43.6</f>
        <v>43.6</v>
      </c>
      <c r="P2" s="14">
        <f>1.15</f>
        <v>1.1499999999999999</v>
      </c>
      <c r="Q2" s="15">
        <v>60324</v>
      </c>
      <c r="R2" s="16" t="s">
        <v>1498</v>
      </c>
      <c r="S2" s="16" t="s">
        <v>1499</v>
      </c>
      <c r="T2" s="17" t="s">
        <v>842</v>
      </c>
    </row>
    <row r="3" spans="1:20" ht="15.75" customHeight="1">
      <c r="A3" s="12">
        <v>2</v>
      </c>
      <c r="B3" s="13" t="s">
        <v>1500</v>
      </c>
      <c r="C3" s="14">
        <v>2025</v>
      </c>
      <c r="D3" s="14">
        <v>38</v>
      </c>
      <c r="E3" s="14">
        <v>20</v>
      </c>
      <c r="F3" s="14">
        <v>14</v>
      </c>
      <c r="G3" s="14">
        <v>4</v>
      </c>
      <c r="H3" s="14">
        <v>69</v>
      </c>
      <c r="I3" s="14">
        <v>34</v>
      </c>
      <c r="J3" s="14">
        <f>35</f>
        <v>35</v>
      </c>
      <c r="K3" s="14">
        <v>74</v>
      </c>
      <c r="L3" s="14">
        <v>1.95</v>
      </c>
      <c r="M3" s="14">
        <v>59.9</v>
      </c>
      <c r="N3" s="14">
        <v>34.4</v>
      </c>
      <c r="O3" s="14">
        <f>25.5</f>
        <v>25.5</v>
      </c>
      <c r="P3" s="14">
        <f>0.67</f>
        <v>0.67</v>
      </c>
      <c r="Q3" s="15">
        <v>60251</v>
      </c>
      <c r="R3" s="16" t="s">
        <v>1501</v>
      </c>
      <c r="S3" s="16" t="s">
        <v>1502</v>
      </c>
      <c r="T3" s="17" t="s">
        <v>842</v>
      </c>
    </row>
    <row r="4" spans="1:20" ht="15.75" customHeight="1">
      <c r="A4" s="12">
        <v>3</v>
      </c>
      <c r="B4" s="13" t="s">
        <v>1503</v>
      </c>
      <c r="C4" s="14">
        <v>2025</v>
      </c>
      <c r="D4" s="14">
        <v>38</v>
      </c>
      <c r="E4" s="14">
        <v>21</v>
      </c>
      <c r="F4" s="14">
        <v>8</v>
      </c>
      <c r="G4" s="14">
        <v>9</v>
      </c>
      <c r="H4" s="14">
        <v>72</v>
      </c>
      <c r="I4" s="14">
        <v>44</v>
      </c>
      <c r="J4" s="14">
        <f>28</f>
        <v>28</v>
      </c>
      <c r="K4" s="14">
        <v>71</v>
      </c>
      <c r="L4" s="14">
        <v>1.87</v>
      </c>
      <c r="M4" s="14">
        <v>68.099999999999994</v>
      </c>
      <c r="N4" s="14">
        <v>47.7</v>
      </c>
      <c r="O4" s="14">
        <f>20.4</f>
        <v>20.399999999999999</v>
      </c>
      <c r="P4" s="14">
        <f t="shared" ref="P4:P5" si="0">0.54</f>
        <v>0.54</v>
      </c>
      <c r="Q4" s="15">
        <v>52756</v>
      </c>
      <c r="R4" s="16" t="s">
        <v>1504</v>
      </c>
      <c r="S4" s="16" t="s">
        <v>1505</v>
      </c>
      <c r="T4" s="17" t="s">
        <v>842</v>
      </c>
    </row>
    <row r="5" spans="1:20" ht="15.75" customHeight="1">
      <c r="A5" s="12">
        <v>4</v>
      </c>
      <c r="B5" s="13" t="s">
        <v>1506</v>
      </c>
      <c r="C5" s="14">
        <v>2025</v>
      </c>
      <c r="D5" s="14">
        <v>38</v>
      </c>
      <c r="E5" s="14">
        <v>20</v>
      </c>
      <c r="F5" s="14">
        <v>9</v>
      </c>
      <c r="G5" s="14">
        <v>9</v>
      </c>
      <c r="H5" s="14">
        <v>64</v>
      </c>
      <c r="I5" s="14">
        <v>43</v>
      </c>
      <c r="J5" s="14">
        <f t="shared" ref="J5:J6" si="1">21</f>
        <v>21</v>
      </c>
      <c r="K5" s="14">
        <v>69</v>
      </c>
      <c r="L5" s="14">
        <v>1.82</v>
      </c>
      <c r="M5" s="14">
        <v>67.8</v>
      </c>
      <c r="N5" s="14">
        <v>47.3</v>
      </c>
      <c r="O5" s="14">
        <f>20.5</f>
        <v>20.5</v>
      </c>
      <c r="P5" s="14">
        <f t="shared" si="0"/>
        <v>0.54</v>
      </c>
      <c r="Q5" s="15">
        <v>39672</v>
      </c>
      <c r="R5" s="16" t="s">
        <v>1507</v>
      </c>
      <c r="S5" s="16" t="s">
        <v>1508</v>
      </c>
      <c r="T5" s="17" t="s">
        <v>842</v>
      </c>
    </row>
    <row r="6" spans="1:20" ht="15.75" customHeight="1">
      <c r="A6" s="12">
        <v>5</v>
      </c>
      <c r="B6" s="13" t="s">
        <v>1509</v>
      </c>
      <c r="C6" s="14">
        <v>2025</v>
      </c>
      <c r="D6" s="14">
        <v>38</v>
      </c>
      <c r="E6" s="14">
        <v>20</v>
      </c>
      <c r="F6" s="14">
        <v>6</v>
      </c>
      <c r="G6" s="14">
        <v>12</v>
      </c>
      <c r="H6" s="14">
        <v>68</v>
      </c>
      <c r="I6" s="14">
        <v>47</v>
      </c>
      <c r="J6" s="14">
        <f t="shared" si="1"/>
        <v>21</v>
      </c>
      <c r="K6" s="14">
        <v>66</v>
      </c>
      <c r="L6" s="14">
        <v>1.74</v>
      </c>
      <c r="M6" s="14">
        <v>63.8</v>
      </c>
      <c r="N6" s="14">
        <v>45.5</v>
      </c>
      <c r="O6" s="14">
        <f>18.3</f>
        <v>18.3</v>
      </c>
      <c r="P6" s="14">
        <f>0.48</f>
        <v>0.48</v>
      </c>
      <c r="Q6" s="15">
        <v>52187</v>
      </c>
      <c r="R6" s="16" t="s">
        <v>1510</v>
      </c>
      <c r="S6" s="16" t="s">
        <v>1511</v>
      </c>
      <c r="T6" s="17" t="s">
        <v>842</v>
      </c>
    </row>
    <row r="7" spans="1:20" ht="15.75" customHeight="1">
      <c r="A7" s="12">
        <v>6</v>
      </c>
      <c r="B7" s="13" t="s">
        <v>1512</v>
      </c>
      <c r="C7" s="14">
        <v>2025</v>
      </c>
      <c r="D7" s="14">
        <v>38</v>
      </c>
      <c r="E7" s="14">
        <v>19</v>
      </c>
      <c r="F7" s="14">
        <v>9</v>
      </c>
      <c r="G7" s="14">
        <v>10</v>
      </c>
      <c r="H7" s="14">
        <v>58</v>
      </c>
      <c r="I7" s="14">
        <v>51</v>
      </c>
      <c r="J7" s="14">
        <f>7</f>
        <v>7</v>
      </c>
      <c r="K7" s="14">
        <v>66</v>
      </c>
      <c r="L7" s="14">
        <v>1.74</v>
      </c>
      <c r="M7" s="14">
        <v>56.1</v>
      </c>
      <c r="N7" s="14">
        <v>50.1</v>
      </c>
      <c r="O7" s="14">
        <f>5.9</f>
        <v>5.9</v>
      </c>
      <c r="P7" s="14">
        <f>0.16</f>
        <v>0.16</v>
      </c>
      <c r="Q7" s="15">
        <v>42079</v>
      </c>
      <c r="R7" s="16" t="s">
        <v>1513</v>
      </c>
      <c r="S7" s="16" t="s">
        <v>1514</v>
      </c>
      <c r="T7" s="17" t="s">
        <v>855</v>
      </c>
    </row>
    <row r="8" spans="1:20" ht="15.75" customHeight="1">
      <c r="A8" s="12">
        <v>7</v>
      </c>
      <c r="B8" s="13" t="s">
        <v>1515</v>
      </c>
      <c r="C8" s="14">
        <v>2025</v>
      </c>
      <c r="D8" s="14">
        <v>38</v>
      </c>
      <c r="E8" s="14">
        <v>19</v>
      </c>
      <c r="F8" s="14">
        <v>8</v>
      </c>
      <c r="G8" s="14">
        <v>11</v>
      </c>
      <c r="H8" s="14">
        <v>58</v>
      </c>
      <c r="I8" s="14">
        <v>46</v>
      </c>
      <c r="J8" s="14">
        <f>12</f>
        <v>12</v>
      </c>
      <c r="K8" s="14">
        <v>65</v>
      </c>
      <c r="L8" s="14">
        <v>1.71</v>
      </c>
      <c r="M8" s="14">
        <v>45.5</v>
      </c>
      <c r="N8" s="14">
        <v>48.9</v>
      </c>
      <c r="O8" s="14">
        <v>-3.4</v>
      </c>
      <c r="P8" s="14">
        <v>-0.09</v>
      </c>
      <c r="Q8" s="15">
        <v>30059</v>
      </c>
      <c r="R8" s="16" t="s">
        <v>1516</v>
      </c>
      <c r="S8" s="16" t="s">
        <v>1517</v>
      </c>
      <c r="T8" s="17" t="s">
        <v>862</v>
      </c>
    </row>
    <row r="9" spans="1:20" ht="15.75" customHeight="1">
      <c r="A9" s="12">
        <v>8</v>
      </c>
      <c r="B9" s="13" t="s">
        <v>1518</v>
      </c>
      <c r="C9" s="14">
        <v>2025</v>
      </c>
      <c r="D9" s="14">
        <v>38</v>
      </c>
      <c r="E9" s="14">
        <v>16</v>
      </c>
      <c r="F9" s="14">
        <v>13</v>
      </c>
      <c r="G9" s="14">
        <v>9</v>
      </c>
      <c r="H9" s="14">
        <v>66</v>
      </c>
      <c r="I9" s="14">
        <v>59</v>
      </c>
      <c r="J9" s="14">
        <f>7</f>
        <v>7</v>
      </c>
      <c r="K9" s="14">
        <v>61</v>
      </c>
      <c r="L9" s="14">
        <v>1.61</v>
      </c>
      <c r="M9" s="14">
        <v>58.7</v>
      </c>
      <c r="N9" s="14">
        <v>54.6</v>
      </c>
      <c r="O9" s="14">
        <f>4.1</f>
        <v>4.0999999999999996</v>
      </c>
      <c r="P9" s="14">
        <f>0.11</f>
        <v>0.11</v>
      </c>
      <c r="Q9" s="15">
        <v>31798</v>
      </c>
      <c r="R9" s="16" t="s">
        <v>1519</v>
      </c>
      <c r="S9" s="16" t="s">
        <v>1520</v>
      </c>
      <c r="T9" s="17"/>
    </row>
    <row r="10" spans="1:20" ht="15.75" customHeight="1">
      <c r="A10" s="12">
        <v>9</v>
      </c>
      <c r="B10" s="13" t="s">
        <v>1521</v>
      </c>
      <c r="C10" s="14">
        <v>2025</v>
      </c>
      <c r="D10" s="14">
        <v>38</v>
      </c>
      <c r="E10" s="14">
        <v>15</v>
      </c>
      <c r="F10" s="14">
        <v>11</v>
      </c>
      <c r="G10" s="14">
        <v>12</v>
      </c>
      <c r="H10" s="14">
        <v>58</v>
      </c>
      <c r="I10" s="14">
        <v>46</v>
      </c>
      <c r="J10" s="14">
        <f>12</f>
        <v>12</v>
      </c>
      <c r="K10" s="14">
        <v>56</v>
      </c>
      <c r="L10" s="14">
        <v>1.47</v>
      </c>
      <c r="M10" s="14">
        <v>64</v>
      </c>
      <c r="N10" s="14">
        <v>48.5</v>
      </c>
      <c r="O10" s="14">
        <f>15.5</f>
        <v>15.5</v>
      </c>
      <c r="P10" s="14">
        <f>0.41</f>
        <v>0.41</v>
      </c>
      <c r="Q10" s="15">
        <v>11210</v>
      </c>
      <c r="R10" s="16" t="s">
        <v>1522</v>
      </c>
      <c r="S10" s="16" t="s">
        <v>1523</v>
      </c>
      <c r="T10" s="17"/>
    </row>
    <row r="11" spans="1:20" ht="15.75" customHeight="1">
      <c r="A11" s="12">
        <v>10</v>
      </c>
      <c r="B11" s="13" t="s">
        <v>1524</v>
      </c>
      <c r="C11" s="14">
        <v>2025</v>
      </c>
      <c r="D11" s="14">
        <v>38</v>
      </c>
      <c r="E11" s="14">
        <v>16</v>
      </c>
      <c r="F11" s="14">
        <v>8</v>
      </c>
      <c r="G11" s="14">
        <v>14</v>
      </c>
      <c r="H11" s="14">
        <v>66</v>
      </c>
      <c r="I11" s="14">
        <v>57</v>
      </c>
      <c r="J11" s="14">
        <f>9</f>
        <v>9</v>
      </c>
      <c r="K11" s="14">
        <v>56</v>
      </c>
      <c r="L11" s="14">
        <v>1.47</v>
      </c>
      <c r="M11" s="14">
        <v>59</v>
      </c>
      <c r="N11" s="14">
        <v>55.4</v>
      </c>
      <c r="O11" s="14">
        <f>3.6</f>
        <v>3.6</v>
      </c>
      <c r="P11" s="14">
        <f>0.09</f>
        <v>0.09</v>
      </c>
      <c r="Q11" s="15">
        <v>18742</v>
      </c>
      <c r="R11" s="16" t="s">
        <v>1525</v>
      </c>
      <c r="S11" s="16" t="s">
        <v>1526</v>
      </c>
      <c r="T11" s="17"/>
    </row>
    <row r="12" spans="1:20" ht="15.75" customHeight="1">
      <c r="A12" s="12">
        <v>11</v>
      </c>
      <c r="B12" s="13" t="s">
        <v>1527</v>
      </c>
      <c r="C12" s="14">
        <v>2025</v>
      </c>
      <c r="D12" s="14">
        <v>38</v>
      </c>
      <c r="E12" s="14">
        <v>15</v>
      </c>
      <c r="F12" s="14">
        <v>9</v>
      </c>
      <c r="G12" s="14">
        <v>14</v>
      </c>
      <c r="H12" s="14">
        <v>54</v>
      </c>
      <c r="I12" s="14">
        <v>54</v>
      </c>
      <c r="J12" s="14">
        <v>0</v>
      </c>
      <c r="K12" s="14">
        <v>54</v>
      </c>
      <c r="L12" s="14">
        <v>1.42</v>
      </c>
      <c r="M12" s="14">
        <v>49</v>
      </c>
      <c r="N12" s="14">
        <v>47.2</v>
      </c>
      <c r="O12" s="14">
        <f>1.8</f>
        <v>1.8</v>
      </c>
      <c r="P12" s="14">
        <f>0.05</f>
        <v>0.05</v>
      </c>
      <c r="Q12" s="15">
        <v>26826</v>
      </c>
      <c r="R12" s="16" t="s">
        <v>1528</v>
      </c>
      <c r="S12" s="16" t="s">
        <v>1529</v>
      </c>
      <c r="T12" s="17"/>
    </row>
    <row r="13" spans="1:20" ht="15.75" customHeight="1">
      <c r="A13" s="12">
        <v>12</v>
      </c>
      <c r="B13" s="13" t="s">
        <v>1530</v>
      </c>
      <c r="C13" s="14">
        <v>2025</v>
      </c>
      <c r="D13" s="14">
        <v>38</v>
      </c>
      <c r="E13" s="14">
        <v>13</v>
      </c>
      <c r="F13" s="14">
        <v>14</v>
      </c>
      <c r="G13" s="14">
        <v>11</v>
      </c>
      <c r="H13" s="14">
        <v>51</v>
      </c>
      <c r="I13" s="14">
        <v>51</v>
      </c>
      <c r="J13" s="14">
        <v>0</v>
      </c>
      <c r="K13" s="14">
        <v>53</v>
      </c>
      <c r="L13" s="14">
        <v>1.39</v>
      </c>
      <c r="M13" s="14">
        <v>60.4</v>
      </c>
      <c r="N13" s="14">
        <v>49.1</v>
      </c>
      <c r="O13" s="14">
        <f>11.3</f>
        <v>11.3</v>
      </c>
      <c r="P13" s="14">
        <f>0.3</f>
        <v>0.3</v>
      </c>
      <c r="Q13" s="15">
        <v>25064</v>
      </c>
      <c r="R13" s="16" t="s">
        <v>1531</v>
      </c>
      <c r="S13" s="16" t="s">
        <v>1532</v>
      </c>
      <c r="T13" s="17" t="s">
        <v>1046</v>
      </c>
    </row>
    <row r="14" spans="1:20" ht="15.75" customHeight="1">
      <c r="A14" s="12">
        <v>13</v>
      </c>
      <c r="B14" s="13" t="s">
        <v>1533</v>
      </c>
      <c r="C14" s="14">
        <v>2025</v>
      </c>
      <c r="D14" s="14">
        <v>38</v>
      </c>
      <c r="E14" s="14">
        <v>11</v>
      </c>
      <c r="F14" s="14">
        <v>15</v>
      </c>
      <c r="G14" s="14">
        <v>12</v>
      </c>
      <c r="H14" s="14">
        <v>42</v>
      </c>
      <c r="I14" s="14">
        <v>44</v>
      </c>
      <c r="J14" s="14">
        <v>-2</v>
      </c>
      <c r="K14" s="14">
        <v>48</v>
      </c>
      <c r="L14" s="14">
        <v>1.26</v>
      </c>
      <c r="M14" s="14">
        <v>41.8</v>
      </c>
      <c r="N14" s="14">
        <v>46.2</v>
      </c>
      <c r="O14" s="14">
        <v>-4.5</v>
      </c>
      <c r="P14" s="14">
        <v>-0.12</v>
      </c>
      <c r="Q14" s="15">
        <v>38439</v>
      </c>
      <c r="R14" s="16" t="s">
        <v>1534</v>
      </c>
      <c r="S14" s="16" t="s">
        <v>1535</v>
      </c>
      <c r="T14" s="17"/>
    </row>
    <row r="15" spans="1:20" ht="15.75" customHeight="1">
      <c r="A15" s="12">
        <v>14</v>
      </c>
      <c r="B15" s="13" t="s">
        <v>1536</v>
      </c>
      <c r="C15" s="14">
        <v>2025</v>
      </c>
      <c r="D15" s="14">
        <v>38</v>
      </c>
      <c r="E15" s="14">
        <v>11</v>
      </c>
      <c r="F15" s="14">
        <v>10</v>
      </c>
      <c r="G15" s="14">
        <v>17</v>
      </c>
      <c r="H15" s="14">
        <v>46</v>
      </c>
      <c r="I15" s="14">
        <v>62</v>
      </c>
      <c r="J15" s="14">
        <v>-16</v>
      </c>
      <c r="K15" s="14">
        <v>43</v>
      </c>
      <c r="L15" s="14">
        <v>1.1299999999999999</v>
      </c>
      <c r="M15" s="14">
        <v>47</v>
      </c>
      <c r="N15" s="14">
        <v>59.7</v>
      </c>
      <c r="O15" s="14">
        <v>-12.7</v>
      </c>
      <c r="P15" s="14">
        <v>-0.33</v>
      </c>
      <c r="Q15" s="15">
        <v>62463</v>
      </c>
      <c r="R15" s="16" t="s">
        <v>1537</v>
      </c>
      <c r="S15" s="16" t="s">
        <v>1538</v>
      </c>
      <c r="T15" s="17"/>
    </row>
    <row r="16" spans="1:20" ht="15.75" customHeight="1">
      <c r="A16" s="12">
        <v>15</v>
      </c>
      <c r="B16" s="13" t="s">
        <v>1539</v>
      </c>
      <c r="C16" s="14">
        <v>2025</v>
      </c>
      <c r="D16" s="14">
        <v>38</v>
      </c>
      <c r="E16" s="14">
        <v>11</v>
      </c>
      <c r="F16" s="14">
        <v>9</v>
      </c>
      <c r="G16" s="14">
        <v>18</v>
      </c>
      <c r="H16" s="14">
        <v>44</v>
      </c>
      <c r="I16" s="14">
        <v>54</v>
      </c>
      <c r="J16" s="14">
        <v>-10</v>
      </c>
      <c r="K16" s="14">
        <v>42</v>
      </c>
      <c r="L16" s="14">
        <v>1.1100000000000001</v>
      </c>
      <c r="M16" s="14">
        <v>52.6</v>
      </c>
      <c r="N16" s="14">
        <v>53.8</v>
      </c>
      <c r="O16" s="14">
        <v>-1.3</v>
      </c>
      <c r="P16" s="14">
        <v>-0.03</v>
      </c>
      <c r="Q16" s="15">
        <v>73747</v>
      </c>
      <c r="R16" s="16" t="s">
        <v>1540</v>
      </c>
      <c r="S16" s="16" t="s">
        <v>1541</v>
      </c>
      <c r="T16" s="17"/>
    </row>
    <row r="17" spans="1:20" ht="15.75" customHeight="1">
      <c r="A17" s="12">
        <v>16</v>
      </c>
      <c r="B17" s="13" t="s">
        <v>1542</v>
      </c>
      <c r="C17" s="14">
        <v>2025</v>
      </c>
      <c r="D17" s="14">
        <v>38</v>
      </c>
      <c r="E17" s="14">
        <v>12</v>
      </c>
      <c r="F17" s="14">
        <v>6</v>
      </c>
      <c r="G17" s="14">
        <v>20</v>
      </c>
      <c r="H17" s="14">
        <v>54</v>
      </c>
      <c r="I17" s="14">
        <v>69</v>
      </c>
      <c r="J17" s="14">
        <v>-15</v>
      </c>
      <c r="K17" s="14">
        <v>42</v>
      </c>
      <c r="L17" s="14">
        <v>1.1100000000000001</v>
      </c>
      <c r="M17" s="14">
        <v>43.7</v>
      </c>
      <c r="N17" s="14">
        <v>58.1</v>
      </c>
      <c r="O17" s="14">
        <v>-14.5</v>
      </c>
      <c r="P17" s="14">
        <v>-0.38</v>
      </c>
      <c r="Q17" s="15">
        <v>30695</v>
      </c>
      <c r="R17" s="16" t="s">
        <v>1543</v>
      </c>
      <c r="S17" s="16" t="s">
        <v>1544</v>
      </c>
      <c r="T17" s="17"/>
    </row>
    <row r="18" spans="1:20" ht="15.75" customHeight="1">
      <c r="A18" s="12">
        <v>17</v>
      </c>
      <c r="B18" s="13" t="s">
        <v>1545</v>
      </c>
      <c r="C18" s="14">
        <v>2025</v>
      </c>
      <c r="D18" s="14">
        <v>38</v>
      </c>
      <c r="E18" s="14">
        <v>11</v>
      </c>
      <c r="F18" s="14">
        <v>5</v>
      </c>
      <c r="G18" s="14">
        <v>22</v>
      </c>
      <c r="H18" s="14">
        <v>64</v>
      </c>
      <c r="I18" s="14">
        <v>65</v>
      </c>
      <c r="J18" s="14">
        <v>-1</v>
      </c>
      <c r="K18" s="14">
        <v>38</v>
      </c>
      <c r="L18" s="14">
        <v>1</v>
      </c>
      <c r="M18" s="14">
        <v>58.8</v>
      </c>
      <c r="N18" s="14">
        <v>63.3</v>
      </c>
      <c r="O18" s="14">
        <v>-4.5</v>
      </c>
      <c r="P18" s="14">
        <v>-0.12</v>
      </c>
      <c r="Q18" s="15">
        <v>61127</v>
      </c>
      <c r="R18" s="16" t="s">
        <v>1546</v>
      </c>
      <c r="S18" s="16" t="s">
        <v>1547</v>
      </c>
      <c r="T18" s="17" t="s">
        <v>1548</v>
      </c>
    </row>
    <row r="19" spans="1:20" ht="15.75" customHeight="1">
      <c r="A19" s="18">
        <v>18</v>
      </c>
      <c r="B19" s="13" t="s">
        <v>1549</v>
      </c>
      <c r="C19" s="14">
        <v>2025</v>
      </c>
      <c r="D19" s="14">
        <v>38</v>
      </c>
      <c r="E19" s="14">
        <v>6</v>
      </c>
      <c r="F19" s="14">
        <v>7</v>
      </c>
      <c r="G19" s="14">
        <v>25</v>
      </c>
      <c r="H19" s="14">
        <v>33</v>
      </c>
      <c r="I19" s="14">
        <v>80</v>
      </c>
      <c r="J19" s="14">
        <v>-47</v>
      </c>
      <c r="K19" s="14">
        <v>25</v>
      </c>
      <c r="L19" s="14">
        <v>0.66</v>
      </c>
      <c r="M19" s="14">
        <v>32.6</v>
      </c>
      <c r="N19" s="14">
        <v>71.900000000000006</v>
      </c>
      <c r="O19" s="14">
        <v>-39.299999999999997</v>
      </c>
      <c r="P19" s="14">
        <v>-1.03</v>
      </c>
      <c r="Q19" s="15">
        <v>31448</v>
      </c>
      <c r="R19" s="16" t="s">
        <v>1550</v>
      </c>
      <c r="S19" s="16" t="s">
        <v>1551</v>
      </c>
      <c r="T19" s="17" t="s">
        <v>894</v>
      </c>
    </row>
    <row r="20" spans="1:20" ht="15.75" customHeight="1">
      <c r="A20" s="18">
        <v>19</v>
      </c>
      <c r="B20" s="13" t="s">
        <v>1552</v>
      </c>
      <c r="C20" s="14">
        <v>2025</v>
      </c>
      <c r="D20" s="14">
        <v>38</v>
      </c>
      <c r="E20" s="14">
        <v>4</v>
      </c>
      <c r="F20" s="14">
        <v>10</v>
      </c>
      <c r="G20" s="14">
        <v>24</v>
      </c>
      <c r="H20" s="14">
        <v>36</v>
      </c>
      <c r="I20" s="14">
        <v>82</v>
      </c>
      <c r="J20" s="14">
        <v>-46</v>
      </c>
      <c r="K20" s="14">
        <v>22</v>
      </c>
      <c r="L20" s="14">
        <v>0.57999999999999996</v>
      </c>
      <c r="M20" s="14">
        <v>34.4</v>
      </c>
      <c r="N20" s="14">
        <v>72.7</v>
      </c>
      <c r="O20" s="14">
        <v>-38.299999999999997</v>
      </c>
      <c r="P20" s="14">
        <v>-1.01</v>
      </c>
      <c r="Q20" s="15">
        <v>29742</v>
      </c>
      <c r="R20" s="16" t="s">
        <v>1553</v>
      </c>
      <c r="S20" s="16" t="s">
        <v>1554</v>
      </c>
      <c r="T20" s="17" t="s">
        <v>894</v>
      </c>
    </row>
    <row r="21" spans="1:20" ht="15.75" customHeight="1">
      <c r="A21" s="25">
        <v>20</v>
      </c>
      <c r="B21" s="20" t="s">
        <v>1555</v>
      </c>
      <c r="C21" s="14">
        <v>2025</v>
      </c>
      <c r="D21" s="26">
        <v>38</v>
      </c>
      <c r="E21" s="26">
        <v>2</v>
      </c>
      <c r="F21" s="26">
        <v>6</v>
      </c>
      <c r="G21" s="26">
        <v>30</v>
      </c>
      <c r="H21" s="26">
        <v>26</v>
      </c>
      <c r="I21" s="26">
        <v>86</v>
      </c>
      <c r="J21" s="26">
        <v>-60</v>
      </c>
      <c r="K21" s="26">
        <v>12</v>
      </c>
      <c r="L21" s="26">
        <v>0.32</v>
      </c>
      <c r="M21" s="26">
        <v>32.700000000000003</v>
      </c>
      <c r="N21" s="26">
        <v>84.8</v>
      </c>
      <c r="O21" s="26">
        <v>-52.1</v>
      </c>
      <c r="P21" s="26">
        <v>-1.37</v>
      </c>
      <c r="Q21" s="27">
        <v>30882</v>
      </c>
      <c r="R21" s="23" t="s">
        <v>1556</v>
      </c>
      <c r="S21" s="23" t="s">
        <v>1557</v>
      </c>
      <c r="T21" s="28" t="s">
        <v>894</v>
      </c>
    </row>
    <row r="23" spans="1:20" ht="15.75" customHeight="1">
      <c r="A23" s="10" t="s">
        <v>820</v>
      </c>
      <c r="B23" s="11" t="s">
        <v>821</v>
      </c>
      <c r="C23" s="11" t="s">
        <v>2</v>
      </c>
      <c r="D23" s="11" t="s">
        <v>822</v>
      </c>
      <c r="E23" s="11" t="s">
        <v>823</v>
      </c>
      <c r="F23" s="11" t="s">
        <v>824</v>
      </c>
      <c r="G23" s="11" t="s">
        <v>825</v>
      </c>
      <c r="H23" s="11" t="s">
        <v>826</v>
      </c>
      <c r="I23" s="11" t="s">
        <v>827</v>
      </c>
      <c r="J23" s="11" t="s">
        <v>828</v>
      </c>
      <c r="K23" s="11" t="s">
        <v>829</v>
      </c>
      <c r="L23" s="11" t="s">
        <v>830</v>
      </c>
      <c r="M23" s="11" t="s">
        <v>831</v>
      </c>
      <c r="N23" s="11" t="s">
        <v>832</v>
      </c>
      <c r="O23" s="11" t="s">
        <v>833</v>
      </c>
      <c r="P23" s="11" t="s">
        <v>834</v>
      </c>
      <c r="Q23" s="11" t="s">
        <v>835</v>
      </c>
      <c r="R23" s="11" t="s">
        <v>836</v>
      </c>
      <c r="S23" s="11" t="s">
        <v>837</v>
      </c>
      <c r="T23" s="11" t="s">
        <v>838</v>
      </c>
    </row>
    <row r="24" spans="1:20" ht="15.75" customHeight="1">
      <c r="A24" s="12">
        <v>1</v>
      </c>
      <c r="B24" s="13" t="s">
        <v>1558</v>
      </c>
      <c r="C24" s="14">
        <v>2024</v>
      </c>
      <c r="D24" s="14">
        <v>38</v>
      </c>
      <c r="E24" s="14">
        <v>28</v>
      </c>
      <c r="F24" s="14">
        <v>7</v>
      </c>
      <c r="G24" s="14">
        <v>3</v>
      </c>
      <c r="H24" s="14">
        <v>96</v>
      </c>
      <c r="I24" s="14">
        <v>34</v>
      </c>
      <c r="J24" s="14">
        <f t="shared" ref="J24:J25" si="2">62</f>
        <v>62</v>
      </c>
      <c r="K24" s="14">
        <v>91</v>
      </c>
      <c r="L24" s="14">
        <v>2.39</v>
      </c>
      <c r="M24" s="14">
        <v>80.5</v>
      </c>
      <c r="N24" s="14">
        <v>35.6</v>
      </c>
      <c r="O24" s="14">
        <f>44.9</f>
        <v>44.9</v>
      </c>
      <c r="P24" s="14">
        <f>1.18</f>
        <v>1.18</v>
      </c>
      <c r="Q24" s="15">
        <v>53012</v>
      </c>
      <c r="R24" s="16" t="s">
        <v>1559</v>
      </c>
      <c r="S24" s="16" t="s">
        <v>1560</v>
      </c>
      <c r="T24" s="17" t="s">
        <v>842</v>
      </c>
    </row>
    <row r="25" spans="1:20" ht="15.75" customHeight="1">
      <c r="A25" s="12">
        <v>2</v>
      </c>
      <c r="B25" s="13" t="s">
        <v>1561</v>
      </c>
      <c r="C25" s="14">
        <v>2024</v>
      </c>
      <c r="D25" s="14">
        <v>38</v>
      </c>
      <c r="E25" s="14">
        <v>28</v>
      </c>
      <c r="F25" s="14">
        <v>5</v>
      </c>
      <c r="G25" s="14">
        <v>5</v>
      </c>
      <c r="H25" s="14">
        <v>91</v>
      </c>
      <c r="I25" s="14">
        <v>29</v>
      </c>
      <c r="J25" s="14">
        <f t="shared" si="2"/>
        <v>62</v>
      </c>
      <c r="K25" s="14">
        <v>89</v>
      </c>
      <c r="L25" s="14">
        <v>2.34</v>
      </c>
      <c r="M25" s="14">
        <v>76.099999999999994</v>
      </c>
      <c r="N25" s="14">
        <v>27.9</v>
      </c>
      <c r="O25" s="14">
        <f>48.2</f>
        <v>48.2</v>
      </c>
      <c r="P25" s="14">
        <f>1.27</f>
        <v>1.27</v>
      </c>
      <c r="Q25" s="15">
        <v>60236</v>
      </c>
      <c r="R25" s="16" t="s">
        <v>1562</v>
      </c>
      <c r="S25" s="16" t="s">
        <v>1563</v>
      </c>
      <c r="T25" s="17" t="s">
        <v>842</v>
      </c>
    </row>
    <row r="26" spans="1:20" ht="15.75" customHeight="1">
      <c r="A26" s="12">
        <v>3</v>
      </c>
      <c r="B26" s="13" t="s">
        <v>1564</v>
      </c>
      <c r="C26" s="14">
        <v>2024</v>
      </c>
      <c r="D26" s="14">
        <v>38</v>
      </c>
      <c r="E26" s="14">
        <v>24</v>
      </c>
      <c r="F26" s="14">
        <v>10</v>
      </c>
      <c r="G26" s="14">
        <v>4</v>
      </c>
      <c r="H26" s="14">
        <v>86</v>
      </c>
      <c r="I26" s="14">
        <v>41</v>
      </c>
      <c r="J26" s="14">
        <f>45</f>
        <v>45</v>
      </c>
      <c r="K26" s="14">
        <v>82</v>
      </c>
      <c r="L26" s="14">
        <v>2.16</v>
      </c>
      <c r="M26" s="14">
        <v>87.8</v>
      </c>
      <c r="N26" s="14">
        <v>45.7</v>
      </c>
      <c r="O26" s="14">
        <f>42</f>
        <v>42</v>
      </c>
      <c r="P26" s="14">
        <f>1.11</f>
        <v>1.1100000000000001</v>
      </c>
      <c r="Q26" s="15">
        <v>55979</v>
      </c>
      <c r="R26" s="16" t="s">
        <v>1565</v>
      </c>
      <c r="S26" s="16" t="s">
        <v>1566</v>
      </c>
      <c r="T26" s="17" t="s">
        <v>842</v>
      </c>
    </row>
    <row r="27" spans="1:20" ht="15.75" customHeight="1">
      <c r="A27" s="12">
        <v>4</v>
      </c>
      <c r="B27" s="13" t="s">
        <v>1567</v>
      </c>
      <c r="C27" s="14">
        <v>2024</v>
      </c>
      <c r="D27" s="14">
        <v>38</v>
      </c>
      <c r="E27" s="14">
        <v>20</v>
      </c>
      <c r="F27" s="14">
        <v>8</v>
      </c>
      <c r="G27" s="14">
        <v>10</v>
      </c>
      <c r="H27" s="14">
        <v>76</v>
      </c>
      <c r="I27" s="14">
        <v>61</v>
      </c>
      <c r="J27" s="14">
        <f>15</f>
        <v>15</v>
      </c>
      <c r="K27" s="14">
        <v>68</v>
      </c>
      <c r="L27" s="14">
        <v>1.79</v>
      </c>
      <c r="M27" s="14">
        <v>63.3</v>
      </c>
      <c r="N27" s="14">
        <v>59.9</v>
      </c>
      <c r="O27" s="14">
        <f>3.4</f>
        <v>3.4</v>
      </c>
      <c r="P27" s="14">
        <f>0.09</f>
        <v>0.09</v>
      </c>
      <c r="Q27" s="15">
        <v>41858</v>
      </c>
      <c r="R27" s="16" t="s">
        <v>1568</v>
      </c>
      <c r="S27" s="16" t="s">
        <v>1569</v>
      </c>
      <c r="T27" s="17" t="s">
        <v>842</v>
      </c>
    </row>
    <row r="28" spans="1:20" ht="15.75" customHeight="1">
      <c r="A28" s="12">
        <v>5</v>
      </c>
      <c r="B28" s="13" t="s">
        <v>1570</v>
      </c>
      <c r="C28" s="14">
        <v>2024</v>
      </c>
      <c r="D28" s="14">
        <v>38</v>
      </c>
      <c r="E28" s="14">
        <v>20</v>
      </c>
      <c r="F28" s="14">
        <v>6</v>
      </c>
      <c r="G28" s="14">
        <v>12</v>
      </c>
      <c r="H28" s="14">
        <v>74</v>
      </c>
      <c r="I28" s="14">
        <v>61</v>
      </c>
      <c r="J28" s="14">
        <f>13</f>
        <v>13</v>
      </c>
      <c r="K28" s="14">
        <v>66</v>
      </c>
      <c r="L28" s="14">
        <v>1.74</v>
      </c>
      <c r="M28" s="14">
        <v>68.2</v>
      </c>
      <c r="N28" s="14">
        <v>63.4</v>
      </c>
      <c r="O28" s="14">
        <f>4.8</f>
        <v>4.8</v>
      </c>
      <c r="P28" s="14">
        <f>0.13</f>
        <v>0.13</v>
      </c>
      <c r="Q28" s="15">
        <v>61482</v>
      </c>
      <c r="R28" s="16" t="s">
        <v>1571</v>
      </c>
      <c r="S28" s="16" t="s">
        <v>1572</v>
      </c>
      <c r="T28" s="17" t="s">
        <v>855</v>
      </c>
    </row>
    <row r="29" spans="1:20" ht="15.75" customHeight="1">
      <c r="A29" s="12">
        <v>6</v>
      </c>
      <c r="B29" s="13" t="s">
        <v>1573</v>
      </c>
      <c r="C29" s="14">
        <v>2024</v>
      </c>
      <c r="D29" s="14">
        <v>38</v>
      </c>
      <c r="E29" s="14">
        <v>18</v>
      </c>
      <c r="F29" s="14">
        <v>9</v>
      </c>
      <c r="G29" s="14">
        <v>11</v>
      </c>
      <c r="H29" s="14">
        <v>77</v>
      </c>
      <c r="I29" s="14">
        <v>63</v>
      </c>
      <c r="J29" s="14">
        <f>14</f>
        <v>14</v>
      </c>
      <c r="K29" s="14">
        <v>63</v>
      </c>
      <c r="L29" s="14">
        <v>1.66</v>
      </c>
      <c r="M29" s="14">
        <v>74.5</v>
      </c>
      <c r="N29" s="14">
        <v>58.1</v>
      </c>
      <c r="O29" s="14">
        <f>16.4</f>
        <v>16.399999999999999</v>
      </c>
      <c r="P29" s="14">
        <f>0.43</f>
        <v>0.43</v>
      </c>
      <c r="Q29" s="15">
        <v>39524</v>
      </c>
      <c r="R29" s="16" t="s">
        <v>1574</v>
      </c>
      <c r="S29" s="16" t="s">
        <v>1575</v>
      </c>
      <c r="T29" s="17" t="s">
        <v>862</v>
      </c>
    </row>
    <row r="30" spans="1:20" ht="15.75" customHeight="1">
      <c r="A30" s="12">
        <v>7</v>
      </c>
      <c r="B30" s="13" t="s">
        <v>1576</v>
      </c>
      <c r="C30" s="14">
        <v>2024</v>
      </c>
      <c r="D30" s="14">
        <v>38</v>
      </c>
      <c r="E30" s="14">
        <v>18</v>
      </c>
      <c r="F30" s="14">
        <v>6</v>
      </c>
      <c r="G30" s="14">
        <v>14</v>
      </c>
      <c r="H30" s="14">
        <v>85</v>
      </c>
      <c r="I30" s="14">
        <v>62</v>
      </c>
      <c r="J30" s="14">
        <f>23</f>
        <v>23</v>
      </c>
      <c r="K30" s="14">
        <v>60</v>
      </c>
      <c r="L30" s="14">
        <v>1.58</v>
      </c>
      <c r="M30" s="14">
        <v>76</v>
      </c>
      <c r="N30" s="14">
        <v>61.4</v>
      </c>
      <c r="O30" s="14">
        <f>14.6</f>
        <v>14.6</v>
      </c>
      <c r="P30" s="14">
        <f>0.38</f>
        <v>0.38</v>
      </c>
      <c r="Q30" s="15">
        <v>52125</v>
      </c>
      <c r="R30" s="16" t="s">
        <v>1577</v>
      </c>
      <c r="S30" s="16" t="s">
        <v>1578</v>
      </c>
      <c r="T30" s="17"/>
    </row>
    <row r="31" spans="1:20" ht="15.75" customHeight="1">
      <c r="A31" s="12">
        <v>8</v>
      </c>
      <c r="B31" s="13" t="s">
        <v>1579</v>
      </c>
      <c r="C31" s="14">
        <v>2024</v>
      </c>
      <c r="D31" s="14">
        <v>38</v>
      </c>
      <c r="E31" s="14">
        <v>18</v>
      </c>
      <c r="F31" s="14">
        <v>6</v>
      </c>
      <c r="G31" s="14">
        <v>14</v>
      </c>
      <c r="H31" s="14">
        <v>57</v>
      </c>
      <c r="I31" s="14">
        <v>58</v>
      </c>
      <c r="J31" s="14">
        <v>-1</v>
      </c>
      <c r="K31" s="14">
        <v>60</v>
      </c>
      <c r="L31" s="14">
        <v>1.58</v>
      </c>
      <c r="M31" s="14">
        <v>56.5</v>
      </c>
      <c r="N31" s="14">
        <v>68.900000000000006</v>
      </c>
      <c r="O31" s="14">
        <v>-12.5</v>
      </c>
      <c r="P31" s="14">
        <v>-0.33</v>
      </c>
      <c r="Q31" s="15">
        <v>73533</v>
      </c>
      <c r="R31" s="16" t="s">
        <v>1580</v>
      </c>
      <c r="S31" s="16" t="s">
        <v>1581</v>
      </c>
      <c r="T31" s="17" t="s">
        <v>1046</v>
      </c>
    </row>
    <row r="32" spans="1:20" ht="15.75" customHeight="1">
      <c r="A32" s="12">
        <v>9</v>
      </c>
      <c r="B32" s="13" t="s">
        <v>1582</v>
      </c>
      <c r="C32" s="14">
        <v>2024</v>
      </c>
      <c r="D32" s="14">
        <v>38</v>
      </c>
      <c r="E32" s="14">
        <v>14</v>
      </c>
      <c r="F32" s="14">
        <v>10</v>
      </c>
      <c r="G32" s="14">
        <v>14</v>
      </c>
      <c r="H32" s="14">
        <v>60</v>
      </c>
      <c r="I32" s="14">
        <v>74</v>
      </c>
      <c r="J32" s="14">
        <v>-14</v>
      </c>
      <c r="K32" s="14">
        <v>52</v>
      </c>
      <c r="L32" s="14">
        <v>1.37</v>
      </c>
      <c r="M32" s="14">
        <v>52.3</v>
      </c>
      <c r="N32" s="14">
        <v>71.099999999999994</v>
      </c>
      <c r="O32" s="14">
        <v>-18.8</v>
      </c>
      <c r="P32" s="14">
        <v>-0.49</v>
      </c>
      <c r="Q32" s="15">
        <v>62567</v>
      </c>
      <c r="R32" s="16" t="s">
        <v>1583</v>
      </c>
      <c r="S32" s="16" t="s">
        <v>1584</v>
      </c>
      <c r="T32" s="17"/>
    </row>
    <row r="33" spans="1:20" ht="15.75" customHeight="1">
      <c r="A33" s="12">
        <v>10</v>
      </c>
      <c r="B33" s="13" t="s">
        <v>1585</v>
      </c>
      <c r="C33" s="14">
        <v>2024</v>
      </c>
      <c r="D33" s="14">
        <v>38</v>
      </c>
      <c r="E33" s="14">
        <v>13</v>
      </c>
      <c r="F33" s="14">
        <v>10</v>
      </c>
      <c r="G33" s="14">
        <v>15</v>
      </c>
      <c r="H33" s="14">
        <v>57</v>
      </c>
      <c r="I33" s="14">
        <v>58</v>
      </c>
      <c r="J33" s="14">
        <v>-1</v>
      </c>
      <c r="K33" s="14">
        <v>49</v>
      </c>
      <c r="L33" s="14">
        <v>1.29</v>
      </c>
      <c r="M33" s="14">
        <v>48.6</v>
      </c>
      <c r="N33" s="14">
        <v>52</v>
      </c>
      <c r="O33" s="14">
        <v>-3.4</v>
      </c>
      <c r="P33" s="14">
        <v>-0.09</v>
      </c>
      <c r="Q33" s="15">
        <v>24932</v>
      </c>
      <c r="R33" s="16" t="s">
        <v>1586</v>
      </c>
      <c r="S33" s="16" t="s">
        <v>1587</v>
      </c>
      <c r="T33" s="17"/>
    </row>
    <row r="34" spans="1:20" ht="15.75" customHeight="1">
      <c r="A34" s="12">
        <v>11</v>
      </c>
      <c r="B34" s="13" t="s">
        <v>1588</v>
      </c>
      <c r="C34" s="14">
        <v>2024</v>
      </c>
      <c r="D34" s="14">
        <v>38</v>
      </c>
      <c r="E34" s="14">
        <v>12</v>
      </c>
      <c r="F34" s="14">
        <v>12</v>
      </c>
      <c r="G34" s="14">
        <v>14</v>
      </c>
      <c r="H34" s="14">
        <v>55</v>
      </c>
      <c r="I34" s="14">
        <v>62</v>
      </c>
      <c r="J34" s="14">
        <v>-7</v>
      </c>
      <c r="K34" s="14">
        <v>48</v>
      </c>
      <c r="L34" s="14">
        <v>1.26</v>
      </c>
      <c r="M34" s="14">
        <v>56.8</v>
      </c>
      <c r="N34" s="14">
        <v>55.4</v>
      </c>
      <c r="O34" s="14">
        <f>1.4</f>
        <v>1.4</v>
      </c>
      <c r="P34" s="14">
        <f>0.04</f>
        <v>0.04</v>
      </c>
      <c r="Q34" s="15">
        <v>32638</v>
      </c>
      <c r="R34" s="16" t="s">
        <v>1589</v>
      </c>
      <c r="S34" s="16" t="s">
        <v>1590</v>
      </c>
      <c r="T34" s="17"/>
    </row>
    <row r="35" spans="1:20" ht="15.75" customHeight="1">
      <c r="A35" s="12">
        <v>12</v>
      </c>
      <c r="B35" s="13" t="s">
        <v>1591</v>
      </c>
      <c r="C35" s="14">
        <v>2024</v>
      </c>
      <c r="D35" s="14">
        <v>38</v>
      </c>
      <c r="E35" s="14">
        <v>13</v>
      </c>
      <c r="F35" s="14">
        <v>9</v>
      </c>
      <c r="G35" s="14">
        <v>16</v>
      </c>
      <c r="H35" s="14">
        <v>54</v>
      </c>
      <c r="I35" s="14">
        <v>67</v>
      </c>
      <c r="J35" s="14">
        <v>-13</v>
      </c>
      <c r="K35" s="14">
        <v>48</v>
      </c>
      <c r="L35" s="14">
        <v>1.26</v>
      </c>
      <c r="M35" s="14">
        <v>55.9</v>
      </c>
      <c r="N35" s="14">
        <v>58.1</v>
      </c>
      <c r="O35" s="14">
        <v>-2.2000000000000002</v>
      </c>
      <c r="P35" s="14">
        <v>-0.06</v>
      </c>
      <c r="Q35" s="15">
        <v>11103</v>
      </c>
      <c r="R35" s="16" t="s">
        <v>1592</v>
      </c>
      <c r="S35" s="16" t="s">
        <v>1593</v>
      </c>
      <c r="T35" s="17"/>
    </row>
    <row r="36" spans="1:20" ht="15.75" customHeight="1">
      <c r="A36" s="12">
        <v>13</v>
      </c>
      <c r="B36" s="13" t="s">
        <v>1594</v>
      </c>
      <c r="C36" s="14">
        <v>2024</v>
      </c>
      <c r="D36" s="14">
        <v>38</v>
      </c>
      <c r="E36" s="14">
        <v>13</v>
      </c>
      <c r="F36" s="14">
        <v>8</v>
      </c>
      <c r="G36" s="14">
        <v>17</v>
      </c>
      <c r="H36" s="14">
        <v>55</v>
      </c>
      <c r="I36" s="14">
        <v>61</v>
      </c>
      <c r="J36" s="14">
        <v>-6</v>
      </c>
      <c r="K36" s="14">
        <v>47</v>
      </c>
      <c r="L36" s="14">
        <v>1.24</v>
      </c>
      <c r="M36" s="14">
        <v>50.8</v>
      </c>
      <c r="N36" s="14">
        <v>62.9</v>
      </c>
      <c r="O36" s="14">
        <v>-12.1</v>
      </c>
      <c r="P36" s="14">
        <v>-0.32</v>
      </c>
      <c r="Q36" s="15">
        <v>24302</v>
      </c>
      <c r="R36" s="16" t="s">
        <v>1595</v>
      </c>
      <c r="S36" s="16" t="s">
        <v>1596</v>
      </c>
      <c r="T36" s="17"/>
    </row>
    <row r="37" spans="1:20" ht="12.3">
      <c r="A37" s="12">
        <v>14</v>
      </c>
      <c r="B37" s="13" t="s">
        <v>1597</v>
      </c>
      <c r="C37" s="14">
        <v>2024</v>
      </c>
      <c r="D37" s="14">
        <v>38</v>
      </c>
      <c r="E37" s="14">
        <v>13</v>
      </c>
      <c r="F37" s="14">
        <v>7</v>
      </c>
      <c r="G37" s="14">
        <v>18</v>
      </c>
      <c r="H37" s="14">
        <v>50</v>
      </c>
      <c r="I37" s="14">
        <v>65</v>
      </c>
      <c r="J37" s="14">
        <v>-15</v>
      </c>
      <c r="K37" s="14">
        <v>46</v>
      </c>
      <c r="L37" s="14">
        <v>1.21</v>
      </c>
      <c r="M37" s="14">
        <v>46.7</v>
      </c>
      <c r="N37" s="14">
        <v>67.7</v>
      </c>
      <c r="O37" s="14">
        <v>-21</v>
      </c>
      <c r="P37" s="14">
        <v>-0.55000000000000004</v>
      </c>
      <c r="Q37" s="15">
        <v>31029</v>
      </c>
      <c r="R37" s="16" t="s">
        <v>1598</v>
      </c>
      <c r="S37" s="16" t="s">
        <v>1599</v>
      </c>
      <c r="T37" s="17"/>
    </row>
    <row r="38" spans="1:20" ht="12.3">
      <c r="A38" s="12">
        <v>15</v>
      </c>
      <c r="B38" s="13" t="s">
        <v>1600</v>
      </c>
      <c r="C38" s="14">
        <v>2024</v>
      </c>
      <c r="D38" s="14">
        <v>38</v>
      </c>
      <c r="E38" s="14">
        <v>13</v>
      </c>
      <c r="F38" s="14">
        <v>9</v>
      </c>
      <c r="G38" s="14">
        <v>16</v>
      </c>
      <c r="H38" s="14">
        <v>40</v>
      </c>
      <c r="I38" s="14">
        <v>51</v>
      </c>
      <c r="J38" s="14">
        <v>-11</v>
      </c>
      <c r="K38" s="14">
        <v>40</v>
      </c>
      <c r="L38" s="14">
        <v>1.05</v>
      </c>
      <c r="M38" s="14">
        <v>54</v>
      </c>
      <c r="N38" s="14">
        <v>55.2</v>
      </c>
      <c r="O38" s="14">
        <v>-1.2</v>
      </c>
      <c r="P38" s="14">
        <v>-0.03</v>
      </c>
      <c r="Q38" s="15">
        <v>39042</v>
      </c>
      <c r="R38" s="16" t="s">
        <v>1601</v>
      </c>
      <c r="S38" s="16" t="s">
        <v>1602</v>
      </c>
      <c r="T38" s="17" t="s">
        <v>1603</v>
      </c>
    </row>
    <row r="39" spans="1:20" ht="12.3">
      <c r="A39" s="12">
        <v>16</v>
      </c>
      <c r="B39" s="13" t="s">
        <v>1604</v>
      </c>
      <c r="C39" s="14">
        <v>2024</v>
      </c>
      <c r="D39" s="14">
        <v>38</v>
      </c>
      <c r="E39" s="14">
        <v>10</v>
      </c>
      <c r="F39" s="14">
        <v>9</v>
      </c>
      <c r="G39" s="14">
        <v>19</v>
      </c>
      <c r="H39" s="14">
        <v>56</v>
      </c>
      <c r="I39" s="14">
        <v>65</v>
      </c>
      <c r="J39" s="14">
        <v>-9</v>
      </c>
      <c r="K39" s="14">
        <v>39</v>
      </c>
      <c r="L39" s="14">
        <v>1.03</v>
      </c>
      <c r="M39" s="14">
        <v>58.2</v>
      </c>
      <c r="N39" s="14">
        <v>56</v>
      </c>
      <c r="O39" s="14">
        <f>2.2</f>
        <v>2.2000000000000002</v>
      </c>
      <c r="P39" s="14">
        <f>0.06</f>
        <v>0.06</v>
      </c>
      <c r="Q39" s="15">
        <v>17082</v>
      </c>
      <c r="R39" s="16" t="s">
        <v>1605</v>
      </c>
      <c r="S39" s="16" t="s">
        <v>1606</v>
      </c>
      <c r="T39" s="17"/>
    </row>
    <row r="40" spans="1:20" ht="12.3">
      <c r="A40" s="12">
        <v>17</v>
      </c>
      <c r="B40" s="13" t="s">
        <v>1607</v>
      </c>
      <c r="C40" s="14">
        <v>2024</v>
      </c>
      <c r="D40" s="14">
        <v>38</v>
      </c>
      <c r="E40" s="14">
        <v>9</v>
      </c>
      <c r="F40" s="14">
        <v>9</v>
      </c>
      <c r="G40" s="14">
        <v>20</v>
      </c>
      <c r="H40" s="14">
        <v>49</v>
      </c>
      <c r="I40" s="14">
        <v>67</v>
      </c>
      <c r="J40" s="14">
        <v>-18</v>
      </c>
      <c r="K40" s="14">
        <v>32</v>
      </c>
      <c r="L40" s="14">
        <v>0.84</v>
      </c>
      <c r="M40" s="14">
        <v>49.9</v>
      </c>
      <c r="N40" s="14">
        <v>53.3</v>
      </c>
      <c r="O40" s="14">
        <v>-3.4</v>
      </c>
      <c r="P40" s="14">
        <v>-0.09</v>
      </c>
      <c r="Q40" s="15">
        <v>29386</v>
      </c>
      <c r="R40" s="16" t="s">
        <v>1608</v>
      </c>
      <c r="S40" s="16" t="s">
        <v>1609</v>
      </c>
      <c r="T40" s="17" t="s">
        <v>1610</v>
      </c>
    </row>
    <row r="41" spans="1:20" ht="12.3">
      <c r="A41" s="18">
        <v>18</v>
      </c>
      <c r="B41" s="13" t="s">
        <v>1611</v>
      </c>
      <c r="C41" s="14">
        <v>2024</v>
      </c>
      <c r="D41" s="14">
        <v>38</v>
      </c>
      <c r="E41" s="14">
        <v>6</v>
      </c>
      <c r="F41" s="14">
        <v>8</v>
      </c>
      <c r="G41" s="14">
        <v>24</v>
      </c>
      <c r="H41" s="14">
        <v>52</v>
      </c>
      <c r="I41" s="14">
        <v>85</v>
      </c>
      <c r="J41" s="14">
        <v>-33</v>
      </c>
      <c r="K41" s="14">
        <v>26</v>
      </c>
      <c r="L41" s="14">
        <v>0.68</v>
      </c>
      <c r="M41" s="14">
        <v>42.4</v>
      </c>
      <c r="N41" s="14">
        <v>78</v>
      </c>
      <c r="O41" s="14">
        <v>-35.5</v>
      </c>
      <c r="P41" s="14">
        <v>-0.94</v>
      </c>
      <c r="Q41" s="15">
        <v>11240</v>
      </c>
      <c r="R41" s="16" t="s">
        <v>1612</v>
      </c>
      <c r="S41" s="16" t="s">
        <v>1613</v>
      </c>
      <c r="T41" s="17" t="s">
        <v>894</v>
      </c>
    </row>
    <row r="42" spans="1:20" ht="12.3">
      <c r="A42" s="18">
        <v>19</v>
      </c>
      <c r="B42" s="13" t="s">
        <v>1614</v>
      </c>
      <c r="C42" s="14">
        <v>2024</v>
      </c>
      <c r="D42" s="14">
        <v>38</v>
      </c>
      <c r="E42" s="14">
        <v>5</v>
      </c>
      <c r="F42" s="14">
        <v>9</v>
      </c>
      <c r="G42" s="14">
        <v>24</v>
      </c>
      <c r="H42" s="14">
        <v>41</v>
      </c>
      <c r="I42" s="14">
        <v>78</v>
      </c>
      <c r="J42" s="14">
        <v>-37</v>
      </c>
      <c r="K42" s="14">
        <v>24</v>
      </c>
      <c r="L42" s="14">
        <v>0.63</v>
      </c>
      <c r="M42" s="14">
        <v>40.6</v>
      </c>
      <c r="N42" s="14">
        <v>70.400000000000006</v>
      </c>
      <c r="O42" s="14">
        <v>-29.7</v>
      </c>
      <c r="P42" s="14">
        <v>-0.78</v>
      </c>
      <c r="Q42" s="15">
        <v>21184</v>
      </c>
      <c r="R42" s="16" t="s">
        <v>1615</v>
      </c>
      <c r="S42" s="16" t="s">
        <v>1616</v>
      </c>
      <c r="T42" s="17" t="s">
        <v>894</v>
      </c>
    </row>
    <row r="43" spans="1:20" ht="12.3">
      <c r="A43" s="19">
        <v>20</v>
      </c>
      <c r="B43" s="20" t="s">
        <v>1617</v>
      </c>
      <c r="C43" s="14">
        <v>2024</v>
      </c>
      <c r="D43" s="21">
        <v>38</v>
      </c>
      <c r="E43" s="21">
        <v>3</v>
      </c>
      <c r="F43" s="21">
        <v>7</v>
      </c>
      <c r="G43" s="21">
        <v>28</v>
      </c>
      <c r="H43" s="21">
        <v>35</v>
      </c>
      <c r="I43" s="21">
        <v>104</v>
      </c>
      <c r="J43" s="21">
        <v>-69</v>
      </c>
      <c r="K43" s="21">
        <v>16</v>
      </c>
      <c r="L43" s="21">
        <v>0.42</v>
      </c>
      <c r="M43" s="21">
        <v>38.299999999999997</v>
      </c>
      <c r="N43" s="21">
        <v>76.599999999999994</v>
      </c>
      <c r="O43" s="21">
        <v>-38.299999999999997</v>
      </c>
      <c r="P43" s="21">
        <v>-1.01</v>
      </c>
      <c r="Q43" s="22">
        <v>30011</v>
      </c>
      <c r="R43" s="23" t="s">
        <v>1618</v>
      </c>
      <c r="S43" s="23" t="s">
        <v>1619</v>
      </c>
      <c r="T43" s="24" t="s">
        <v>894</v>
      </c>
    </row>
    <row r="45" spans="1:20" ht="12.3">
      <c r="A45" s="10" t="s">
        <v>820</v>
      </c>
      <c r="B45" s="11" t="s">
        <v>821</v>
      </c>
      <c r="C45" s="11" t="s">
        <v>2</v>
      </c>
      <c r="D45" s="11" t="s">
        <v>822</v>
      </c>
      <c r="E45" s="11" t="s">
        <v>823</v>
      </c>
      <c r="F45" s="11" t="s">
        <v>824</v>
      </c>
      <c r="G45" s="11" t="s">
        <v>825</v>
      </c>
      <c r="H45" s="11" t="s">
        <v>826</v>
      </c>
      <c r="I45" s="11" t="s">
        <v>827</v>
      </c>
      <c r="J45" s="11" t="s">
        <v>828</v>
      </c>
      <c r="K45" s="11" t="s">
        <v>829</v>
      </c>
      <c r="L45" s="11" t="s">
        <v>830</v>
      </c>
      <c r="M45" s="11" t="s">
        <v>831</v>
      </c>
      <c r="N45" s="11" t="s">
        <v>832</v>
      </c>
      <c r="O45" s="11" t="s">
        <v>833</v>
      </c>
      <c r="P45" s="11" t="s">
        <v>834</v>
      </c>
      <c r="Q45" s="11" t="s">
        <v>835</v>
      </c>
      <c r="R45" s="11" t="s">
        <v>836</v>
      </c>
      <c r="S45" s="11" t="s">
        <v>837</v>
      </c>
      <c r="T45" s="11" t="s">
        <v>838</v>
      </c>
    </row>
    <row r="46" spans="1:20" ht="12.3">
      <c r="A46" s="12">
        <v>1</v>
      </c>
      <c r="B46" s="13" t="s">
        <v>1620</v>
      </c>
      <c r="C46" s="14">
        <v>2023</v>
      </c>
      <c r="D46" s="14">
        <v>38</v>
      </c>
      <c r="E46" s="14">
        <v>28</v>
      </c>
      <c r="F46" s="14">
        <v>5</v>
      </c>
      <c r="G46" s="14">
        <v>5</v>
      </c>
      <c r="H46" s="14">
        <v>94</v>
      </c>
      <c r="I46" s="14">
        <v>33</v>
      </c>
      <c r="J46" s="14">
        <f>61</f>
        <v>61</v>
      </c>
      <c r="K46" s="14">
        <v>89</v>
      </c>
      <c r="L46" s="14">
        <v>2.34</v>
      </c>
      <c r="M46" s="14">
        <v>78.599999999999994</v>
      </c>
      <c r="N46" s="14">
        <v>32.1</v>
      </c>
      <c r="O46" s="14">
        <f>46.5</f>
        <v>46.5</v>
      </c>
      <c r="P46" s="14">
        <f>1.22</f>
        <v>1.22</v>
      </c>
      <c r="Q46" s="15">
        <v>53249</v>
      </c>
      <c r="R46" s="16" t="s">
        <v>1621</v>
      </c>
      <c r="S46" s="16" t="s">
        <v>1622</v>
      </c>
      <c r="T46" s="17" t="s">
        <v>842</v>
      </c>
    </row>
    <row r="47" spans="1:20" ht="12.3">
      <c r="A47" s="12">
        <v>2</v>
      </c>
      <c r="B47" s="13" t="s">
        <v>1623</v>
      </c>
      <c r="C47" s="14">
        <v>2023</v>
      </c>
      <c r="D47" s="14">
        <v>38</v>
      </c>
      <c r="E47" s="14">
        <v>26</v>
      </c>
      <c r="F47" s="14">
        <v>6</v>
      </c>
      <c r="G47" s="14">
        <v>6</v>
      </c>
      <c r="H47" s="14">
        <v>88</v>
      </c>
      <c r="I47" s="14">
        <v>43</v>
      </c>
      <c r="J47" s="14">
        <f>45</f>
        <v>45</v>
      </c>
      <c r="K47" s="14">
        <v>84</v>
      </c>
      <c r="L47" s="14">
        <v>2.21</v>
      </c>
      <c r="M47" s="14">
        <v>71.599999999999994</v>
      </c>
      <c r="N47" s="14">
        <v>42</v>
      </c>
      <c r="O47" s="14">
        <f>29.6</f>
        <v>29.6</v>
      </c>
      <c r="P47" s="14">
        <f>0.78</f>
        <v>0.78</v>
      </c>
      <c r="Q47" s="15">
        <v>60191</v>
      </c>
      <c r="R47" s="16" t="s">
        <v>1624</v>
      </c>
      <c r="S47" s="16" t="s">
        <v>1625</v>
      </c>
      <c r="T47" s="17" t="s">
        <v>842</v>
      </c>
    </row>
    <row r="48" spans="1:20" ht="12.3">
      <c r="A48" s="12">
        <v>3</v>
      </c>
      <c r="B48" s="13" t="s">
        <v>1626</v>
      </c>
      <c r="C48" s="14">
        <v>2023</v>
      </c>
      <c r="D48" s="14">
        <v>38</v>
      </c>
      <c r="E48" s="14">
        <v>23</v>
      </c>
      <c r="F48" s="14">
        <v>6</v>
      </c>
      <c r="G48" s="14">
        <v>9</v>
      </c>
      <c r="H48" s="14">
        <v>58</v>
      </c>
      <c r="I48" s="14">
        <v>43</v>
      </c>
      <c r="J48" s="14">
        <f>15</f>
        <v>15</v>
      </c>
      <c r="K48" s="14">
        <v>75</v>
      </c>
      <c r="L48" s="14">
        <v>1.97</v>
      </c>
      <c r="M48" s="14">
        <v>67.7</v>
      </c>
      <c r="N48" s="14">
        <v>50.4</v>
      </c>
      <c r="O48" s="14">
        <f>17.3</f>
        <v>17.3</v>
      </c>
      <c r="P48" s="14">
        <f>0.45</f>
        <v>0.45</v>
      </c>
      <c r="Q48" s="15">
        <v>73671</v>
      </c>
      <c r="R48" s="16" t="s">
        <v>1627</v>
      </c>
      <c r="S48" s="16" t="s">
        <v>1628</v>
      </c>
      <c r="T48" s="17" t="s">
        <v>842</v>
      </c>
    </row>
    <row r="49" spans="1:20" ht="12.3">
      <c r="A49" s="12">
        <v>4</v>
      </c>
      <c r="B49" s="13" t="s">
        <v>1629</v>
      </c>
      <c r="C49" s="14">
        <v>2023</v>
      </c>
      <c r="D49" s="14">
        <v>38</v>
      </c>
      <c r="E49" s="14">
        <v>19</v>
      </c>
      <c r="F49" s="14">
        <v>14</v>
      </c>
      <c r="G49" s="14">
        <v>5</v>
      </c>
      <c r="H49" s="14">
        <v>68</v>
      </c>
      <c r="I49" s="14">
        <v>33</v>
      </c>
      <c r="J49" s="14">
        <f>35</f>
        <v>35</v>
      </c>
      <c r="K49" s="14">
        <v>71</v>
      </c>
      <c r="L49" s="14">
        <v>1.87</v>
      </c>
      <c r="M49" s="14">
        <v>71.900000000000006</v>
      </c>
      <c r="N49" s="14">
        <v>39.5</v>
      </c>
      <c r="O49" s="14">
        <f>32.3</f>
        <v>32.299999999999997</v>
      </c>
      <c r="P49" s="14">
        <f>0.85</f>
        <v>0.85</v>
      </c>
      <c r="Q49" s="15">
        <v>52127</v>
      </c>
      <c r="R49" s="16" t="s">
        <v>1630</v>
      </c>
      <c r="S49" s="16" t="s">
        <v>1631</v>
      </c>
      <c r="T49" s="17" t="s">
        <v>842</v>
      </c>
    </row>
    <row r="50" spans="1:20" ht="12.3">
      <c r="A50" s="12">
        <v>5</v>
      </c>
      <c r="B50" s="13" t="s">
        <v>1632</v>
      </c>
      <c r="C50" s="14">
        <v>2023</v>
      </c>
      <c r="D50" s="14">
        <v>38</v>
      </c>
      <c r="E50" s="14">
        <v>19</v>
      </c>
      <c r="F50" s="14">
        <v>10</v>
      </c>
      <c r="G50" s="14">
        <v>9</v>
      </c>
      <c r="H50" s="14">
        <v>75</v>
      </c>
      <c r="I50" s="14">
        <v>47</v>
      </c>
      <c r="J50" s="14">
        <f>28</f>
        <v>28</v>
      </c>
      <c r="K50" s="14">
        <v>67</v>
      </c>
      <c r="L50" s="14">
        <v>1.76</v>
      </c>
      <c r="M50" s="14">
        <v>71.5</v>
      </c>
      <c r="N50" s="14">
        <v>50.8</v>
      </c>
      <c r="O50" s="14">
        <f>20.7</f>
        <v>20.7</v>
      </c>
      <c r="P50" s="14">
        <f>0.55</f>
        <v>0.55000000000000004</v>
      </c>
      <c r="Q50" s="15">
        <v>53163</v>
      </c>
      <c r="R50" s="16" t="s">
        <v>1633</v>
      </c>
      <c r="S50" s="16" t="s">
        <v>1634</v>
      </c>
      <c r="T50" s="17" t="s">
        <v>855</v>
      </c>
    </row>
    <row r="51" spans="1:20" ht="12.3">
      <c r="A51" s="12">
        <v>6</v>
      </c>
      <c r="B51" s="13" t="s">
        <v>1635</v>
      </c>
      <c r="C51" s="14">
        <v>2023</v>
      </c>
      <c r="D51" s="14">
        <v>38</v>
      </c>
      <c r="E51" s="14">
        <v>18</v>
      </c>
      <c r="F51" s="14">
        <v>8</v>
      </c>
      <c r="G51" s="14">
        <v>12</v>
      </c>
      <c r="H51" s="14">
        <v>72</v>
      </c>
      <c r="I51" s="14">
        <v>53</v>
      </c>
      <c r="J51" s="14">
        <f>19</f>
        <v>19</v>
      </c>
      <c r="K51" s="14">
        <v>62</v>
      </c>
      <c r="L51" s="14">
        <v>1.63</v>
      </c>
      <c r="M51" s="14">
        <v>73.3</v>
      </c>
      <c r="N51" s="14">
        <v>50.2</v>
      </c>
      <c r="O51" s="14">
        <f>23.1</f>
        <v>23.1</v>
      </c>
      <c r="P51" s="14">
        <f>0.61</f>
        <v>0.61</v>
      </c>
      <c r="Q51" s="15">
        <v>31477</v>
      </c>
      <c r="R51" s="16" t="s">
        <v>1636</v>
      </c>
      <c r="S51" s="16" t="s">
        <v>1637</v>
      </c>
      <c r="T51" s="17" t="s">
        <v>855</v>
      </c>
    </row>
    <row r="52" spans="1:20" ht="12.3">
      <c r="A52" s="12">
        <v>7</v>
      </c>
      <c r="B52" s="13" t="s">
        <v>1638</v>
      </c>
      <c r="C52" s="14">
        <v>2023</v>
      </c>
      <c r="D52" s="14">
        <v>38</v>
      </c>
      <c r="E52" s="14">
        <v>18</v>
      </c>
      <c r="F52" s="14">
        <v>7</v>
      </c>
      <c r="G52" s="14">
        <v>13</v>
      </c>
      <c r="H52" s="14">
        <v>51</v>
      </c>
      <c r="I52" s="14">
        <v>46</v>
      </c>
      <c r="J52" s="14">
        <f>5</f>
        <v>5</v>
      </c>
      <c r="K52" s="14">
        <v>61</v>
      </c>
      <c r="L52" s="14">
        <v>1.61</v>
      </c>
      <c r="M52" s="14">
        <v>50.3</v>
      </c>
      <c r="N52" s="14">
        <v>52.5</v>
      </c>
      <c r="O52" s="14">
        <v>-2.2000000000000002</v>
      </c>
      <c r="P52" s="14">
        <v>-0.06</v>
      </c>
      <c r="Q52" s="15">
        <v>41679</v>
      </c>
      <c r="R52" s="16" t="s">
        <v>1639</v>
      </c>
      <c r="S52" s="16" t="s">
        <v>1640</v>
      </c>
      <c r="T52" s="17" t="s">
        <v>862</v>
      </c>
    </row>
    <row r="53" spans="1:20" ht="12.3">
      <c r="A53" s="12">
        <v>8</v>
      </c>
      <c r="B53" s="13" t="s">
        <v>1641</v>
      </c>
      <c r="C53" s="14">
        <v>2023</v>
      </c>
      <c r="D53" s="14">
        <v>38</v>
      </c>
      <c r="E53" s="14">
        <v>18</v>
      </c>
      <c r="F53" s="14">
        <v>6</v>
      </c>
      <c r="G53" s="14">
        <v>14</v>
      </c>
      <c r="H53" s="14">
        <v>70</v>
      </c>
      <c r="I53" s="14">
        <v>63</v>
      </c>
      <c r="J53" s="14">
        <f>7</f>
        <v>7</v>
      </c>
      <c r="K53" s="14">
        <v>60</v>
      </c>
      <c r="L53" s="14">
        <v>1.58</v>
      </c>
      <c r="M53" s="14">
        <v>57</v>
      </c>
      <c r="N53" s="14">
        <v>49.6</v>
      </c>
      <c r="O53" s="14">
        <f>7.4</f>
        <v>7.4</v>
      </c>
      <c r="P53" s="14">
        <f t="shared" ref="P53:P54" si="3">0.2</f>
        <v>0.2</v>
      </c>
      <c r="Q53" s="15">
        <v>61585</v>
      </c>
      <c r="R53" s="16" t="s">
        <v>1642</v>
      </c>
      <c r="S53" s="16" t="s">
        <v>1643</v>
      </c>
      <c r="T53" s="17"/>
    </row>
    <row r="54" spans="1:20" ht="12.3">
      <c r="A54" s="12">
        <v>9</v>
      </c>
      <c r="B54" s="13" t="s">
        <v>1644</v>
      </c>
      <c r="C54" s="14">
        <v>2023</v>
      </c>
      <c r="D54" s="14">
        <v>38</v>
      </c>
      <c r="E54" s="14">
        <v>15</v>
      </c>
      <c r="F54" s="14">
        <v>14</v>
      </c>
      <c r="G54" s="14">
        <v>9</v>
      </c>
      <c r="H54" s="14">
        <v>58</v>
      </c>
      <c r="I54" s="14">
        <v>46</v>
      </c>
      <c r="J54" s="14">
        <f>12</f>
        <v>12</v>
      </c>
      <c r="K54" s="14">
        <v>59</v>
      </c>
      <c r="L54" s="14">
        <v>1.55</v>
      </c>
      <c r="M54" s="14">
        <v>56.3</v>
      </c>
      <c r="N54" s="14">
        <v>48.8</v>
      </c>
      <c r="O54" s="14">
        <f>7.5</f>
        <v>7.5</v>
      </c>
      <c r="P54" s="14">
        <f t="shared" si="3"/>
        <v>0.2</v>
      </c>
      <c r="Q54" s="15">
        <v>17078</v>
      </c>
      <c r="R54" s="16" t="s">
        <v>1645</v>
      </c>
      <c r="S54" s="16" t="s">
        <v>1646</v>
      </c>
      <c r="T54" s="17"/>
    </row>
    <row r="55" spans="1:20" ht="12.3">
      <c r="A55" s="12">
        <v>10</v>
      </c>
      <c r="B55" s="13" t="s">
        <v>1647</v>
      </c>
      <c r="C55" s="14">
        <v>2023</v>
      </c>
      <c r="D55" s="14">
        <v>38</v>
      </c>
      <c r="E55" s="14">
        <v>15</v>
      </c>
      <c r="F55" s="14">
        <v>7</v>
      </c>
      <c r="G55" s="14">
        <v>16</v>
      </c>
      <c r="H55" s="14">
        <v>55</v>
      </c>
      <c r="I55" s="14">
        <v>53</v>
      </c>
      <c r="J55" s="14">
        <f>2</f>
        <v>2</v>
      </c>
      <c r="K55" s="14">
        <v>52</v>
      </c>
      <c r="L55" s="14">
        <v>1.37</v>
      </c>
      <c r="M55" s="14">
        <v>46.2</v>
      </c>
      <c r="N55" s="14">
        <v>63.6</v>
      </c>
      <c r="O55" s="14">
        <v>-17.399999999999999</v>
      </c>
      <c r="P55" s="14">
        <v>-0.46</v>
      </c>
      <c r="Q55" s="15">
        <v>23746</v>
      </c>
      <c r="R55" s="16" t="s">
        <v>1648</v>
      </c>
      <c r="S55" s="16" t="s">
        <v>1649</v>
      </c>
      <c r="T55" s="17"/>
    </row>
    <row r="56" spans="1:20" ht="12.3">
      <c r="A56" s="12">
        <v>11</v>
      </c>
      <c r="B56" s="13" t="s">
        <v>1650</v>
      </c>
      <c r="C56" s="14">
        <v>2023</v>
      </c>
      <c r="D56" s="14">
        <v>38</v>
      </c>
      <c r="E56" s="14">
        <v>11</v>
      </c>
      <c r="F56" s="14">
        <v>12</v>
      </c>
      <c r="G56" s="14">
        <v>15</v>
      </c>
      <c r="H56" s="14">
        <v>40</v>
      </c>
      <c r="I56" s="14">
        <v>49</v>
      </c>
      <c r="J56" s="14">
        <v>-9</v>
      </c>
      <c r="K56" s="14">
        <v>45</v>
      </c>
      <c r="L56" s="14">
        <v>1.18</v>
      </c>
      <c r="M56" s="14">
        <v>39.299999999999997</v>
      </c>
      <c r="N56" s="14">
        <v>48.1</v>
      </c>
      <c r="O56" s="14">
        <v>-8.8000000000000007</v>
      </c>
      <c r="P56" s="14">
        <v>-0.23</v>
      </c>
      <c r="Q56" s="15">
        <v>24952</v>
      </c>
      <c r="R56" s="16" t="s">
        <v>1651</v>
      </c>
      <c r="S56" s="16" t="s">
        <v>1652</v>
      </c>
      <c r="T56" s="17"/>
    </row>
    <row r="57" spans="1:20" ht="12.3">
      <c r="A57" s="12">
        <v>12</v>
      </c>
      <c r="B57" s="13" t="s">
        <v>1653</v>
      </c>
      <c r="C57" s="14">
        <v>2023</v>
      </c>
      <c r="D57" s="14">
        <v>38</v>
      </c>
      <c r="E57" s="14">
        <v>11</v>
      </c>
      <c r="F57" s="14">
        <v>11</v>
      </c>
      <c r="G57" s="14">
        <v>16</v>
      </c>
      <c r="H57" s="14">
        <v>38</v>
      </c>
      <c r="I57" s="14">
        <v>47</v>
      </c>
      <c r="J57" s="14">
        <v>-9</v>
      </c>
      <c r="K57" s="14">
        <v>44</v>
      </c>
      <c r="L57" s="14">
        <v>1.1599999999999999</v>
      </c>
      <c r="M57" s="14">
        <v>49.5</v>
      </c>
      <c r="N57" s="14">
        <v>52.5</v>
      </c>
      <c r="O57" s="14">
        <v>-3</v>
      </c>
      <c r="P57" s="14">
        <v>-0.08</v>
      </c>
      <c r="Q57" s="15">
        <v>40002</v>
      </c>
      <c r="R57" s="16" t="s">
        <v>1654</v>
      </c>
      <c r="S57" s="16" t="s">
        <v>1655</v>
      </c>
      <c r="T57" s="17"/>
    </row>
    <row r="58" spans="1:20" ht="12.3">
      <c r="A58" s="12">
        <v>13</v>
      </c>
      <c r="B58" s="13" t="s">
        <v>1656</v>
      </c>
      <c r="C58" s="14">
        <v>2023</v>
      </c>
      <c r="D58" s="14">
        <v>38</v>
      </c>
      <c r="E58" s="14">
        <v>11</v>
      </c>
      <c r="F58" s="14">
        <v>8</v>
      </c>
      <c r="G58" s="14">
        <v>19</v>
      </c>
      <c r="H58" s="14">
        <v>31</v>
      </c>
      <c r="I58" s="14">
        <v>58</v>
      </c>
      <c r="J58" s="14">
        <v>-27</v>
      </c>
      <c r="K58" s="14">
        <v>41</v>
      </c>
      <c r="L58" s="14">
        <v>1.08</v>
      </c>
      <c r="M58" s="14">
        <v>36.799999999999997</v>
      </c>
      <c r="N58" s="14">
        <v>59.9</v>
      </c>
      <c r="O58" s="14">
        <v>-23</v>
      </c>
      <c r="P58" s="14">
        <v>-0.61</v>
      </c>
      <c r="Q58" s="15">
        <v>31482</v>
      </c>
      <c r="R58" s="16" t="s">
        <v>1657</v>
      </c>
      <c r="S58" s="16" t="s">
        <v>1658</v>
      </c>
      <c r="T58" s="17"/>
    </row>
    <row r="59" spans="1:20" ht="12.3">
      <c r="A59" s="12">
        <v>14</v>
      </c>
      <c r="B59" s="13" t="s">
        <v>1659</v>
      </c>
      <c r="C59" s="14">
        <v>2023</v>
      </c>
      <c r="D59" s="14">
        <v>38</v>
      </c>
      <c r="E59" s="14">
        <v>11</v>
      </c>
      <c r="F59" s="14">
        <v>7</v>
      </c>
      <c r="G59" s="14">
        <v>20</v>
      </c>
      <c r="H59" s="14">
        <v>42</v>
      </c>
      <c r="I59" s="14">
        <v>55</v>
      </c>
      <c r="J59" s="14">
        <v>-13</v>
      </c>
      <c r="K59" s="14">
        <v>40</v>
      </c>
      <c r="L59" s="14">
        <v>1.05</v>
      </c>
      <c r="M59" s="14">
        <v>49.2</v>
      </c>
      <c r="N59" s="14">
        <v>53</v>
      </c>
      <c r="O59" s="14">
        <v>-3.9</v>
      </c>
      <c r="P59" s="14">
        <v>-0.1</v>
      </c>
      <c r="Q59" s="15">
        <v>62462</v>
      </c>
      <c r="R59" s="16" t="s">
        <v>1660</v>
      </c>
      <c r="S59" s="16" t="s">
        <v>1661</v>
      </c>
      <c r="T59" s="17"/>
    </row>
    <row r="60" spans="1:20" ht="12.3">
      <c r="A60" s="12">
        <v>15</v>
      </c>
      <c r="B60" s="13" t="s">
        <v>1662</v>
      </c>
      <c r="C60" s="14">
        <v>2023</v>
      </c>
      <c r="D60" s="14">
        <v>38</v>
      </c>
      <c r="E60" s="14">
        <v>11</v>
      </c>
      <c r="F60" s="14">
        <v>6</v>
      </c>
      <c r="G60" s="14">
        <v>21</v>
      </c>
      <c r="H60" s="14">
        <v>37</v>
      </c>
      <c r="I60" s="14">
        <v>71</v>
      </c>
      <c r="J60" s="14">
        <v>-34</v>
      </c>
      <c r="K60" s="14">
        <v>39</v>
      </c>
      <c r="L60" s="14">
        <v>1.03</v>
      </c>
      <c r="M60" s="14">
        <v>38.5</v>
      </c>
      <c r="N60" s="14">
        <v>63.8</v>
      </c>
      <c r="O60" s="14">
        <v>-25.3</v>
      </c>
      <c r="P60" s="14">
        <v>-0.67</v>
      </c>
      <c r="Q60" s="15">
        <v>10362</v>
      </c>
      <c r="R60" s="16" t="s">
        <v>1663</v>
      </c>
      <c r="S60" s="16" t="s">
        <v>1664</v>
      </c>
      <c r="T60" s="17"/>
    </row>
    <row r="61" spans="1:20" ht="12.3">
      <c r="A61" s="12">
        <v>16</v>
      </c>
      <c r="B61" s="13" t="s">
        <v>1665</v>
      </c>
      <c r="C61" s="14">
        <v>2023</v>
      </c>
      <c r="D61" s="14">
        <v>38</v>
      </c>
      <c r="E61" s="14">
        <v>9</v>
      </c>
      <c r="F61" s="14">
        <v>11</v>
      </c>
      <c r="G61" s="14">
        <v>18</v>
      </c>
      <c r="H61" s="14">
        <v>38</v>
      </c>
      <c r="I61" s="14">
        <v>68</v>
      </c>
      <c r="J61" s="14">
        <v>-30</v>
      </c>
      <c r="K61" s="14">
        <v>38</v>
      </c>
      <c r="L61" s="14">
        <v>1</v>
      </c>
      <c r="M61" s="14">
        <v>39.299999999999997</v>
      </c>
      <c r="N61" s="14">
        <v>64.2</v>
      </c>
      <c r="O61" s="14">
        <v>-24.9</v>
      </c>
      <c r="P61" s="14">
        <v>-0.66</v>
      </c>
      <c r="Q61" s="15">
        <v>29188</v>
      </c>
      <c r="R61" s="16" t="s">
        <v>1666</v>
      </c>
      <c r="S61" s="16" t="s">
        <v>1667</v>
      </c>
      <c r="T61" s="17"/>
    </row>
    <row r="62" spans="1:20" ht="12.3">
      <c r="A62" s="12">
        <v>17</v>
      </c>
      <c r="B62" s="13" t="s">
        <v>1668</v>
      </c>
      <c r="C62" s="14">
        <v>2023</v>
      </c>
      <c r="D62" s="14">
        <v>38</v>
      </c>
      <c r="E62" s="14">
        <v>8</v>
      </c>
      <c r="F62" s="14">
        <v>12</v>
      </c>
      <c r="G62" s="14">
        <v>18</v>
      </c>
      <c r="H62" s="14">
        <v>34</v>
      </c>
      <c r="I62" s="14">
        <v>57</v>
      </c>
      <c r="J62" s="14">
        <v>-23</v>
      </c>
      <c r="K62" s="14">
        <v>36</v>
      </c>
      <c r="L62" s="14">
        <v>0.95</v>
      </c>
      <c r="M62" s="14">
        <v>45.2</v>
      </c>
      <c r="N62" s="14">
        <v>65.5</v>
      </c>
      <c r="O62" s="14">
        <v>-20.399999999999999</v>
      </c>
      <c r="P62" s="14">
        <v>-0.54</v>
      </c>
      <c r="Q62" s="15">
        <v>39243</v>
      </c>
      <c r="R62" s="16" t="s">
        <v>1669</v>
      </c>
      <c r="S62" s="16" t="s">
        <v>1670</v>
      </c>
      <c r="T62" s="17"/>
    </row>
    <row r="63" spans="1:20" ht="12.3">
      <c r="A63" s="18">
        <v>18</v>
      </c>
      <c r="B63" s="13" t="s">
        <v>1671</v>
      </c>
      <c r="C63" s="14">
        <v>2023</v>
      </c>
      <c r="D63" s="14">
        <v>38</v>
      </c>
      <c r="E63" s="14">
        <v>9</v>
      </c>
      <c r="F63" s="14">
        <v>7</v>
      </c>
      <c r="G63" s="14">
        <v>22</v>
      </c>
      <c r="H63" s="14">
        <v>51</v>
      </c>
      <c r="I63" s="14">
        <v>68</v>
      </c>
      <c r="J63" s="14">
        <v>-17</v>
      </c>
      <c r="K63" s="14">
        <v>34</v>
      </c>
      <c r="L63" s="14">
        <v>0.89</v>
      </c>
      <c r="M63" s="14">
        <v>50.5</v>
      </c>
      <c r="N63" s="14">
        <v>63.3</v>
      </c>
      <c r="O63" s="14">
        <v>-12.8</v>
      </c>
      <c r="P63" s="14">
        <v>-0.34</v>
      </c>
      <c r="Q63" s="15">
        <v>31887</v>
      </c>
      <c r="R63" s="16" t="s">
        <v>1672</v>
      </c>
      <c r="S63" s="16" t="s">
        <v>1673</v>
      </c>
      <c r="T63" s="17" t="s">
        <v>894</v>
      </c>
    </row>
    <row r="64" spans="1:20" ht="12.3">
      <c r="A64" s="18">
        <v>19</v>
      </c>
      <c r="B64" s="13" t="s">
        <v>1674</v>
      </c>
      <c r="C64" s="14">
        <v>2023</v>
      </c>
      <c r="D64" s="14">
        <v>38</v>
      </c>
      <c r="E64" s="14">
        <v>7</v>
      </c>
      <c r="F64" s="14">
        <v>10</v>
      </c>
      <c r="G64" s="14">
        <v>21</v>
      </c>
      <c r="H64" s="14">
        <v>48</v>
      </c>
      <c r="I64" s="14">
        <v>78</v>
      </c>
      <c r="J64" s="14">
        <v>-30</v>
      </c>
      <c r="K64" s="14">
        <v>31</v>
      </c>
      <c r="L64" s="14">
        <v>0.82</v>
      </c>
      <c r="M64" s="14">
        <v>47.3</v>
      </c>
      <c r="N64" s="14">
        <v>67.099999999999994</v>
      </c>
      <c r="O64" s="14">
        <v>-19.8</v>
      </c>
      <c r="P64" s="14">
        <v>-0.52</v>
      </c>
      <c r="Q64" s="15">
        <v>36566</v>
      </c>
      <c r="R64" s="16" t="s">
        <v>1675</v>
      </c>
      <c r="S64" s="16" t="s">
        <v>1676</v>
      </c>
      <c r="T64" s="17" t="s">
        <v>894</v>
      </c>
    </row>
    <row r="65" spans="1:20" ht="12.3">
      <c r="A65" s="19">
        <v>20</v>
      </c>
      <c r="B65" s="20" t="s">
        <v>1677</v>
      </c>
      <c r="C65" s="14">
        <v>2023</v>
      </c>
      <c r="D65" s="21">
        <v>38</v>
      </c>
      <c r="E65" s="21">
        <v>6</v>
      </c>
      <c r="F65" s="21">
        <v>7</v>
      </c>
      <c r="G65" s="21">
        <v>25</v>
      </c>
      <c r="H65" s="21">
        <v>36</v>
      </c>
      <c r="I65" s="21">
        <v>73</v>
      </c>
      <c r="J65" s="21">
        <v>-37</v>
      </c>
      <c r="K65" s="21">
        <v>25</v>
      </c>
      <c r="L65" s="21">
        <v>0.66</v>
      </c>
      <c r="M65" s="21">
        <v>37.799999999999997</v>
      </c>
      <c r="N65" s="21">
        <v>60.8</v>
      </c>
      <c r="O65" s="21">
        <v>-23</v>
      </c>
      <c r="P65" s="21">
        <v>-0.61</v>
      </c>
      <c r="Q65" s="22">
        <v>30440</v>
      </c>
      <c r="R65" s="23" t="s">
        <v>1678</v>
      </c>
      <c r="S65" s="23" t="s">
        <v>1679</v>
      </c>
      <c r="T65" s="24" t="s">
        <v>894</v>
      </c>
    </row>
    <row r="67" spans="1:20" ht="12.3">
      <c r="A67" s="10" t="s">
        <v>820</v>
      </c>
      <c r="B67" s="11" t="s">
        <v>821</v>
      </c>
      <c r="C67" s="11" t="s">
        <v>2</v>
      </c>
      <c r="D67" s="11" t="s">
        <v>822</v>
      </c>
      <c r="E67" s="11" t="s">
        <v>823</v>
      </c>
      <c r="F67" s="11" t="s">
        <v>824</v>
      </c>
      <c r="G67" s="11" t="s">
        <v>825</v>
      </c>
      <c r="H67" s="11" t="s">
        <v>826</v>
      </c>
      <c r="I67" s="11" t="s">
        <v>827</v>
      </c>
      <c r="J67" s="11" t="s">
        <v>828</v>
      </c>
      <c r="K67" s="11" t="s">
        <v>829</v>
      </c>
      <c r="L67" s="11" t="s">
        <v>830</v>
      </c>
      <c r="M67" s="11" t="s">
        <v>831</v>
      </c>
      <c r="N67" s="11" t="s">
        <v>832</v>
      </c>
      <c r="O67" s="11" t="s">
        <v>833</v>
      </c>
      <c r="P67" s="11" t="s">
        <v>834</v>
      </c>
      <c r="Q67" s="11" t="s">
        <v>835</v>
      </c>
      <c r="R67" s="11" t="s">
        <v>836</v>
      </c>
      <c r="S67" s="11" t="s">
        <v>837</v>
      </c>
      <c r="T67" s="11" t="s">
        <v>838</v>
      </c>
    </row>
    <row r="68" spans="1:20" ht="12.3">
      <c r="A68" s="12">
        <v>1</v>
      </c>
      <c r="B68" s="13" t="s">
        <v>1680</v>
      </c>
      <c r="C68" s="14">
        <v>2022</v>
      </c>
      <c r="D68" s="14">
        <v>38</v>
      </c>
      <c r="E68" s="14">
        <v>29</v>
      </c>
      <c r="F68" s="14">
        <v>6</v>
      </c>
      <c r="G68" s="14">
        <v>3</v>
      </c>
      <c r="H68" s="14">
        <v>99</v>
      </c>
      <c r="I68" s="14">
        <v>26</v>
      </c>
      <c r="J68" s="14">
        <f>73</f>
        <v>73</v>
      </c>
      <c r="K68" s="14">
        <v>93</v>
      </c>
      <c r="L68" s="14">
        <v>2.4500000000000002</v>
      </c>
      <c r="M68" s="14">
        <v>88.7</v>
      </c>
      <c r="N68" s="14">
        <v>24.6</v>
      </c>
      <c r="O68" s="14">
        <f>64</f>
        <v>64</v>
      </c>
      <c r="P68" s="14">
        <f>1.68</f>
        <v>1.68</v>
      </c>
      <c r="Q68" s="15">
        <v>52774</v>
      </c>
      <c r="R68" s="16" t="s">
        <v>1681</v>
      </c>
      <c r="S68" s="16" t="s">
        <v>1682</v>
      </c>
      <c r="T68" s="17" t="s">
        <v>842</v>
      </c>
    </row>
    <row r="69" spans="1:20" ht="12.3">
      <c r="A69" s="12">
        <v>2</v>
      </c>
      <c r="B69" s="13" t="s">
        <v>1683</v>
      </c>
      <c r="C69" s="14">
        <v>2022</v>
      </c>
      <c r="D69" s="14">
        <v>38</v>
      </c>
      <c r="E69" s="14">
        <v>28</v>
      </c>
      <c r="F69" s="14">
        <v>8</v>
      </c>
      <c r="G69" s="14">
        <v>2</v>
      </c>
      <c r="H69" s="14">
        <v>94</v>
      </c>
      <c r="I69" s="14">
        <v>26</v>
      </c>
      <c r="J69" s="14">
        <f>68</f>
        <v>68</v>
      </c>
      <c r="K69" s="14">
        <v>92</v>
      </c>
      <c r="L69" s="14">
        <v>2.42</v>
      </c>
      <c r="M69" s="14">
        <v>88.7</v>
      </c>
      <c r="N69" s="14">
        <v>33.799999999999997</v>
      </c>
      <c r="O69" s="14">
        <f>54.9</f>
        <v>54.9</v>
      </c>
      <c r="P69" s="14">
        <f>1.45</f>
        <v>1.45</v>
      </c>
      <c r="Q69" s="15">
        <v>53352</v>
      </c>
      <c r="R69" s="16" t="s">
        <v>1684</v>
      </c>
      <c r="S69" s="16" t="s">
        <v>1685</v>
      </c>
      <c r="T69" s="17" t="s">
        <v>842</v>
      </c>
    </row>
    <row r="70" spans="1:20" ht="12.3">
      <c r="A70" s="12">
        <v>3</v>
      </c>
      <c r="B70" s="13" t="s">
        <v>1686</v>
      </c>
      <c r="C70" s="14">
        <v>2022</v>
      </c>
      <c r="D70" s="14">
        <v>38</v>
      </c>
      <c r="E70" s="14">
        <v>21</v>
      </c>
      <c r="F70" s="14">
        <v>11</v>
      </c>
      <c r="G70" s="14">
        <v>6</v>
      </c>
      <c r="H70" s="14">
        <v>76</v>
      </c>
      <c r="I70" s="14">
        <v>33</v>
      </c>
      <c r="J70" s="14">
        <f>43</f>
        <v>43</v>
      </c>
      <c r="K70" s="14">
        <v>74</v>
      </c>
      <c r="L70" s="14">
        <v>1.95</v>
      </c>
      <c r="M70" s="14">
        <v>63.4</v>
      </c>
      <c r="N70" s="14">
        <v>33.200000000000003</v>
      </c>
      <c r="O70" s="14">
        <f>30.1</f>
        <v>30.1</v>
      </c>
      <c r="P70" s="14">
        <f>0.79</f>
        <v>0.79</v>
      </c>
      <c r="Q70" s="15">
        <v>36443</v>
      </c>
      <c r="R70" s="16" t="s">
        <v>1687</v>
      </c>
      <c r="S70" s="16" t="s">
        <v>1688</v>
      </c>
      <c r="T70" s="17" t="s">
        <v>842</v>
      </c>
    </row>
    <row r="71" spans="1:20" ht="12.3">
      <c r="A71" s="12">
        <v>4</v>
      </c>
      <c r="B71" s="13" t="s">
        <v>1689</v>
      </c>
      <c r="C71" s="14">
        <v>2022</v>
      </c>
      <c r="D71" s="14">
        <v>38</v>
      </c>
      <c r="E71" s="14">
        <v>22</v>
      </c>
      <c r="F71" s="14">
        <v>5</v>
      </c>
      <c r="G71" s="14">
        <v>11</v>
      </c>
      <c r="H71" s="14">
        <v>69</v>
      </c>
      <c r="I71" s="14">
        <v>40</v>
      </c>
      <c r="J71" s="14">
        <f>29</f>
        <v>29</v>
      </c>
      <c r="K71" s="14">
        <v>71</v>
      </c>
      <c r="L71" s="14">
        <v>1.87</v>
      </c>
      <c r="M71" s="14">
        <v>61.2</v>
      </c>
      <c r="N71" s="14">
        <v>39.299999999999997</v>
      </c>
      <c r="O71" s="14">
        <f>21.9</f>
        <v>21.9</v>
      </c>
      <c r="P71" s="14">
        <f>0.58</f>
        <v>0.57999999999999996</v>
      </c>
      <c r="Q71" s="15">
        <v>56523</v>
      </c>
      <c r="R71" s="16" t="s">
        <v>1690</v>
      </c>
      <c r="S71" s="16" t="s">
        <v>1691</v>
      </c>
      <c r="T71" s="17" t="s">
        <v>842</v>
      </c>
    </row>
    <row r="72" spans="1:20" ht="12.3">
      <c r="A72" s="12">
        <v>5</v>
      </c>
      <c r="B72" s="13" t="s">
        <v>1692</v>
      </c>
      <c r="C72" s="14">
        <v>2022</v>
      </c>
      <c r="D72" s="14">
        <v>38</v>
      </c>
      <c r="E72" s="14">
        <v>22</v>
      </c>
      <c r="F72" s="14">
        <v>3</v>
      </c>
      <c r="G72" s="14">
        <v>13</v>
      </c>
      <c r="H72" s="14">
        <v>61</v>
      </c>
      <c r="I72" s="14">
        <v>48</v>
      </c>
      <c r="J72" s="14">
        <f>13</f>
        <v>13</v>
      </c>
      <c r="K72" s="14">
        <v>69</v>
      </c>
      <c r="L72" s="14">
        <v>1.82</v>
      </c>
      <c r="M72" s="14">
        <v>60.5</v>
      </c>
      <c r="N72" s="14">
        <v>45.7</v>
      </c>
      <c r="O72" s="14">
        <f>14.9</f>
        <v>14.9</v>
      </c>
      <c r="P72" s="14">
        <f>0.39</f>
        <v>0.39</v>
      </c>
      <c r="Q72" s="15">
        <v>59665</v>
      </c>
      <c r="R72" s="16" t="s">
        <v>1693</v>
      </c>
      <c r="S72" s="16" t="s">
        <v>1694</v>
      </c>
      <c r="T72" s="17" t="s">
        <v>855</v>
      </c>
    </row>
    <row r="73" spans="1:20" ht="12.3">
      <c r="A73" s="12">
        <v>6</v>
      </c>
      <c r="B73" s="13" t="s">
        <v>1695</v>
      </c>
      <c r="C73" s="14">
        <v>2022</v>
      </c>
      <c r="D73" s="14">
        <v>38</v>
      </c>
      <c r="E73" s="14">
        <v>16</v>
      </c>
      <c r="F73" s="14">
        <v>10</v>
      </c>
      <c r="G73" s="14">
        <v>12</v>
      </c>
      <c r="H73" s="14">
        <v>57</v>
      </c>
      <c r="I73" s="14">
        <v>57</v>
      </c>
      <c r="J73" s="14">
        <v>0</v>
      </c>
      <c r="K73" s="14">
        <v>58</v>
      </c>
      <c r="L73" s="14">
        <v>1.53</v>
      </c>
      <c r="M73" s="14">
        <v>55.8</v>
      </c>
      <c r="N73" s="14">
        <v>53</v>
      </c>
      <c r="O73" s="14">
        <f>2.8</f>
        <v>2.8</v>
      </c>
      <c r="P73" s="14">
        <f>0.07</f>
        <v>7.0000000000000007E-2</v>
      </c>
      <c r="Q73" s="15">
        <v>73150</v>
      </c>
      <c r="R73" s="16" t="s">
        <v>1696</v>
      </c>
      <c r="S73" s="16" t="s">
        <v>1697</v>
      </c>
      <c r="T73" s="17" t="s">
        <v>855</v>
      </c>
    </row>
    <row r="74" spans="1:20" ht="12.3">
      <c r="A74" s="12">
        <v>7</v>
      </c>
      <c r="B74" s="13" t="s">
        <v>1698</v>
      </c>
      <c r="C74" s="14">
        <v>2022</v>
      </c>
      <c r="D74" s="14">
        <v>38</v>
      </c>
      <c r="E74" s="14">
        <v>16</v>
      </c>
      <c r="F74" s="14">
        <v>8</v>
      </c>
      <c r="G74" s="14">
        <v>14</v>
      </c>
      <c r="H74" s="14">
        <v>60</v>
      </c>
      <c r="I74" s="14">
        <v>51</v>
      </c>
      <c r="J74" s="14">
        <f>9</f>
        <v>9</v>
      </c>
      <c r="K74" s="14">
        <v>56</v>
      </c>
      <c r="L74" s="14">
        <v>1.47</v>
      </c>
      <c r="M74" s="14">
        <v>51.4</v>
      </c>
      <c r="N74" s="14">
        <v>53.5</v>
      </c>
      <c r="O74" s="14">
        <v>-2.1</v>
      </c>
      <c r="P74" s="14">
        <v>-0.06</v>
      </c>
      <c r="Q74" s="15">
        <v>58370</v>
      </c>
      <c r="R74" s="16" t="s">
        <v>1699</v>
      </c>
      <c r="S74" s="16" t="s">
        <v>1700</v>
      </c>
      <c r="T74" s="17" t="s">
        <v>1150</v>
      </c>
    </row>
    <row r="75" spans="1:20" ht="12.3">
      <c r="A75" s="12">
        <v>8</v>
      </c>
      <c r="B75" s="13" t="s">
        <v>1701</v>
      </c>
      <c r="C75" s="14">
        <v>2022</v>
      </c>
      <c r="D75" s="14">
        <v>38</v>
      </c>
      <c r="E75" s="14">
        <v>14</v>
      </c>
      <c r="F75" s="14">
        <v>10</v>
      </c>
      <c r="G75" s="14">
        <v>14</v>
      </c>
      <c r="H75" s="14">
        <v>62</v>
      </c>
      <c r="I75" s="14">
        <v>59</v>
      </c>
      <c r="J75" s="14">
        <f>3</f>
        <v>3</v>
      </c>
      <c r="K75" s="14">
        <v>52</v>
      </c>
      <c r="L75" s="14">
        <v>1.37</v>
      </c>
      <c r="M75" s="14">
        <v>47.8</v>
      </c>
      <c r="N75" s="14">
        <v>59.3</v>
      </c>
      <c r="O75" s="14">
        <v>-11.5</v>
      </c>
      <c r="P75" s="14">
        <v>-0.3</v>
      </c>
      <c r="Q75" s="15">
        <v>32493</v>
      </c>
      <c r="R75" s="16" t="s">
        <v>1702</v>
      </c>
      <c r="S75" s="16" t="s">
        <v>1703</v>
      </c>
      <c r="T75" s="17"/>
    </row>
    <row r="76" spans="1:20" ht="12.3">
      <c r="A76" s="12">
        <v>9</v>
      </c>
      <c r="B76" s="13" t="s">
        <v>1704</v>
      </c>
      <c r="C76" s="14">
        <v>2022</v>
      </c>
      <c r="D76" s="14">
        <v>38</v>
      </c>
      <c r="E76" s="14">
        <v>12</v>
      </c>
      <c r="F76" s="14">
        <v>15</v>
      </c>
      <c r="G76" s="14">
        <v>11</v>
      </c>
      <c r="H76" s="14">
        <v>42</v>
      </c>
      <c r="I76" s="14">
        <v>44</v>
      </c>
      <c r="J76" s="14">
        <v>-2</v>
      </c>
      <c r="K76" s="14">
        <v>51</v>
      </c>
      <c r="L76" s="14">
        <v>1.34</v>
      </c>
      <c r="M76" s="14">
        <v>46.2</v>
      </c>
      <c r="N76" s="14">
        <v>42.9</v>
      </c>
      <c r="O76" s="14">
        <f>3.3</f>
        <v>3.3</v>
      </c>
      <c r="P76" s="14">
        <f>0.09</f>
        <v>0.09</v>
      </c>
      <c r="Q76" s="15">
        <v>30966</v>
      </c>
      <c r="R76" s="16" t="s">
        <v>1705</v>
      </c>
      <c r="S76" s="16" t="s">
        <v>1706</v>
      </c>
      <c r="T76" s="17"/>
    </row>
    <row r="77" spans="1:20" ht="12.3">
      <c r="A77" s="12">
        <v>10</v>
      </c>
      <c r="B77" s="13" t="s">
        <v>1707</v>
      </c>
      <c r="C77" s="14">
        <v>2022</v>
      </c>
      <c r="D77" s="14">
        <v>38</v>
      </c>
      <c r="E77" s="14">
        <v>15</v>
      </c>
      <c r="F77" s="14">
        <v>6</v>
      </c>
      <c r="G77" s="14">
        <v>17</v>
      </c>
      <c r="H77" s="14">
        <v>38</v>
      </c>
      <c r="I77" s="14">
        <v>43</v>
      </c>
      <c r="J77" s="14">
        <v>-5</v>
      </c>
      <c r="K77" s="14">
        <v>51</v>
      </c>
      <c r="L77" s="14">
        <v>1.34</v>
      </c>
      <c r="M77" s="14">
        <v>37.5</v>
      </c>
      <c r="N77" s="14">
        <v>56.9</v>
      </c>
      <c r="O77" s="14">
        <v>-19.399999999999999</v>
      </c>
      <c r="P77" s="14">
        <v>-0.51</v>
      </c>
      <c r="Q77" s="15">
        <v>30841</v>
      </c>
      <c r="R77" s="16" t="s">
        <v>1708</v>
      </c>
      <c r="S77" s="16" t="s">
        <v>1709</v>
      </c>
      <c r="T77" s="17"/>
    </row>
    <row r="78" spans="1:20" ht="12.3">
      <c r="A78" s="12">
        <v>11</v>
      </c>
      <c r="B78" s="13" t="s">
        <v>1710</v>
      </c>
      <c r="C78" s="14">
        <v>2022</v>
      </c>
      <c r="D78" s="14">
        <v>38</v>
      </c>
      <c r="E78" s="14">
        <v>13</v>
      </c>
      <c r="F78" s="14">
        <v>10</v>
      </c>
      <c r="G78" s="14">
        <v>15</v>
      </c>
      <c r="H78" s="14">
        <v>44</v>
      </c>
      <c r="I78" s="14">
        <v>62</v>
      </c>
      <c r="J78" s="14">
        <v>-18</v>
      </c>
      <c r="K78" s="14">
        <v>49</v>
      </c>
      <c r="L78" s="14">
        <v>1.29</v>
      </c>
      <c r="M78" s="14">
        <v>38.1</v>
      </c>
      <c r="N78" s="14">
        <v>57.1</v>
      </c>
      <c r="O78" s="14">
        <v>-19</v>
      </c>
      <c r="P78" s="14">
        <v>-0.5</v>
      </c>
      <c r="Q78" s="15">
        <v>51487</v>
      </c>
      <c r="R78" s="16" t="s">
        <v>1711</v>
      </c>
      <c r="S78" s="16" t="s">
        <v>1712</v>
      </c>
      <c r="T78" s="17"/>
    </row>
    <row r="79" spans="1:20" ht="12.3">
      <c r="A79" s="12">
        <v>12</v>
      </c>
      <c r="B79" s="13" t="s">
        <v>1713</v>
      </c>
      <c r="C79" s="14">
        <v>2022</v>
      </c>
      <c r="D79" s="14">
        <v>38</v>
      </c>
      <c r="E79" s="14">
        <v>11</v>
      </c>
      <c r="F79" s="14">
        <v>15</v>
      </c>
      <c r="G79" s="14">
        <v>12</v>
      </c>
      <c r="H79" s="14">
        <v>50</v>
      </c>
      <c r="I79" s="14">
        <v>46</v>
      </c>
      <c r="J79" s="14">
        <f>4</f>
        <v>4</v>
      </c>
      <c r="K79" s="14">
        <v>48</v>
      </c>
      <c r="L79" s="14">
        <v>1.26</v>
      </c>
      <c r="M79" s="14">
        <v>46.4</v>
      </c>
      <c r="N79" s="14">
        <v>40.700000000000003</v>
      </c>
      <c r="O79" s="14">
        <f>5.7</f>
        <v>5.7</v>
      </c>
      <c r="P79" s="14">
        <f>0.15</f>
        <v>0.15</v>
      </c>
      <c r="Q79" s="15">
        <v>24588</v>
      </c>
      <c r="R79" s="16" t="s">
        <v>1714</v>
      </c>
      <c r="S79" s="16" t="s">
        <v>1715</v>
      </c>
      <c r="T79" s="17"/>
    </row>
    <row r="80" spans="1:20" ht="12.3">
      <c r="A80" s="12">
        <v>13</v>
      </c>
      <c r="B80" s="13" t="s">
        <v>1716</v>
      </c>
      <c r="C80" s="14">
        <v>2022</v>
      </c>
      <c r="D80" s="14">
        <v>38</v>
      </c>
      <c r="E80" s="14">
        <v>13</v>
      </c>
      <c r="F80" s="14">
        <v>7</v>
      </c>
      <c r="G80" s="14">
        <v>18</v>
      </c>
      <c r="H80" s="14">
        <v>48</v>
      </c>
      <c r="I80" s="14">
        <v>56</v>
      </c>
      <c r="J80" s="14">
        <v>-8</v>
      </c>
      <c r="K80" s="14">
        <v>46</v>
      </c>
      <c r="L80" s="14">
        <v>1.21</v>
      </c>
      <c r="M80" s="14">
        <v>45.8</v>
      </c>
      <c r="N80" s="14">
        <v>48.5</v>
      </c>
      <c r="O80" s="14">
        <v>-2.7</v>
      </c>
      <c r="P80" s="14">
        <v>-7.0000000000000007E-2</v>
      </c>
      <c r="Q80" s="15">
        <v>16918</v>
      </c>
      <c r="R80" s="16" t="s">
        <v>1717</v>
      </c>
      <c r="S80" s="16" t="s">
        <v>1718</v>
      </c>
      <c r="T80" s="17"/>
    </row>
    <row r="81" spans="1:20" ht="12.3">
      <c r="A81" s="12">
        <v>14</v>
      </c>
      <c r="B81" s="13" t="s">
        <v>1719</v>
      </c>
      <c r="C81" s="14">
        <v>2022</v>
      </c>
      <c r="D81" s="14">
        <v>38</v>
      </c>
      <c r="E81" s="14">
        <v>13</v>
      </c>
      <c r="F81" s="14">
        <v>6</v>
      </c>
      <c r="G81" s="14">
        <v>19</v>
      </c>
      <c r="H81" s="14">
        <v>52</v>
      </c>
      <c r="I81" s="14">
        <v>54</v>
      </c>
      <c r="J81" s="14">
        <v>-2</v>
      </c>
      <c r="K81" s="14">
        <v>45</v>
      </c>
      <c r="L81" s="14">
        <v>1.18</v>
      </c>
      <c r="M81" s="14">
        <v>44</v>
      </c>
      <c r="N81" s="14">
        <v>49</v>
      </c>
      <c r="O81" s="14">
        <v>-4.9000000000000004</v>
      </c>
      <c r="P81" s="14">
        <v>-0.13</v>
      </c>
      <c r="Q81" s="15">
        <v>41681</v>
      </c>
      <c r="R81" s="16" t="s">
        <v>1720</v>
      </c>
      <c r="S81" s="16" t="s">
        <v>1721</v>
      </c>
      <c r="T81" s="17"/>
    </row>
    <row r="82" spans="1:20" ht="12.3">
      <c r="A82" s="12">
        <v>15</v>
      </c>
      <c r="B82" s="13" t="s">
        <v>1722</v>
      </c>
      <c r="C82" s="14">
        <v>2022</v>
      </c>
      <c r="D82" s="14">
        <v>38</v>
      </c>
      <c r="E82" s="14">
        <v>9</v>
      </c>
      <c r="F82" s="14">
        <v>13</v>
      </c>
      <c r="G82" s="14">
        <v>16</v>
      </c>
      <c r="H82" s="14">
        <v>43</v>
      </c>
      <c r="I82" s="14">
        <v>67</v>
      </c>
      <c r="J82" s="14">
        <v>-24</v>
      </c>
      <c r="K82" s="14">
        <v>40</v>
      </c>
      <c r="L82" s="14">
        <v>1.05</v>
      </c>
      <c r="M82" s="14">
        <v>44.8</v>
      </c>
      <c r="N82" s="14">
        <v>60</v>
      </c>
      <c r="O82" s="14">
        <v>-15.2</v>
      </c>
      <c r="P82" s="14">
        <v>-0.4</v>
      </c>
      <c r="Q82" s="15">
        <v>30134</v>
      </c>
      <c r="R82" s="16" t="s">
        <v>1723</v>
      </c>
      <c r="S82" s="16" t="s">
        <v>1724</v>
      </c>
      <c r="T82" s="17"/>
    </row>
    <row r="83" spans="1:20" ht="12.3">
      <c r="A83" s="12">
        <v>16</v>
      </c>
      <c r="B83" s="13" t="s">
        <v>1725</v>
      </c>
      <c r="C83" s="14">
        <v>2022</v>
      </c>
      <c r="D83" s="14">
        <v>38</v>
      </c>
      <c r="E83" s="14">
        <v>11</v>
      </c>
      <c r="F83" s="14">
        <v>6</v>
      </c>
      <c r="G83" s="14">
        <v>21</v>
      </c>
      <c r="H83" s="14">
        <v>43</v>
      </c>
      <c r="I83" s="14">
        <v>66</v>
      </c>
      <c r="J83" s="14">
        <v>-23</v>
      </c>
      <c r="K83" s="14">
        <v>39</v>
      </c>
      <c r="L83" s="14">
        <v>1.03</v>
      </c>
      <c r="M83" s="14">
        <v>41.2</v>
      </c>
      <c r="N83" s="14">
        <v>55.4</v>
      </c>
      <c r="O83" s="14">
        <v>-14.2</v>
      </c>
      <c r="P83" s="14">
        <v>-0.37</v>
      </c>
      <c r="Q83" s="15">
        <v>38446</v>
      </c>
      <c r="R83" s="16" t="s">
        <v>1726</v>
      </c>
      <c r="S83" s="16" t="s">
        <v>1727</v>
      </c>
      <c r="T83" s="17"/>
    </row>
    <row r="84" spans="1:20" ht="12.3">
      <c r="A84" s="12">
        <v>17</v>
      </c>
      <c r="B84" s="13" t="s">
        <v>1728</v>
      </c>
      <c r="C84" s="14">
        <v>2022</v>
      </c>
      <c r="D84" s="14">
        <v>38</v>
      </c>
      <c r="E84" s="14">
        <v>9</v>
      </c>
      <c r="F84" s="14">
        <v>11</v>
      </c>
      <c r="G84" s="14">
        <v>18</v>
      </c>
      <c r="H84" s="14">
        <v>42</v>
      </c>
      <c r="I84" s="14">
        <v>79</v>
      </c>
      <c r="J84" s="14">
        <v>-37</v>
      </c>
      <c r="K84" s="14">
        <v>38</v>
      </c>
      <c r="L84" s="14">
        <v>1</v>
      </c>
      <c r="M84" s="14">
        <v>44.4</v>
      </c>
      <c r="N84" s="14">
        <v>67.8</v>
      </c>
      <c r="O84" s="14">
        <v>-23.5</v>
      </c>
      <c r="P84" s="14">
        <v>-0.62</v>
      </c>
      <c r="Q84" s="15">
        <v>36308</v>
      </c>
      <c r="R84" s="16" t="s">
        <v>1729</v>
      </c>
      <c r="S84" s="16" t="s">
        <v>1730</v>
      </c>
      <c r="T84" s="17"/>
    </row>
    <row r="85" spans="1:20" ht="12.3">
      <c r="A85" s="18">
        <v>18</v>
      </c>
      <c r="B85" s="13" t="s">
        <v>1731</v>
      </c>
      <c r="C85" s="14">
        <v>2022</v>
      </c>
      <c r="D85" s="14">
        <v>38</v>
      </c>
      <c r="E85" s="14">
        <v>7</v>
      </c>
      <c r="F85" s="14">
        <v>14</v>
      </c>
      <c r="G85" s="14">
        <v>17</v>
      </c>
      <c r="H85" s="14">
        <v>34</v>
      </c>
      <c r="I85" s="14">
        <v>53</v>
      </c>
      <c r="J85" s="14">
        <v>-19</v>
      </c>
      <c r="K85" s="14">
        <v>35</v>
      </c>
      <c r="L85" s="14">
        <v>0.92</v>
      </c>
      <c r="M85" s="14">
        <v>39.700000000000003</v>
      </c>
      <c r="N85" s="14">
        <v>57.1</v>
      </c>
      <c r="O85" s="14">
        <v>-17.399999999999999</v>
      </c>
      <c r="P85" s="14">
        <v>-0.46</v>
      </c>
      <c r="Q85" s="15">
        <v>19278</v>
      </c>
      <c r="R85" s="16" t="s">
        <v>1732</v>
      </c>
      <c r="S85" s="16" t="s">
        <v>1733</v>
      </c>
      <c r="T85" s="17" t="s">
        <v>894</v>
      </c>
    </row>
    <row r="86" spans="1:20" ht="12.3">
      <c r="A86" s="18">
        <v>19</v>
      </c>
      <c r="B86" s="13" t="s">
        <v>1734</v>
      </c>
      <c r="C86" s="14">
        <v>2022</v>
      </c>
      <c r="D86" s="14">
        <v>38</v>
      </c>
      <c r="E86" s="14">
        <v>6</v>
      </c>
      <c r="F86" s="14">
        <v>5</v>
      </c>
      <c r="G86" s="14">
        <v>27</v>
      </c>
      <c r="H86" s="14">
        <v>34</v>
      </c>
      <c r="I86" s="14">
        <v>77</v>
      </c>
      <c r="J86" s="14">
        <v>-43</v>
      </c>
      <c r="K86" s="14">
        <v>23</v>
      </c>
      <c r="L86" s="14">
        <v>0.61</v>
      </c>
      <c r="M86" s="14">
        <v>40</v>
      </c>
      <c r="N86" s="14">
        <v>64.5</v>
      </c>
      <c r="O86" s="14">
        <v>-24.5</v>
      </c>
      <c r="P86" s="14">
        <v>-0.64</v>
      </c>
      <c r="Q86" s="15">
        <v>20614</v>
      </c>
      <c r="R86" s="16" t="s">
        <v>1735</v>
      </c>
      <c r="S86" s="16" t="s">
        <v>1736</v>
      </c>
      <c r="T86" s="17" t="s">
        <v>894</v>
      </c>
    </row>
    <row r="87" spans="1:20" ht="12.3">
      <c r="A87" s="19">
        <v>20</v>
      </c>
      <c r="B87" s="20" t="s">
        <v>1737</v>
      </c>
      <c r="C87" s="14">
        <v>2022</v>
      </c>
      <c r="D87" s="21">
        <v>38</v>
      </c>
      <c r="E87" s="21">
        <v>5</v>
      </c>
      <c r="F87" s="21">
        <v>7</v>
      </c>
      <c r="G87" s="21">
        <v>26</v>
      </c>
      <c r="H87" s="21">
        <v>23</v>
      </c>
      <c r="I87" s="21">
        <v>84</v>
      </c>
      <c r="J87" s="21">
        <v>-61</v>
      </c>
      <c r="K87" s="21">
        <v>22</v>
      </c>
      <c r="L87" s="21">
        <v>0.57999999999999996</v>
      </c>
      <c r="M87" s="21">
        <v>32.299999999999997</v>
      </c>
      <c r="N87" s="21">
        <v>75.5</v>
      </c>
      <c r="O87" s="21">
        <v>-43.2</v>
      </c>
      <c r="P87" s="21">
        <v>-1.1399999999999999</v>
      </c>
      <c r="Q87" s="22">
        <v>26836</v>
      </c>
      <c r="R87" s="23" t="s">
        <v>1738</v>
      </c>
      <c r="S87" s="23" t="s">
        <v>1739</v>
      </c>
      <c r="T87" s="24" t="s">
        <v>894</v>
      </c>
    </row>
    <row r="89" spans="1:20" ht="12.3">
      <c r="A89" s="10" t="s">
        <v>820</v>
      </c>
      <c r="B89" s="11" t="s">
        <v>821</v>
      </c>
      <c r="C89" s="11" t="s">
        <v>2</v>
      </c>
      <c r="D89" s="11" t="s">
        <v>822</v>
      </c>
      <c r="E89" s="11" t="s">
        <v>823</v>
      </c>
      <c r="F89" s="11" t="s">
        <v>824</v>
      </c>
      <c r="G89" s="11" t="s">
        <v>825</v>
      </c>
      <c r="H89" s="11" t="s">
        <v>826</v>
      </c>
      <c r="I89" s="11" t="s">
        <v>827</v>
      </c>
      <c r="J89" s="11" t="s">
        <v>828</v>
      </c>
      <c r="K89" s="11" t="s">
        <v>829</v>
      </c>
      <c r="L89" s="11" t="s">
        <v>830</v>
      </c>
      <c r="M89" s="11" t="s">
        <v>831</v>
      </c>
      <c r="N89" s="11" t="s">
        <v>832</v>
      </c>
      <c r="O89" s="11" t="s">
        <v>833</v>
      </c>
      <c r="P89" s="11" t="s">
        <v>834</v>
      </c>
      <c r="Q89" s="11" t="s">
        <v>835</v>
      </c>
      <c r="R89" s="11" t="s">
        <v>836</v>
      </c>
      <c r="S89" s="11" t="s">
        <v>837</v>
      </c>
      <c r="T89" s="11" t="s">
        <v>838</v>
      </c>
    </row>
    <row r="90" spans="1:20" ht="12.3">
      <c r="A90" s="12">
        <v>1</v>
      </c>
      <c r="B90" s="13" t="s">
        <v>1740</v>
      </c>
      <c r="C90" s="14">
        <v>2021</v>
      </c>
      <c r="D90" s="14">
        <v>38</v>
      </c>
      <c r="E90" s="14">
        <v>27</v>
      </c>
      <c r="F90" s="14">
        <v>5</v>
      </c>
      <c r="G90" s="14">
        <v>6</v>
      </c>
      <c r="H90" s="14">
        <v>83</v>
      </c>
      <c r="I90" s="14">
        <v>32</v>
      </c>
      <c r="J90" s="14">
        <f>51</f>
        <v>51</v>
      </c>
      <c r="K90" s="14">
        <v>86</v>
      </c>
      <c r="L90" s="14">
        <v>2.2599999999999998</v>
      </c>
      <c r="M90" s="14">
        <v>68.2</v>
      </c>
      <c r="N90" s="14">
        <v>30.2</v>
      </c>
      <c r="O90" s="14">
        <f>38</f>
        <v>38</v>
      </c>
      <c r="P90" s="14">
        <f>1</f>
        <v>1</v>
      </c>
      <c r="Q90" s="14">
        <v>526</v>
      </c>
      <c r="R90" s="16" t="s">
        <v>1741</v>
      </c>
      <c r="S90" s="16" t="s">
        <v>1742</v>
      </c>
      <c r="T90" s="17" t="s">
        <v>842</v>
      </c>
    </row>
    <row r="91" spans="1:20" ht="12.3">
      <c r="A91" s="12">
        <v>2</v>
      </c>
      <c r="B91" s="13" t="s">
        <v>1743</v>
      </c>
      <c r="C91" s="14">
        <v>2021</v>
      </c>
      <c r="D91" s="14">
        <v>38</v>
      </c>
      <c r="E91" s="14">
        <v>21</v>
      </c>
      <c r="F91" s="14">
        <v>11</v>
      </c>
      <c r="G91" s="14">
        <v>6</v>
      </c>
      <c r="H91" s="14">
        <v>73</v>
      </c>
      <c r="I91" s="14">
        <v>44</v>
      </c>
      <c r="J91" s="14">
        <f>29</f>
        <v>29</v>
      </c>
      <c r="K91" s="14">
        <v>74</v>
      </c>
      <c r="L91" s="14">
        <v>1.95</v>
      </c>
      <c r="M91" s="14">
        <v>60.1</v>
      </c>
      <c r="N91" s="14">
        <v>41.4</v>
      </c>
      <c r="O91" s="14">
        <f>18.6</f>
        <v>18.600000000000001</v>
      </c>
      <c r="P91" s="14">
        <f>0.49</f>
        <v>0.49</v>
      </c>
      <c r="Q91" s="14">
        <v>526</v>
      </c>
      <c r="R91" s="16" t="s">
        <v>1744</v>
      </c>
      <c r="S91" s="16" t="s">
        <v>1745</v>
      </c>
      <c r="T91" s="17" t="s">
        <v>842</v>
      </c>
    </row>
    <row r="92" spans="1:20" ht="12.3">
      <c r="A92" s="12">
        <v>3</v>
      </c>
      <c r="B92" s="13" t="s">
        <v>1746</v>
      </c>
      <c r="C92" s="14">
        <v>2021</v>
      </c>
      <c r="D92" s="14">
        <v>38</v>
      </c>
      <c r="E92" s="14">
        <v>20</v>
      </c>
      <c r="F92" s="14">
        <v>9</v>
      </c>
      <c r="G92" s="14">
        <v>9</v>
      </c>
      <c r="H92" s="14">
        <v>68</v>
      </c>
      <c r="I92" s="14">
        <v>42</v>
      </c>
      <c r="J92" s="14">
        <f>26</f>
        <v>26</v>
      </c>
      <c r="K92" s="14">
        <v>69</v>
      </c>
      <c r="L92" s="14">
        <v>1.82</v>
      </c>
      <c r="M92" s="14">
        <v>67.5</v>
      </c>
      <c r="N92" s="14">
        <v>43</v>
      </c>
      <c r="O92" s="14">
        <f>24.5</f>
        <v>24.5</v>
      </c>
      <c r="P92" s="14">
        <f>0.65</f>
        <v>0.65</v>
      </c>
      <c r="Q92" s="14">
        <v>837</v>
      </c>
      <c r="R92" s="16" t="s">
        <v>1747</v>
      </c>
      <c r="S92" s="16" t="s">
        <v>1748</v>
      </c>
      <c r="T92" s="17" t="s">
        <v>842</v>
      </c>
    </row>
    <row r="93" spans="1:20" ht="12.3">
      <c r="A93" s="12">
        <v>4</v>
      </c>
      <c r="B93" s="13" t="s">
        <v>1749</v>
      </c>
      <c r="C93" s="14">
        <v>2021</v>
      </c>
      <c r="D93" s="14">
        <v>38</v>
      </c>
      <c r="E93" s="14">
        <v>19</v>
      </c>
      <c r="F93" s="14">
        <v>10</v>
      </c>
      <c r="G93" s="14">
        <v>9</v>
      </c>
      <c r="H93" s="14">
        <v>58</v>
      </c>
      <c r="I93" s="14">
        <v>36</v>
      </c>
      <c r="J93" s="14">
        <f>22</f>
        <v>22</v>
      </c>
      <c r="K93" s="14">
        <v>67</v>
      </c>
      <c r="L93" s="14">
        <v>1.76</v>
      </c>
      <c r="M93" s="14">
        <v>62.4</v>
      </c>
      <c r="N93" s="14">
        <v>30.3</v>
      </c>
      <c r="O93" s="14">
        <f>32.1</f>
        <v>32.1</v>
      </c>
      <c r="P93" s="14">
        <f>0.85</f>
        <v>0.85</v>
      </c>
      <c r="Q93" s="14">
        <v>526</v>
      </c>
      <c r="R93" s="16" t="s">
        <v>1750</v>
      </c>
      <c r="S93" s="16" t="s">
        <v>1751</v>
      </c>
      <c r="T93" s="17" t="s">
        <v>842</v>
      </c>
    </row>
    <row r="94" spans="1:20" ht="12.3">
      <c r="A94" s="12">
        <v>5</v>
      </c>
      <c r="B94" s="13" t="s">
        <v>1752</v>
      </c>
      <c r="C94" s="14">
        <v>2021</v>
      </c>
      <c r="D94" s="14">
        <v>38</v>
      </c>
      <c r="E94" s="14">
        <v>20</v>
      </c>
      <c r="F94" s="14">
        <v>6</v>
      </c>
      <c r="G94" s="14">
        <v>12</v>
      </c>
      <c r="H94" s="14">
        <v>68</v>
      </c>
      <c r="I94" s="14">
        <v>50</v>
      </c>
      <c r="J94" s="14">
        <f>18</f>
        <v>18</v>
      </c>
      <c r="K94" s="14">
        <v>66</v>
      </c>
      <c r="L94" s="14">
        <v>1.74</v>
      </c>
      <c r="M94" s="14">
        <v>55.8</v>
      </c>
      <c r="N94" s="14">
        <v>46</v>
      </c>
      <c r="O94" s="14">
        <f>9.8</f>
        <v>9.8000000000000007</v>
      </c>
      <c r="P94" s="14">
        <f>0.26</f>
        <v>0.26</v>
      </c>
      <c r="Q94" s="14">
        <v>421</v>
      </c>
      <c r="R94" s="16" t="s">
        <v>1753</v>
      </c>
      <c r="S94" s="16" t="s">
        <v>1754</v>
      </c>
      <c r="T94" s="17" t="s">
        <v>1046</v>
      </c>
    </row>
    <row r="95" spans="1:20" ht="12.3">
      <c r="A95" s="12">
        <v>6</v>
      </c>
      <c r="B95" s="13" t="s">
        <v>1755</v>
      </c>
      <c r="C95" s="14">
        <v>2021</v>
      </c>
      <c r="D95" s="14">
        <v>38</v>
      </c>
      <c r="E95" s="14">
        <v>19</v>
      </c>
      <c r="F95" s="14">
        <v>8</v>
      </c>
      <c r="G95" s="14">
        <v>11</v>
      </c>
      <c r="H95" s="14">
        <v>62</v>
      </c>
      <c r="I95" s="14">
        <v>47</v>
      </c>
      <c r="J95" s="14">
        <f>15</f>
        <v>15</v>
      </c>
      <c r="K95" s="14">
        <v>65</v>
      </c>
      <c r="L95" s="14">
        <v>1.71</v>
      </c>
      <c r="M95" s="14">
        <v>55.4</v>
      </c>
      <c r="N95" s="14">
        <v>48.7</v>
      </c>
      <c r="O95" s="14">
        <f>6.7</f>
        <v>6.7</v>
      </c>
      <c r="P95" s="14">
        <f>0.18</f>
        <v>0.18</v>
      </c>
      <c r="Q95" s="14">
        <v>632</v>
      </c>
      <c r="R95" s="16" t="s">
        <v>1756</v>
      </c>
      <c r="S95" s="16" t="s">
        <v>1757</v>
      </c>
      <c r="T95" s="17" t="s">
        <v>855</v>
      </c>
    </row>
    <row r="96" spans="1:20" ht="12.3">
      <c r="A96" s="12">
        <v>7</v>
      </c>
      <c r="B96" s="13" t="s">
        <v>1758</v>
      </c>
      <c r="C96" s="14">
        <v>2021</v>
      </c>
      <c r="D96" s="14">
        <v>38</v>
      </c>
      <c r="E96" s="14">
        <v>18</v>
      </c>
      <c r="F96" s="14">
        <v>8</v>
      </c>
      <c r="G96" s="14">
        <v>12</v>
      </c>
      <c r="H96" s="14">
        <v>68</v>
      </c>
      <c r="I96" s="14">
        <v>45</v>
      </c>
      <c r="J96" s="14">
        <f>23</f>
        <v>23</v>
      </c>
      <c r="K96" s="14">
        <v>62</v>
      </c>
      <c r="L96" s="14">
        <v>1.63</v>
      </c>
      <c r="M96" s="14">
        <v>53.1</v>
      </c>
      <c r="N96" s="14">
        <v>49.1</v>
      </c>
      <c r="O96" s="14">
        <f>4</f>
        <v>4</v>
      </c>
      <c r="P96" s="14">
        <f>0.1</f>
        <v>0.1</v>
      </c>
      <c r="Q96" s="14">
        <v>632</v>
      </c>
      <c r="R96" s="16" t="s">
        <v>1759</v>
      </c>
      <c r="S96" s="16" t="s">
        <v>1760</v>
      </c>
      <c r="T96" s="17" t="s">
        <v>1761</v>
      </c>
    </row>
    <row r="97" spans="1:20" ht="12.3">
      <c r="A97" s="12">
        <v>8</v>
      </c>
      <c r="B97" s="13" t="s">
        <v>1762</v>
      </c>
      <c r="C97" s="14">
        <v>2021</v>
      </c>
      <c r="D97" s="14">
        <v>38</v>
      </c>
      <c r="E97" s="14">
        <v>18</v>
      </c>
      <c r="F97" s="14">
        <v>7</v>
      </c>
      <c r="G97" s="14">
        <v>13</v>
      </c>
      <c r="H97" s="14">
        <v>55</v>
      </c>
      <c r="I97" s="14">
        <v>39</v>
      </c>
      <c r="J97" s="14">
        <f>16</f>
        <v>16</v>
      </c>
      <c r="K97" s="14">
        <v>61</v>
      </c>
      <c r="L97" s="14">
        <v>1.61</v>
      </c>
      <c r="M97" s="14">
        <v>51.7</v>
      </c>
      <c r="N97" s="14">
        <v>43</v>
      </c>
      <c r="O97" s="14">
        <f>8.8</f>
        <v>8.8000000000000007</v>
      </c>
      <c r="P97" s="14">
        <f>0.23</f>
        <v>0.23</v>
      </c>
      <c r="Q97" s="14">
        <v>632</v>
      </c>
      <c r="R97" s="16" t="s">
        <v>1763</v>
      </c>
      <c r="S97" s="16" t="s">
        <v>1764</v>
      </c>
      <c r="T97" s="17"/>
    </row>
    <row r="98" spans="1:20" ht="12.3">
      <c r="A98" s="12">
        <v>9</v>
      </c>
      <c r="B98" s="13" t="s">
        <v>1765</v>
      </c>
      <c r="C98" s="14">
        <v>2021</v>
      </c>
      <c r="D98" s="14">
        <v>38</v>
      </c>
      <c r="E98" s="14">
        <v>18</v>
      </c>
      <c r="F98" s="14">
        <v>5</v>
      </c>
      <c r="G98" s="14">
        <v>15</v>
      </c>
      <c r="H98" s="14">
        <v>62</v>
      </c>
      <c r="I98" s="14">
        <v>54</v>
      </c>
      <c r="J98" s="14">
        <f>8</f>
        <v>8</v>
      </c>
      <c r="K98" s="14">
        <v>59</v>
      </c>
      <c r="L98" s="14">
        <v>1.55</v>
      </c>
      <c r="M98" s="14">
        <v>55.6</v>
      </c>
      <c r="N98" s="14">
        <v>57.9</v>
      </c>
      <c r="O98" s="14">
        <v>-2.2000000000000002</v>
      </c>
      <c r="P98" s="14">
        <v>-0.06</v>
      </c>
      <c r="Q98" s="14">
        <v>421</v>
      </c>
      <c r="R98" s="16" t="s">
        <v>1766</v>
      </c>
      <c r="S98" s="16" t="s">
        <v>1767</v>
      </c>
      <c r="T98" s="17"/>
    </row>
    <row r="99" spans="1:20" ht="12.3">
      <c r="A99" s="12">
        <v>10</v>
      </c>
      <c r="B99" s="13" t="s">
        <v>1768</v>
      </c>
      <c r="C99" s="14">
        <v>2021</v>
      </c>
      <c r="D99" s="14">
        <v>38</v>
      </c>
      <c r="E99" s="14">
        <v>17</v>
      </c>
      <c r="F99" s="14">
        <v>8</v>
      </c>
      <c r="G99" s="14">
        <v>13</v>
      </c>
      <c r="H99" s="14">
        <v>47</v>
      </c>
      <c r="I99" s="14">
        <v>48</v>
      </c>
      <c r="J99" s="14">
        <v>-1</v>
      </c>
      <c r="K99" s="14">
        <v>59</v>
      </c>
      <c r="L99" s="14">
        <v>1.55</v>
      </c>
      <c r="M99" s="14">
        <v>45.7</v>
      </c>
      <c r="N99" s="14">
        <v>50.1</v>
      </c>
      <c r="O99" s="14">
        <v>-4.5</v>
      </c>
      <c r="P99" s="14">
        <v>-0.12</v>
      </c>
      <c r="Q99" s="14">
        <v>368</v>
      </c>
      <c r="R99" s="16" t="s">
        <v>1769</v>
      </c>
      <c r="S99" s="16" t="s">
        <v>1770</v>
      </c>
      <c r="T99" s="17"/>
    </row>
    <row r="100" spans="1:20" ht="12.3">
      <c r="A100" s="12">
        <v>11</v>
      </c>
      <c r="B100" s="13" t="s">
        <v>1771</v>
      </c>
      <c r="C100" s="14">
        <v>2021</v>
      </c>
      <c r="D100" s="14">
        <v>38</v>
      </c>
      <c r="E100" s="14">
        <v>16</v>
      </c>
      <c r="F100" s="14">
        <v>7</v>
      </c>
      <c r="G100" s="14">
        <v>15</v>
      </c>
      <c r="H100" s="14">
        <v>55</v>
      </c>
      <c r="I100" s="14">
        <v>46</v>
      </c>
      <c r="J100" s="14">
        <f>9</f>
        <v>9</v>
      </c>
      <c r="K100" s="14">
        <v>55</v>
      </c>
      <c r="L100" s="14">
        <v>1.45</v>
      </c>
      <c r="M100" s="14">
        <v>52.5</v>
      </c>
      <c r="N100" s="14">
        <v>51.1</v>
      </c>
      <c r="O100" s="14">
        <f>1.5</f>
        <v>1.5</v>
      </c>
      <c r="P100" s="14">
        <f>0.04</f>
        <v>0.04</v>
      </c>
      <c r="Q100" s="14">
        <v>526</v>
      </c>
      <c r="R100" s="16" t="s">
        <v>1772</v>
      </c>
      <c r="S100" s="16" t="s">
        <v>1773</v>
      </c>
      <c r="T100" s="17"/>
    </row>
    <row r="101" spans="1:20" ht="12.3">
      <c r="A101" s="12">
        <v>12</v>
      </c>
      <c r="B101" s="13" t="s">
        <v>1774</v>
      </c>
      <c r="C101" s="14">
        <v>2021</v>
      </c>
      <c r="D101" s="14">
        <v>38</v>
      </c>
      <c r="E101" s="14">
        <v>12</v>
      </c>
      <c r="F101" s="14">
        <v>9</v>
      </c>
      <c r="G101" s="14">
        <v>17</v>
      </c>
      <c r="H101" s="14">
        <v>46</v>
      </c>
      <c r="I101" s="14">
        <v>62</v>
      </c>
      <c r="J101" s="14">
        <v>-16</v>
      </c>
      <c r="K101" s="14">
        <v>45</v>
      </c>
      <c r="L101" s="14">
        <v>1.18</v>
      </c>
      <c r="M101" s="14">
        <v>43.4</v>
      </c>
      <c r="N101" s="14">
        <v>58.3</v>
      </c>
      <c r="O101" s="14">
        <v>-14.9</v>
      </c>
      <c r="P101" s="14">
        <v>-0.39</v>
      </c>
      <c r="Q101" s="14">
        <v>526</v>
      </c>
      <c r="R101" s="16" t="s">
        <v>1775</v>
      </c>
      <c r="S101" s="16" t="s">
        <v>1776</v>
      </c>
      <c r="T101" s="17"/>
    </row>
    <row r="102" spans="1:20" ht="12.3">
      <c r="A102" s="12">
        <v>13</v>
      </c>
      <c r="B102" s="13" t="s">
        <v>1777</v>
      </c>
      <c r="C102" s="14">
        <v>2021</v>
      </c>
      <c r="D102" s="14">
        <v>38</v>
      </c>
      <c r="E102" s="14">
        <v>12</v>
      </c>
      <c r="F102" s="14">
        <v>9</v>
      </c>
      <c r="G102" s="14">
        <v>17</v>
      </c>
      <c r="H102" s="14">
        <v>36</v>
      </c>
      <c r="I102" s="14">
        <v>52</v>
      </c>
      <c r="J102" s="14">
        <v>-16</v>
      </c>
      <c r="K102" s="14">
        <v>45</v>
      </c>
      <c r="L102" s="14">
        <v>1.18</v>
      </c>
      <c r="M102" s="14">
        <v>36.5</v>
      </c>
      <c r="N102" s="14">
        <v>49.5</v>
      </c>
      <c r="O102" s="14">
        <v>-13</v>
      </c>
      <c r="P102" s="14">
        <v>-0.34</v>
      </c>
      <c r="Q102" s="14">
        <v>237</v>
      </c>
      <c r="R102" s="16" t="s">
        <v>1778</v>
      </c>
      <c r="S102" s="16" t="s">
        <v>1779</v>
      </c>
      <c r="T102" s="17"/>
    </row>
    <row r="103" spans="1:20" ht="12.3">
      <c r="A103" s="12">
        <v>14</v>
      </c>
      <c r="B103" s="13" t="s">
        <v>1780</v>
      </c>
      <c r="C103" s="14">
        <v>2021</v>
      </c>
      <c r="D103" s="14">
        <v>38</v>
      </c>
      <c r="E103" s="14">
        <v>12</v>
      </c>
      <c r="F103" s="14">
        <v>8</v>
      </c>
      <c r="G103" s="14">
        <v>18</v>
      </c>
      <c r="H103" s="14">
        <v>41</v>
      </c>
      <c r="I103" s="14">
        <v>66</v>
      </c>
      <c r="J103" s="14">
        <v>-25</v>
      </c>
      <c r="K103" s="14">
        <v>44</v>
      </c>
      <c r="L103" s="14">
        <v>1.1599999999999999</v>
      </c>
      <c r="M103" s="14">
        <v>34.1</v>
      </c>
      <c r="N103" s="14">
        <v>58.2</v>
      </c>
      <c r="O103" s="14">
        <v>-24.2</v>
      </c>
      <c r="P103" s="14">
        <v>-0.64</v>
      </c>
      <c r="Q103" s="14">
        <v>447</v>
      </c>
      <c r="R103" s="16" t="s">
        <v>1781</v>
      </c>
      <c r="S103" s="16" t="s">
        <v>1782</v>
      </c>
      <c r="T103" s="17"/>
    </row>
    <row r="104" spans="1:20" ht="12.3">
      <c r="A104" s="12">
        <v>15</v>
      </c>
      <c r="B104" s="13" t="s">
        <v>1783</v>
      </c>
      <c r="C104" s="14">
        <v>2021</v>
      </c>
      <c r="D104" s="14">
        <v>38</v>
      </c>
      <c r="E104" s="14">
        <v>12</v>
      </c>
      <c r="F104" s="14">
        <v>7</v>
      </c>
      <c r="G104" s="14">
        <v>19</v>
      </c>
      <c r="H104" s="14">
        <v>47</v>
      </c>
      <c r="I104" s="14">
        <v>68</v>
      </c>
      <c r="J104" s="14">
        <v>-21</v>
      </c>
      <c r="K104" s="14">
        <v>43</v>
      </c>
      <c r="L104" s="14">
        <v>1.1299999999999999</v>
      </c>
      <c r="M104" s="14">
        <v>41.2</v>
      </c>
      <c r="N104" s="14">
        <v>53.1</v>
      </c>
      <c r="O104" s="14">
        <v>-11.8</v>
      </c>
      <c r="P104" s="14">
        <v>-0.31</v>
      </c>
      <c r="Q104" s="14">
        <v>526</v>
      </c>
      <c r="R104" s="16" t="s">
        <v>1784</v>
      </c>
      <c r="S104" s="16" t="s">
        <v>1785</v>
      </c>
      <c r="T104" s="17"/>
    </row>
    <row r="105" spans="1:20" ht="12.3">
      <c r="A105" s="12">
        <v>16</v>
      </c>
      <c r="B105" s="13" t="s">
        <v>1786</v>
      </c>
      <c r="C105" s="14">
        <v>2021</v>
      </c>
      <c r="D105" s="14">
        <v>38</v>
      </c>
      <c r="E105" s="14">
        <v>9</v>
      </c>
      <c r="F105" s="14">
        <v>14</v>
      </c>
      <c r="G105" s="14">
        <v>15</v>
      </c>
      <c r="H105" s="14">
        <v>40</v>
      </c>
      <c r="I105" s="14">
        <v>46</v>
      </c>
      <c r="J105" s="14">
        <v>-6</v>
      </c>
      <c r="K105" s="14">
        <v>41</v>
      </c>
      <c r="L105" s="14">
        <v>1.08</v>
      </c>
      <c r="M105" s="14">
        <v>50.9</v>
      </c>
      <c r="N105" s="14">
        <v>35.299999999999997</v>
      </c>
      <c r="O105" s="14">
        <f>15.6</f>
        <v>15.6</v>
      </c>
      <c r="P105" s="14">
        <f>0.41</f>
        <v>0.41</v>
      </c>
      <c r="Q105" s="14">
        <v>523</v>
      </c>
      <c r="R105" s="16" t="s">
        <v>1787</v>
      </c>
      <c r="S105" s="16" t="s">
        <v>1788</v>
      </c>
      <c r="T105" s="17"/>
    </row>
    <row r="106" spans="1:20" ht="12.3">
      <c r="A106" s="12">
        <v>17</v>
      </c>
      <c r="B106" s="13" t="s">
        <v>1789</v>
      </c>
      <c r="C106" s="14">
        <v>2021</v>
      </c>
      <c r="D106" s="14">
        <v>38</v>
      </c>
      <c r="E106" s="14">
        <v>10</v>
      </c>
      <c r="F106" s="14">
        <v>9</v>
      </c>
      <c r="G106" s="14">
        <v>19</v>
      </c>
      <c r="H106" s="14">
        <v>33</v>
      </c>
      <c r="I106" s="14">
        <v>55</v>
      </c>
      <c r="J106" s="14">
        <v>-22</v>
      </c>
      <c r="K106" s="14">
        <v>39</v>
      </c>
      <c r="L106" s="14">
        <v>1.03</v>
      </c>
      <c r="M106" s="14">
        <v>39.299999999999997</v>
      </c>
      <c r="N106" s="14">
        <v>54.7</v>
      </c>
      <c r="O106" s="14">
        <v>-15.4</v>
      </c>
      <c r="P106" s="14">
        <v>-0.4</v>
      </c>
      <c r="Q106" s="14">
        <v>178</v>
      </c>
      <c r="R106" s="16" t="s">
        <v>1790</v>
      </c>
      <c r="S106" s="16" t="s">
        <v>1791</v>
      </c>
      <c r="T106" s="17"/>
    </row>
    <row r="107" spans="1:20" ht="12.3">
      <c r="A107" s="18">
        <v>18</v>
      </c>
      <c r="B107" s="13" t="s">
        <v>1792</v>
      </c>
      <c r="C107" s="14">
        <v>2021</v>
      </c>
      <c r="D107" s="14">
        <v>38</v>
      </c>
      <c r="E107" s="14">
        <v>5</v>
      </c>
      <c r="F107" s="14">
        <v>13</v>
      </c>
      <c r="G107" s="14">
        <v>20</v>
      </c>
      <c r="H107" s="14">
        <v>27</v>
      </c>
      <c r="I107" s="14">
        <v>53</v>
      </c>
      <c r="J107" s="14">
        <v>-26</v>
      </c>
      <c r="K107" s="14">
        <v>28</v>
      </c>
      <c r="L107" s="14">
        <v>0.74</v>
      </c>
      <c r="M107" s="14">
        <v>40.5</v>
      </c>
      <c r="N107" s="14">
        <v>52.6</v>
      </c>
      <c r="O107" s="14">
        <v>-12.1</v>
      </c>
      <c r="P107" s="14">
        <v>-0.32</v>
      </c>
      <c r="Q107" s="14">
        <v>211</v>
      </c>
      <c r="R107" s="16" t="s">
        <v>1793</v>
      </c>
      <c r="S107" s="16" t="s">
        <v>1794</v>
      </c>
      <c r="T107" s="17" t="s">
        <v>894</v>
      </c>
    </row>
    <row r="108" spans="1:20" ht="12.3">
      <c r="A108" s="18">
        <v>19</v>
      </c>
      <c r="B108" s="13" t="s">
        <v>1795</v>
      </c>
      <c r="C108" s="14">
        <v>2021</v>
      </c>
      <c r="D108" s="14">
        <v>38</v>
      </c>
      <c r="E108" s="14">
        <v>5</v>
      </c>
      <c r="F108" s="14">
        <v>11</v>
      </c>
      <c r="G108" s="14">
        <v>22</v>
      </c>
      <c r="H108" s="14">
        <v>35</v>
      </c>
      <c r="I108" s="14">
        <v>76</v>
      </c>
      <c r="J108" s="14">
        <v>-41</v>
      </c>
      <c r="K108" s="14">
        <v>26</v>
      </c>
      <c r="L108" s="14">
        <v>0.68</v>
      </c>
      <c r="M108" s="14">
        <v>35.799999999999997</v>
      </c>
      <c r="N108" s="14">
        <v>67.900000000000006</v>
      </c>
      <c r="O108" s="14">
        <v>-32</v>
      </c>
      <c r="P108" s="14">
        <v>-0.84</v>
      </c>
      <c r="Q108" s="14">
        <v>283</v>
      </c>
      <c r="R108" s="16" t="s">
        <v>1796</v>
      </c>
      <c r="S108" s="16" t="s">
        <v>1797</v>
      </c>
      <c r="T108" s="17" t="s">
        <v>894</v>
      </c>
    </row>
    <row r="109" spans="1:20" ht="12.3">
      <c r="A109" s="19">
        <v>20</v>
      </c>
      <c r="B109" s="20" t="s">
        <v>1798</v>
      </c>
      <c r="C109" s="14">
        <v>2021</v>
      </c>
      <c r="D109" s="21">
        <v>38</v>
      </c>
      <c r="E109" s="21">
        <v>7</v>
      </c>
      <c r="F109" s="21">
        <v>2</v>
      </c>
      <c r="G109" s="21">
        <v>29</v>
      </c>
      <c r="H109" s="21">
        <v>20</v>
      </c>
      <c r="I109" s="21">
        <v>63</v>
      </c>
      <c r="J109" s="21">
        <v>-43</v>
      </c>
      <c r="K109" s="21">
        <v>23</v>
      </c>
      <c r="L109" s="21">
        <v>0.61</v>
      </c>
      <c r="M109" s="21">
        <v>32.6</v>
      </c>
      <c r="N109" s="21">
        <v>62.2</v>
      </c>
      <c r="O109" s="21">
        <v>-29.6</v>
      </c>
      <c r="P109" s="21">
        <v>-0.78</v>
      </c>
      <c r="Q109" s="21">
        <v>263</v>
      </c>
      <c r="R109" s="23" t="s">
        <v>1799</v>
      </c>
      <c r="S109" s="23" t="s">
        <v>1800</v>
      </c>
      <c r="T109" s="24" t="s">
        <v>894</v>
      </c>
    </row>
    <row r="111" spans="1:20" ht="12.3">
      <c r="A111" s="10" t="s">
        <v>820</v>
      </c>
      <c r="B111" s="11" t="s">
        <v>821</v>
      </c>
      <c r="C111" s="11" t="s">
        <v>1801</v>
      </c>
      <c r="D111" s="11" t="s">
        <v>822</v>
      </c>
      <c r="E111" s="11" t="s">
        <v>823</v>
      </c>
      <c r="F111" s="11" t="s">
        <v>824</v>
      </c>
      <c r="G111" s="11" t="s">
        <v>825</v>
      </c>
      <c r="H111" s="11" t="s">
        <v>826</v>
      </c>
      <c r="I111" s="11" t="s">
        <v>827</v>
      </c>
      <c r="J111" s="11" t="s">
        <v>828</v>
      </c>
      <c r="K111" s="11" t="s">
        <v>829</v>
      </c>
      <c r="L111" s="11" t="s">
        <v>830</v>
      </c>
      <c r="M111" s="11" t="s">
        <v>831</v>
      </c>
      <c r="N111" s="11" t="s">
        <v>832</v>
      </c>
      <c r="O111" s="11" t="s">
        <v>833</v>
      </c>
      <c r="P111" s="11" t="s">
        <v>834</v>
      </c>
      <c r="Q111" s="11" t="s">
        <v>835</v>
      </c>
      <c r="R111" s="11" t="s">
        <v>836</v>
      </c>
      <c r="S111" s="11" t="s">
        <v>837</v>
      </c>
      <c r="T111" s="11" t="s">
        <v>838</v>
      </c>
    </row>
    <row r="112" spans="1:20" ht="12.3">
      <c r="A112" s="12">
        <v>1</v>
      </c>
      <c r="B112" s="13" t="s">
        <v>1802</v>
      </c>
      <c r="C112" s="14">
        <v>2020</v>
      </c>
      <c r="D112" s="14">
        <v>38</v>
      </c>
      <c r="E112" s="14">
        <v>32</v>
      </c>
      <c r="F112" s="14">
        <v>3</v>
      </c>
      <c r="G112" s="14">
        <v>3</v>
      </c>
      <c r="H112" s="14">
        <v>85</v>
      </c>
      <c r="I112" s="14">
        <v>33</v>
      </c>
      <c r="J112" s="14">
        <f>52</f>
        <v>52</v>
      </c>
      <c r="K112" s="14">
        <v>99</v>
      </c>
      <c r="L112" s="14">
        <v>2.61</v>
      </c>
      <c r="M112" s="14">
        <v>68.900000000000006</v>
      </c>
      <c r="N112" s="14">
        <v>37.700000000000003</v>
      </c>
      <c r="O112" s="14">
        <f>31.2</f>
        <v>31.2</v>
      </c>
      <c r="P112" s="14">
        <f>0.82</f>
        <v>0.82</v>
      </c>
      <c r="Q112" s="15">
        <v>41955</v>
      </c>
      <c r="R112" s="16" t="s">
        <v>1803</v>
      </c>
      <c r="S112" s="16" t="s">
        <v>1804</v>
      </c>
      <c r="T112" s="17" t="s">
        <v>842</v>
      </c>
    </row>
    <row r="113" spans="1:20" ht="12.3">
      <c r="A113" s="12">
        <v>2</v>
      </c>
      <c r="B113" s="13" t="s">
        <v>1805</v>
      </c>
      <c r="C113" s="14">
        <v>2020</v>
      </c>
      <c r="D113" s="14">
        <v>38</v>
      </c>
      <c r="E113" s="14">
        <v>26</v>
      </c>
      <c r="F113" s="14">
        <v>3</v>
      </c>
      <c r="G113" s="14">
        <v>9</v>
      </c>
      <c r="H113" s="14">
        <v>102</v>
      </c>
      <c r="I113" s="14">
        <v>35</v>
      </c>
      <c r="J113" s="14">
        <f>67</f>
        <v>67</v>
      </c>
      <c r="K113" s="14">
        <v>81</v>
      </c>
      <c r="L113" s="14">
        <v>2.13</v>
      </c>
      <c r="M113" s="14">
        <v>92</v>
      </c>
      <c r="N113" s="14">
        <v>36.200000000000003</v>
      </c>
      <c r="O113" s="14">
        <f>55.7</f>
        <v>55.7</v>
      </c>
      <c r="P113" s="14">
        <f>1.47</f>
        <v>1.47</v>
      </c>
      <c r="Q113" s="15">
        <v>37097</v>
      </c>
      <c r="R113" s="16" t="s">
        <v>1806</v>
      </c>
      <c r="S113" s="16" t="s">
        <v>1807</v>
      </c>
      <c r="T113" s="17" t="s">
        <v>842</v>
      </c>
    </row>
    <row r="114" spans="1:20" ht="12.3">
      <c r="A114" s="12">
        <v>3</v>
      </c>
      <c r="B114" s="13" t="s">
        <v>1808</v>
      </c>
      <c r="C114" s="14">
        <v>2020</v>
      </c>
      <c r="D114" s="14">
        <v>38</v>
      </c>
      <c r="E114" s="14">
        <v>18</v>
      </c>
      <c r="F114" s="14">
        <v>12</v>
      </c>
      <c r="G114" s="14">
        <v>8</v>
      </c>
      <c r="H114" s="14">
        <v>66</v>
      </c>
      <c r="I114" s="14">
        <v>36</v>
      </c>
      <c r="J114" s="14">
        <f>30</f>
        <v>30</v>
      </c>
      <c r="K114" s="14">
        <v>66</v>
      </c>
      <c r="L114" s="14">
        <v>1.74</v>
      </c>
      <c r="M114" s="14">
        <v>62.2</v>
      </c>
      <c r="N114" s="14">
        <v>37.700000000000003</v>
      </c>
      <c r="O114" s="14">
        <f>24.5</f>
        <v>24.5</v>
      </c>
      <c r="P114" s="14">
        <f>0.64</f>
        <v>0.64</v>
      </c>
      <c r="Q114" s="15">
        <v>57415</v>
      </c>
      <c r="R114" s="16" t="s">
        <v>1809</v>
      </c>
      <c r="S114" s="16" t="s">
        <v>1810</v>
      </c>
      <c r="T114" s="17" t="s">
        <v>842</v>
      </c>
    </row>
    <row r="115" spans="1:20" ht="12.3">
      <c r="A115" s="12">
        <v>4</v>
      </c>
      <c r="B115" s="13" t="s">
        <v>1811</v>
      </c>
      <c r="C115" s="14">
        <v>2020</v>
      </c>
      <c r="D115" s="14">
        <v>38</v>
      </c>
      <c r="E115" s="14">
        <v>20</v>
      </c>
      <c r="F115" s="14">
        <v>6</v>
      </c>
      <c r="G115" s="14">
        <v>12</v>
      </c>
      <c r="H115" s="14">
        <v>69</v>
      </c>
      <c r="I115" s="14">
        <v>54</v>
      </c>
      <c r="J115" s="14">
        <f>15</f>
        <v>15</v>
      </c>
      <c r="K115" s="14">
        <v>66</v>
      </c>
      <c r="L115" s="14">
        <v>1.74</v>
      </c>
      <c r="M115" s="14">
        <v>69.2</v>
      </c>
      <c r="N115" s="14">
        <v>38.6</v>
      </c>
      <c r="O115" s="14">
        <f>30.6</f>
        <v>30.6</v>
      </c>
      <c r="P115" s="14">
        <f>0.81</f>
        <v>0.81</v>
      </c>
      <c r="Q115" s="15">
        <v>32023</v>
      </c>
      <c r="R115" s="16" t="s">
        <v>1812</v>
      </c>
      <c r="S115" s="16" t="s">
        <v>1813</v>
      </c>
      <c r="T115" s="17" t="s">
        <v>842</v>
      </c>
    </row>
    <row r="116" spans="1:20" ht="12.3">
      <c r="A116" s="12">
        <v>5</v>
      </c>
      <c r="B116" s="13" t="s">
        <v>1814</v>
      </c>
      <c r="C116" s="14">
        <v>2020</v>
      </c>
      <c r="D116" s="14">
        <v>38</v>
      </c>
      <c r="E116" s="14">
        <v>18</v>
      </c>
      <c r="F116" s="14">
        <v>8</v>
      </c>
      <c r="G116" s="14">
        <v>12</v>
      </c>
      <c r="H116" s="14">
        <v>67</v>
      </c>
      <c r="I116" s="14">
        <v>41</v>
      </c>
      <c r="J116" s="14">
        <f>26</f>
        <v>26</v>
      </c>
      <c r="K116" s="14">
        <v>62</v>
      </c>
      <c r="L116" s="14">
        <v>1.63</v>
      </c>
      <c r="M116" s="14">
        <v>62.2</v>
      </c>
      <c r="N116" s="14">
        <v>45.5</v>
      </c>
      <c r="O116" s="14">
        <f>16.7</f>
        <v>16.7</v>
      </c>
      <c r="P116" s="14">
        <f>0.44</f>
        <v>0.44</v>
      </c>
      <c r="Q116" s="15">
        <v>25312</v>
      </c>
      <c r="R116" s="16" t="s">
        <v>1815</v>
      </c>
      <c r="S116" s="16" t="s">
        <v>1816</v>
      </c>
      <c r="T116" s="17" t="s">
        <v>855</v>
      </c>
    </row>
    <row r="117" spans="1:20" ht="12.3">
      <c r="A117" s="12">
        <v>6</v>
      </c>
      <c r="B117" s="13" t="s">
        <v>1817</v>
      </c>
      <c r="C117" s="14">
        <v>2020</v>
      </c>
      <c r="D117" s="14">
        <v>38</v>
      </c>
      <c r="E117" s="14">
        <v>16</v>
      </c>
      <c r="F117" s="14">
        <v>11</v>
      </c>
      <c r="G117" s="14">
        <v>11</v>
      </c>
      <c r="H117" s="14">
        <v>61</v>
      </c>
      <c r="I117" s="14">
        <v>47</v>
      </c>
      <c r="J117" s="14">
        <f>14</f>
        <v>14</v>
      </c>
      <c r="K117" s="14">
        <v>59</v>
      </c>
      <c r="L117" s="14">
        <v>1.55</v>
      </c>
      <c r="M117" s="14">
        <v>47.9</v>
      </c>
      <c r="N117" s="14">
        <v>54.2</v>
      </c>
      <c r="O117" s="14">
        <v>-6.3</v>
      </c>
      <c r="P117" s="14">
        <v>-0.17</v>
      </c>
      <c r="Q117" s="15">
        <v>43757</v>
      </c>
      <c r="R117" s="16" t="s">
        <v>1818</v>
      </c>
      <c r="S117" s="16" t="s">
        <v>1819</v>
      </c>
      <c r="T117" s="17" t="s">
        <v>1146</v>
      </c>
    </row>
    <row r="118" spans="1:20" ht="12.3">
      <c r="A118" s="12">
        <v>7</v>
      </c>
      <c r="B118" s="13" t="s">
        <v>1820</v>
      </c>
      <c r="C118" s="14">
        <v>2020</v>
      </c>
      <c r="D118" s="14">
        <v>38</v>
      </c>
      <c r="E118" s="14">
        <v>15</v>
      </c>
      <c r="F118" s="14">
        <v>14</v>
      </c>
      <c r="G118" s="14">
        <v>9</v>
      </c>
      <c r="H118" s="14">
        <v>51</v>
      </c>
      <c r="I118" s="14">
        <v>40</v>
      </c>
      <c r="J118" s="14">
        <f>11</f>
        <v>11</v>
      </c>
      <c r="K118" s="14">
        <v>59</v>
      </c>
      <c r="L118" s="14">
        <v>1.55</v>
      </c>
      <c r="M118" s="14">
        <v>54.1</v>
      </c>
      <c r="N118" s="14">
        <v>38</v>
      </c>
      <c r="O118" s="14">
        <f>16.1</f>
        <v>16.100000000000001</v>
      </c>
      <c r="P118" s="14">
        <f>0.42</f>
        <v>0.42</v>
      </c>
      <c r="Q118" s="15">
        <v>24758</v>
      </c>
      <c r="R118" s="16" t="s">
        <v>1821</v>
      </c>
      <c r="S118" s="16" t="s">
        <v>1822</v>
      </c>
      <c r="T118" s="17"/>
    </row>
    <row r="119" spans="1:20" ht="12.3">
      <c r="A119" s="12">
        <v>8</v>
      </c>
      <c r="B119" s="13" t="s">
        <v>1823</v>
      </c>
      <c r="C119" s="14">
        <v>2020</v>
      </c>
      <c r="D119" s="14">
        <v>38</v>
      </c>
      <c r="E119" s="14">
        <v>14</v>
      </c>
      <c r="F119" s="14">
        <v>14</v>
      </c>
      <c r="G119" s="14">
        <v>10</v>
      </c>
      <c r="H119" s="14">
        <v>56</v>
      </c>
      <c r="I119" s="14">
        <v>48</v>
      </c>
      <c r="J119" s="14">
        <f>8</f>
        <v>8</v>
      </c>
      <c r="K119" s="14">
        <v>56</v>
      </c>
      <c r="L119" s="14">
        <v>1.47</v>
      </c>
      <c r="M119" s="14">
        <v>47</v>
      </c>
      <c r="N119" s="14">
        <v>55.3</v>
      </c>
      <c r="O119" s="14">
        <v>-8.3000000000000007</v>
      </c>
      <c r="P119" s="14">
        <v>-0.22</v>
      </c>
      <c r="Q119" s="15">
        <v>47589</v>
      </c>
      <c r="R119" s="16" t="s">
        <v>1824</v>
      </c>
      <c r="S119" s="16" t="s">
        <v>1825</v>
      </c>
      <c r="T119" s="17" t="s">
        <v>1287</v>
      </c>
    </row>
    <row r="120" spans="1:20" ht="12.3">
      <c r="A120" s="12">
        <v>9</v>
      </c>
      <c r="B120" s="13" t="s">
        <v>1826</v>
      </c>
      <c r="C120" s="14">
        <v>2020</v>
      </c>
      <c r="D120" s="14">
        <v>38</v>
      </c>
      <c r="E120" s="14">
        <v>14</v>
      </c>
      <c r="F120" s="14">
        <v>12</v>
      </c>
      <c r="G120" s="14">
        <v>12</v>
      </c>
      <c r="H120" s="14">
        <v>39</v>
      </c>
      <c r="I120" s="14">
        <v>39</v>
      </c>
      <c r="J120" s="14">
        <v>0</v>
      </c>
      <c r="K120" s="14">
        <v>54</v>
      </c>
      <c r="L120" s="14">
        <v>1.42</v>
      </c>
      <c r="M120" s="14">
        <v>43</v>
      </c>
      <c r="N120" s="14">
        <v>51</v>
      </c>
      <c r="O120" s="14">
        <v>-7.9</v>
      </c>
      <c r="P120" s="14">
        <v>-0.21</v>
      </c>
      <c r="Q120" s="15">
        <v>24370</v>
      </c>
      <c r="R120" s="16" t="s">
        <v>1827</v>
      </c>
      <c r="S120" s="16" t="s">
        <v>1828</v>
      </c>
      <c r="T120" s="17"/>
    </row>
    <row r="121" spans="1:20" ht="12.3">
      <c r="A121" s="12">
        <v>10</v>
      </c>
      <c r="B121" s="13" t="s">
        <v>1829</v>
      </c>
      <c r="C121" s="14">
        <v>2020</v>
      </c>
      <c r="D121" s="14">
        <v>38</v>
      </c>
      <c r="E121" s="14">
        <v>15</v>
      </c>
      <c r="F121" s="14">
        <v>9</v>
      </c>
      <c r="G121" s="14">
        <v>14</v>
      </c>
      <c r="H121" s="14">
        <v>43</v>
      </c>
      <c r="I121" s="14">
        <v>50</v>
      </c>
      <c r="J121" s="14">
        <v>-7</v>
      </c>
      <c r="K121" s="14">
        <v>54</v>
      </c>
      <c r="L121" s="14">
        <v>1.42</v>
      </c>
      <c r="M121" s="14">
        <v>47.4</v>
      </c>
      <c r="N121" s="14">
        <v>49.8</v>
      </c>
      <c r="O121" s="14">
        <v>-2.4</v>
      </c>
      <c r="P121" s="14">
        <v>-0.06</v>
      </c>
      <c r="Q121" s="15">
        <v>15995</v>
      </c>
      <c r="R121" s="16" t="s">
        <v>1830</v>
      </c>
      <c r="S121" s="16" t="s">
        <v>1831</v>
      </c>
      <c r="T121" s="17"/>
    </row>
    <row r="122" spans="1:20" ht="12.3">
      <c r="A122" s="12">
        <v>11</v>
      </c>
      <c r="B122" s="13" t="s">
        <v>1832</v>
      </c>
      <c r="C122" s="14">
        <v>2020</v>
      </c>
      <c r="D122" s="14">
        <v>38</v>
      </c>
      <c r="E122" s="14">
        <v>15</v>
      </c>
      <c r="F122" s="14">
        <v>7</v>
      </c>
      <c r="G122" s="14">
        <v>16</v>
      </c>
      <c r="H122" s="14">
        <v>51</v>
      </c>
      <c r="I122" s="14">
        <v>60</v>
      </c>
      <c r="J122" s="14">
        <v>-9</v>
      </c>
      <c r="K122" s="14">
        <v>52</v>
      </c>
      <c r="L122" s="14">
        <v>1.37</v>
      </c>
      <c r="M122" s="14">
        <v>56.1</v>
      </c>
      <c r="N122" s="14">
        <v>52.8</v>
      </c>
      <c r="O122" s="14">
        <f>3.3</f>
        <v>3.3</v>
      </c>
      <c r="P122" s="14">
        <f>0.09</f>
        <v>0.09</v>
      </c>
      <c r="Q122" s="15">
        <v>23428</v>
      </c>
      <c r="R122" s="16" t="s">
        <v>1833</v>
      </c>
      <c r="S122" s="16" t="s">
        <v>1834</v>
      </c>
      <c r="T122" s="17"/>
    </row>
    <row r="123" spans="1:20" ht="12.3">
      <c r="A123" s="12">
        <v>12</v>
      </c>
      <c r="B123" s="13" t="s">
        <v>1835</v>
      </c>
      <c r="C123" s="14">
        <v>2020</v>
      </c>
      <c r="D123" s="14">
        <v>38</v>
      </c>
      <c r="E123" s="14">
        <v>13</v>
      </c>
      <c r="F123" s="14">
        <v>10</v>
      </c>
      <c r="G123" s="14">
        <v>15</v>
      </c>
      <c r="H123" s="14">
        <v>44</v>
      </c>
      <c r="I123" s="14">
        <v>56</v>
      </c>
      <c r="J123" s="14">
        <v>-12</v>
      </c>
      <c r="K123" s="14">
        <v>49</v>
      </c>
      <c r="L123" s="14">
        <v>1.29</v>
      </c>
      <c r="M123" s="14">
        <v>50.8</v>
      </c>
      <c r="N123" s="14">
        <v>48.3</v>
      </c>
      <c r="O123" s="14">
        <f>2.5</f>
        <v>2.5</v>
      </c>
      <c r="P123" s="14">
        <f>0.07</f>
        <v>7.0000000000000007E-2</v>
      </c>
      <c r="Q123" s="15">
        <v>28848</v>
      </c>
      <c r="R123" s="16" t="s">
        <v>1836</v>
      </c>
      <c r="S123" s="16" t="s">
        <v>1837</v>
      </c>
      <c r="T123" s="17"/>
    </row>
    <row r="124" spans="1:20" ht="12.3">
      <c r="A124" s="12">
        <v>13</v>
      </c>
      <c r="B124" s="13" t="s">
        <v>1838</v>
      </c>
      <c r="C124" s="14">
        <v>2020</v>
      </c>
      <c r="D124" s="14">
        <v>38</v>
      </c>
      <c r="E124" s="14">
        <v>11</v>
      </c>
      <c r="F124" s="14">
        <v>11</v>
      </c>
      <c r="G124" s="14">
        <v>16</v>
      </c>
      <c r="H124" s="14">
        <v>38</v>
      </c>
      <c r="I124" s="14">
        <v>58</v>
      </c>
      <c r="J124" s="14">
        <v>-20</v>
      </c>
      <c r="K124" s="14">
        <v>44</v>
      </c>
      <c r="L124" s="14">
        <v>1.1599999999999999</v>
      </c>
      <c r="M124" s="14">
        <v>35.5</v>
      </c>
      <c r="N124" s="14">
        <v>65.599999999999994</v>
      </c>
      <c r="O124" s="14">
        <v>-30.1</v>
      </c>
      <c r="P124" s="14">
        <v>-0.79</v>
      </c>
      <c r="Q124" s="15">
        <v>35551</v>
      </c>
      <c r="R124" s="16" t="s">
        <v>1839</v>
      </c>
      <c r="S124" s="16" t="s">
        <v>1840</v>
      </c>
      <c r="T124" s="17"/>
    </row>
    <row r="125" spans="1:20" ht="12.3">
      <c r="A125" s="12">
        <v>14</v>
      </c>
      <c r="B125" s="13" t="s">
        <v>1841</v>
      </c>
      <c r="C125" s="14">
        <v>2020</v>
      </c>
      <c r="D125" s="14">
        <v>38</v>
      </c>
      <c r="E125" s="14">
        <v>11</v>
      </c>
      <c r="F125" s="14">
        <v>10</v>
      </c>
      <c r="G125" s="14">
        <v>17</v>
      </c>
      <c r="H125" s="14">
        <v>31</v>
      </c>
      <c r="I125" s="14">
        <v>50</v>
      </c>
      <c r="J125" s="14">
        <v>-19</v>
      </c>
      <c r="K125" s="14">
        <v>43</v>
      </c>
      <c r="L125" s="14">
        <v>1.1299999999999999</v>
      </c>
      <c r="M125" s="14">
        <v>35.799999999999997</v>
      </c>
      <c r="N125" s="14">
        <v>57</v>
      </c>
      <c r="O125" s="14">
        <v>-21.2</v>
      </c>
      <c r="P125" s="14">
        <v>-0.56000000000000005</v>
      </c>
      <c r="Q125" s="15">
        <v>19784</v>
      </c>
      <c r="R125" s="16" t="s">
        <v>1842</v>
      </c>
      <c r="S125" s="16" t="s">
        <v>1843</v>
      </c>
      <c r="T125" s="17"/>
    </row>
    <row r="126" spans="1:20" ht="12.3">
      <c r="A126" s="12">
        <v>15</v>
      </c>
      <c r="B126" s="13" t="s">
        <v>1844</v>
      </c>
      <c r="C126" s="14">
        <v>2020</v>
      </c>
      <c r="D126" s="14">
        <v>38</v>
      </c>
      <c r="E126" s="14">
        <v>9</v>
      </c>
      <c r="F126" s="14">
        <v>14</v>
      </c>
      <c r="G126" s="14">
        <v>15</v>
      </c>
      <c r="H126" s="14">
        <v>39</v>
      </c>
      <c r="I126" s="14">
        <v>54</v>
      </c>
      <c r="J126" s="14">
        <v>-15</v>
      </c>
      <c r="K126" s="14">
        <v>41</v>
      </c>
      <c r="L126" s="14">
        <v>1.08</v>
      </c>
      <c r="M126" s="14">
        <v>45.4</v>
      </c>
      <c r="N126" s="14">
        <v>55</v>
      </c>
      <c r="O126" s="14">
        <v>-9.5</v>
      </c>
      <c r="P126" s="14">
        <v>-0.25</v>
      </c>
      <c r="Q126" s="15">
        <v>22369</v>
      </c>
      <c r="R126" s="16" t="s">
        <v>1845</v>
      </c>
      <c r="S126" s="16" t="s">
        <v>1846</v>
      </c>
      <c r="T126" s="17"/>
    </row>
    <row r="127" spans="1:20" ht="12.3">
      <c r="A127" s="12">
        <v>16</v>
      </c>
      <c r="B127" s="13" t="s">
        <v>1847</v>
      </c>
      <c r="C127" s="14">
        <v>2020</v>
      </c>
      <c r="D127" s="14">
        <v>38</v>
      </c>
      <c r="E127" s="14">
        <v>10</v>
      </c>
      <c r="F127" s="14">
        <v>9</v>
      </c>
      <c r="G127" s="14">
        <v>19</v>
      </c>
      <c r="H127" s="14">
        <v>49</v>
      </c>
      <c r="I127" s="14">
        <v>62</v>
      </c>
      <c r="J127" s="14">
        <v>-13</v>
      </c>
      <c r="K127" s="14">
        <v>39</v>
      </c>
      <c r="L127" s="14">
        <v>1.03</v>
      </c>
      <c r="M127" s="14">
        <v>48.6</v>
      </c>
      <c r="N127" s="14">
        <v>63.8</v>
      </c>
      <c r="O127" s="14">
        <v>-15.2</v>
      </c>
      <c r="P127" s="14">
        <v>-0.4</v>
      </c>
      <c r="Q127" s="15">
        <v>44155</v>
      </c>
      <c r="R127" s="16" t="s">
        <v>1848</v>
      </c>
      <c r="S127" s="16" t="s">
        <v>1849</v>
      </c>
      <c r="T127" s="17"/>
    </row>
    <row r="128" spans="1:20" ht="12.3">
      <c r="A128" s="12">
        <v>17</v>
      </c>
      <c r="B128" s="13" t="s">
        <v>1850</v>
      </c>
      <c r="C128" s="14">
        <v>2020</v>
      </c>
      <c r="D128" s="14">
        <v>38</v>
      </c>
      <c r="E128" s="14">
        <v>9</v>
      </c>
      <c r="F128" s="14">
        <v>8</v>
      </c>
      <c r="G128" s="14">
        <v>21</v>
      </c>
      <c r="H128" s="14">
        <v>41</v>
      </c>
      <c r="I128" s="14">
        <v>67</v>
      </c>
      <c r="J128" s="14">
        <v>-26</v>
      </c>
      <c r="K128" s="14">
        <v>35</v>
      </c>
      <c r="L128" s="14">
        <v>0.92</v>
      </c>
      <c r="M128" s="14">
        <v>44.3</v>
      </c>
      <c r="N128" s="14">
        <v>67.8</v>
      </c>
      <c r="O128" s="14">
        <v>-23.5</v>
      </c>
      <c r="P128" s="14">
        <v>-0.62</v>
      </c>
      <c r="Q128" s="15">
        <v>28505</v>
      </c>
      <c r="R128" s="16" t="s">
        <v>1851</v>
      </c>
      <c r="S128" s="16" t="s">
        <v>1852</v>
      </c>
      <c r="T128" s="17"/>
    </row>
    <row r="129" spans="1:20" ht="12.3">
      <c r="A129" s="18">
        <v>18</v>
      </c>
      <c r="B129" s="13" t="s">
        <v>1853</v>
      </c>
      <c r="C129" s="14">
        <v>2020</v>
      </c>
      <c r="D129" s="14">
        <v>38</v>
      </c>
      <c r="E129" s="14">
        <v>9</v>
      </c>
      <c r="F129" s="14">
        <v>7</v>
      </c>
      <c r="G129" s="14">
        <v>22</v>
      </c>
      <c r="H129" s="14">
        <v>40</v>
      </c>
      <c r="I129" s="14">
        <v>65</v>
      </c>
      <c r="J129" s="14">
        <v>-25</v>
      </c>
      <c r="K129" s="14">
        <v>34</v>
      </c>
      <c r="L129" s="14">
        <v>0.89</v>
      </c>
      <c r="M129" s="14">
        <v>44.8</v>
      </c>
      <c r="N129" s="14">
        <v>62.3</v>
      </c>
      <c r="O129" s="14">
        <v>-17.5</v>
      </c>
      <c r="P129" s="14">
        <v>-0.46</v>
      </c>
      <c r="Q129" s="15">
        <v>7745</v>
      </c>
      <c r="R129" s="16" t="s">
        <v>1854</v>
      </c>
      <c r="S129" s="16" t="s">
        <v>1855</v>
      </c>
      <c r="T129" s="17" t="s">
        <v>894</v>
      </c>
    </row>
    <row r="130" spans="1:20" ht="12.3">
      <c r="A130" s="18">
        <v>19</v>
      </c>
      <c r="B130" s="13" t="s">
        <v>1856</v>
      </c>
      <c r="C130" s="14">
        <v>2020</v>
      </c>
      <c r="D130" s="14">
        <v>38</v>
      </c>
      <c r="E130" s="14">
        <v>8</v>
      </c>
      <c r="F130" s="14">
        <v>10</v>
      </c>
      <c r="G130" s="14">
        <v>20</v>
      </c>
      <c r="H130" s="14">
        <v>36</v>
      </c>
      <c r="I130" s="14">
        <v>64</v>
      </c>
      <c r="J130" s="14">
        <v>-28</v>
      </c>
      <c r="K130" s="14">
        <v>34</v>
      </c>
      <c r="L130" s="14">
        <v>0.89</v>
      </c>
      <c r="M130" s="14">
        <v>48.9</v>
      </c>
      <c r="N130" s="14">
        <v>58.1</v>
      </c>
      <c r="O130" s="14">
        <v>-9.3000000000000007</v>
      </c>
      <c r="P130" s="14">
        <v>-0.24</v>
      </c>
      <c r="Q130" s="15">
        <v>15353</v>
      </c>
      <c r="R130" s="16" t="s">
        <v>1857</v>
      </c>
      <c r="S130" s="16" t="s">
        <v>1858</v>
      </c>
      <c r="T130" s="17" t="s">
        <v>894</v>
      </c>
    </row>
    <row r="131" spans="1:20" ht="12.3">
      <c r="A131" s="19">
        <v>20</v>
      </c>
      <c r="B131" s="20" t="s">
        <v>1859</v>
      </c>
      <c r="C131" s="14">
        <v>2020</v>
      </c>
      <c r="D131" s="21">
        <v>38</v>
      </c>
      <c r="E131" s="21">
        <v>5</v>
      </c>
      <c r="F131" s="21">
        <v>6</v>
      </c>
      <c r="G131" s="21">
        <v>27</v>
      </c>
      <c r="H131" s="21">
        <v>26</v>
      </c>
      <c r="I131" s="21">
        <v>75</v>
      </c>
      <c r="J131" s="21">
        <v>-49</v>
      </c>
      <c r="K131" s="21">
        <v>21</v>
      </c>
      <c r="L131" s="21">
        <v>0.55000000000000004</v>
      </c>
      <c r="M131" s="21">
        <v>37</v>
      </c>
      <c r="N131" s="21">
        <v>66.5</v>
      </c>
      <c r="O131" s="21">
        <v>-29.5</v>
      </c>
      <c r="P131" s="21">
        <v>-0.78</v>
      </c>
      <c r="Q131" s="22">
        <v>19913</v>
      </c>
      <c r="R131" s="23" t="s">
        <v>1860</v>
      </c>
      <c r="S131" s="23" t="s">
        <v>1861</v>
      </c>
      <c r="T131" s="24" t="s">
        <v>1862</v>
      </c>
    </row>
    <row r="133" spans="1:20" ht="12.3">
      <c r="A133" s="10" t="s">
        <v>820</v>
      </c>
      <c r="B133" s="11" t="s">
        <v>821</v>
      </c>
      <c r="C133" s="11" t="s">
        <v>2</v>
      </c>
      <c r="D133" s="11" t="s">
        <v>822</v>
      </c>
      <c r="E133" s="11" t="s">
        <v>823</v>
      </c>
      <c r="F133" s="11" t="s">
        <v>824</v>
      </c>
      <c r="G133" s="11" t="s">
        <v>825</v>
      </c>
      <c r="H133" s="11" t="s">
        <v>826</v>
      </c>
      <c r="I133" s="11" t="s">
        <v>827</v>
      </c>
      <c r="J133" s="11" t="s">
        <v>828</v>
      </c>
      <c r="K133" s="11" t="s">
        <v>829</v>
      </c>
      <c r="L133" s="11" t="s">
        <v>830</v>
      </c>
      <c r="M133" s="11" t="s">
        <v>831</v>
      </c>
      <c r="N133" s="11" t="s">
        <v>832</v>
      </c>
      <c r="O133" s="11" t="s">
        <v>833</v>
      </c>
      <c r="P133" s="11" t="s">
        <v>834</v>
      </c>
      <c r="Q133" s="11" t="s">
        <v>835</v>
      </c>
      <c r="R133" s="11" t="s">
        <v>836</v>
      </c>
      <c r="S133" s="11" t="s">
        <v>837</v>
      </c>
      <c r="T133" s="11" t="s">
        <v>838</v>
      </c>
    </row>
    <row r="134" spans="1:20" ht="12.3">
      <c r="A134" s="12">
        <v>1</v>
      </c>
      <c r="B134" s="13" t="s">
        <v>1863</v>
      </c>
      <c r="C134" s="14">
        <v>2019</v>
      </c>
      <c r="D134" s="14">
        <v>38</v>
      </c>
      <c r="E134" s="14">
        <v>32</v>
      </c>
      <c r="F134" s="14">
        <v>2</v>
      </c>
      <c r="G134" s="14">
        <v>4</v>
      </c>
      <c r="H134" s="14">
        <v>95</v>
      </c>
      <c r="I134" s="14">
        <v>23</v>
      </c>
      <c r="J134" s="14">
        <f>72</f>
        <v>72</v>
      </c>
      <c r="K134" s="14">
        <v>98</v>
      </c>
      <c r="L134" s="14">
        <v>2.58</v>
      </c>
      <c r="M134" s="14">
        <v>84.3</v>
      </c>
      <c r="N134" s="14">
        <v>24.7</v>
      </c>
      <c r="O134" s="14">
        <f>59.6</f>
        <v>59.6</v>
      </c>
      <c r="P134" s="14">
        <f>1.57</f>
        <v>1.57</v>
      </c>
      <c r="Q134" s="15">
        <v>54130</v>
      </c>
      <c r="R134" s="16" t="s">
        <v>1864</v>
      </c>
      <c r="S134" s="16" t="s">
        <v>1865</v>
      </c>
      <c r="T134" s="17" t="s">
        <v>842</v>
      </c>
    </row>
    <row r="135" spans="1:20" ht="12.3">
      <c r="A135" s="12">
        <v>2</v>
      </c>
      <c r="B135" s="13" t="s">
        <v>1866</v>
      </c>
      <c r="C135" s="14">
        <v>2019</v>
      </c>
      <c r="D135" s="14">
        <v>38</v>
      </c>
      <c r="E135" s="14">
        <v>30</v>
      </c>
      <c r="F135" s="14">
        <v>7</v>
      </c>
      <c r="G135" s="14">
        <v>1</v>
      </c>
      <c r="H135" s="14">
        <v>89</v>
      </c>
      <c r="I135" s="14">
        <v>22</v>
      </c>
      <c r="J135" s="14">
        <f>67</f>
        <v>67</v>
      </c>
      <c r="K135" s="14">
        <v>97</v>
      </c>
      <c r="L135" s="14">
        <v>2.5499999999999998</v>
      </c>
      <c r="M135" s="14">
        <v>73.7</v>
      </c>
      <c r="N135" s="14">
        <v>28.8</v>
      </c>
      <c r="O135" s="14">
        <f>44.9</f>
        <v>44.9</v>
      </c>
      <c r="P135" s="14">
        <f>1.18</f>
        <v>1.18</v>
      </c>
      <c r="Q135" s="15">
        <v>52983</v>
      </c>
      <c r="R135" s="16" t="s">
        <v>1867</v>
      </c>
      <c r="S135" s="16" t="s">
        <v>1868</v>
      </c>
      <c r="T135" s="17" t="s">
        <v>842</v>
      </c>
    </row>
    <row r="136" spans="1:20" ht="12.3">
      <c r="A136" s="12">
        <v>3</v>
      </c>
      <c r="B136" s="13" t="s">
        <v>1869</v>
      </c>
      <c r="C136" s="14">
        <v>2019</v>
      </c>
      <c r="D136" s="14">
        <v>38</v>
      </c>
      <c r="E136" s="14">
        <v>21</v>
      </c>
      <c r="F136" s="14">
        <v>9</v>
      </c>
      <c r="G136" s="14">
        <v>8</v>
      </c>
      <c r="H136" s="14">
        <v>63</v>
      </c>
      <c r="I136" s="14">
        <v>39</v>
      </c>
      <c r="J136" s="14">
        <f>24</f>
        <v>24</v>
      </c>
      <c r="K136" s="14">
        <v>72</v>
      </c>
      <c r="L136" s="14">
        <v>1.89</v>
      </c>
      <c r="M136" s="14">
        <v>58.6</v>
      </c>
      <c r="N136" s="14">
        <v>36.4</v>
      </c>
      <c r="O136" s="14">
        <f>22.2</f>
        <v>22.2</v>
      </c>
      <c r="P136" s="14">
        <f>0.58</f>
        <v>0.57999999999999996</v>
      </c>
      <c r="Q136" s="15">
        <v>40437</v>
      </c>
      <c r="R136" s="16" t="s">
        <v>1870</v>
      </c>
      <c r="S136" s="16" t="s">
        <v>1871</v>
      </c>
      <c r="T136" s="17" t="s">
        <v>842</v>
      </c>
    </row>
    <row r="137" spans="1:20" ht="12.3">
      <c r="A137" s="12">
        <v>4</v>
      </c>
      <c r="B137" s="13" t="s">
        <v>1872</v>
      </c>
      <c r="C137" s="14">
        <v>2019</v>
      </c>
      <c r="D137" s="14">
        <v>38</v>
      </c>
      <c r="E137" s="14">
        <v>23</v>
      </c>
      <c r="F137" s="14">
        <v>2</v>
      </c>
      <c r="G137" s="14">
        <v>13</v>
      </c>
      <c r="H137" s="14">
        <v>67</v>
      </c>
      <c r="I137" s="14">
        <v>39</v>
      </c>
      <c r="J137" s="14">
        <f>28</f>
        <v>28</v>
      </c>
      <c r="K137" s="14">
        <v>71</v>
      </c>
      <c r="L137" s="14">
        <v>1.87</v>
      </c>
      <c r="M137" s="14">
        <v>54.9</v>
      </c>
      <c r="N137" s="14">
        <v>47.1</v>
      </c>
      <c r="O137" s="14">
        <f>7.8</f>
        <v>7.8</v>
      </c>
      <c r="P137" s="14">
        <f>0.2</f>
        <v>0.2</v>
      </c>
      <c r="Q137" s="15">
        <v>54216</v>
      </c>
      <c r="R137" s="16" t="s">
        <v>1873</v>
      </c>
      <c r="S137" s="16" t="s">
        <v>1874</v>
      </c>
      <c r="T137" s="17" t="s">
        <v>842</v>
      </c>
    </row>
    <row r="138" spans="1:20" ht="12.3">
      <c r="A138" s="12">
        <v>5</v>
      </c>
      <c r="B138" s="13" t="s">
        <v>1875</v>
      </c>
      <c r="C138" s="14">
        <v>2019</v>
      </c>
      <c r="D138" s="14">
        <v>38</v>
      </c>
      <c r="E138" s="14">
        <v>21</v>
      </c>
      <c r="F138" s="14">
        <v>7</v>
      </c>
      <c r="G138" s="14">
        <v>10</v>
      </c>
      <c r="H138" s="14">
        <v>73</v>
      </c>
      <c r="I138" s="14">
        <v>51</v>
      </c>
      <c r="J138" s="14">
        <f>22</f>
        <v>22</v>
      </c>
      <c r="K138" s="14">
        <v>70</v>
      </c>
      <c r="L138" s="14">
        <v>1.84</v>
      </c>
      <c r="M138" s="14">
        <v>60.1</v>
      </c>
      <c r="N138" s="14">
        <v>54.2</v>
      </c>
      <c r="O138" s="14">
        <f>5.8</f>
        <v>5.8</v>
      </c>
      <c r="P138" s="14">
        <f>0.15</f>
        <v>0.15</v>
      </c>
      <c r="Q138" s="15">
        <v>59899</v>
      </c>
      <c r="R138" s="16" t="s">
        <v>1876</v>
      </c>
      <c r="S138" s="16" t="s">
        <v>1877</v>
      </c>
      <c r="T138" s="17" t="s">
        <v>855</v>
      </c>
    </row>
    <row r="139" spans="1:20" ht="12.3">
      <c r="A139" s="12">
        <v>6</v>
      </c>
      <c r="B139" s="13" t="s">
        <v>1878</v>
      </c>
      <c r="C139" s="14">
        <v>2019</v>
      </c>
      <c r="D139" s="14">
        <v>38</v>
      </c>
      <c r="E139" s="14">
        <v>19</v>
      </c>
      <c r="F139" s="14">
        <v>9</v>
      </c>
      <c r="G139" s="14">
        <v>10</v>
      </c>
      <c r="H139" s="14">
        <v>65</v>
      </c>
      <c r="I139" s="14">
        <v>54</v>
      </c>
      <c r="J139" s="14">
        <f>11</f>
        <v>11</v>
      </c>
      <c r="K139" s="14">
        <v>66</v>
      </c>
      <c r="L139" s="14">
        <v>1.74</v>
      </c>
      <c r="M139" s="14">
        <v>61.4</v>
      </c>
      <c r="N139" s="14">
        <v>50.6</v>
      </c>
      <c r="O139" s="14">
        <f>10.8</f>
        <v>10.8</v>
      </c>
      <c r="P139" s="14">
        <f>0.29</f>
        <v>0.28999999999999998</v>
      </c>
      <c r="Q139" s="15">
        <v>74498</v>
      </c>
      <c r="R139" s="16" t="s">
        <v>1879</v>
      </c>
      <c r="S139" s="16" t="s">
        <v>1880</v>
      </c>
      <c r="T139" s="17" t="s">
        <v>1146</v>
      </c>
    </row>
    <row r="140" spans="1:20" ht="12.3">
      <c r="A140" s="12">
        <v>7</v>
      </c>
      <c r="B140" s="13" t="s">
        <v>1881</v>
      </c>
      <c r="C140" s="14">
        <v>2019</v>
      </c>
      <c r="D140" s="14">
        <v>38</v>
      </c>
      <c r="E140" s="14">
        <v>16</v>
      </c>
      <c r="F140" s="14">
        <v>9</v>
      </c>
      <c r="G140" s="14">
        <v>13</v>
      </c>
      <c r="H140" s="14">
        <v>47</v>
      </c>
      <c r="I140" s="14">
        <v>46</v>
      </c>
      <c r="J140" s="14">
        <f>1</f>
        <v>1</v>
      </c>
      <c r="K140" s="14">
        <v>57</v>
      </c>
      <c r="L140" s="14">
        <v>1.5</v>
      </c>
      <c r="M140" s="14">
        <v>52.1</v>
      </c>
      <c r="N140" s="14">
        <v>42.1</v>
      </c>
      <c r="O140" s="14">
        <f>10.1</f>
        <v>10.1</v>
      </c>
      <c r="P140" s="14">
        <f>0.26</f>
        <v>0.26</v>
      </c>
      <c r="Q140" s="15">
        <v>31030</v>
      </c>
      <c r="R140" s="16" t="s">
        <v>1882</v>
      </c>
      <c r="S140" s="16" t="s">
        <v>1883</v>
      </c>
      <c r="T140" s="17" t="s">
        <v>855</v>
      </c>
    </row>
    <row r="141" spans="1:20" ht="12.3">
      <c r="A141" s="12">
        <v>8</v>
      </c>
      <c r="B141" s="13" t="s">
        <v>1884</v>
      </c>
      <c r="C141" s="14">
        <v>2019</v>
      </c>
      <c r="D141" s="14">
        <v>38</v>
      </c>
      <c r="E141" s="14">
        <v>15</v>
      </c>
      <c r="F141" s="14">
        <v>9</v>
      </c>
      <c r="G141" s="14">
        <v>14</v>
      </c>
      <c r="H141" s="14">
        <v>54</v>
      </c>
      <c r="I141" s="14">
        <v>46</v>
      </c>
      <c r="J141" s="14">
        <f>8</f>
        <v>8</v>
      </c>
      <c r="K141" s="14">
        <v>54</v>
      </c>
      <c r="L141" s="14">
        <v>1.42</v>
      </c>
      <c r="M141" s="14">
        <v>49.7</v>
      </c>
      <c r="N141" s="14">
        <v>45.7</v>
      </c>
      <c r="O141" s="14">
        <f>4</f>
        <v>4</v>
      </c>
      <c r="P141" s="14">
        <f>0.1</f>
        <v>0.1</v>
      </c>
      <c r="Q141" s="15">
        <v>39043</v>
      </c>
      <c r="R141" s="16" t="s">
        <v>1885</v>
      </c>
      <c r="S141" s="16" t="s">
        <v>1886</v>
      </c>
      <c r="T141" s="17"/>
    </row>
    <row r="142" spans="1:20" ht="12.3">
      <c r="A142" s="12">
        <v>9</v>
      </c>
      <c r="B142" s="13" t="s">
        <v>1887</v>
      </c>
      <c r="C142" s="14">
        <v>2019</v>
      </c>
      <c r="D142" s="14">
        <v>38</v>
      </c>
      <c r="E142" s="14">
        <v>15</v>
      </c>
      <c r="F142" s="14">
        <v>7</v>
      </c>
      <c r="G142" s="14">
        <v>16</v>
      </c>
      <c r="H142" s="14">
        <v>51</v>
      </c>
      <c r="I142" s="14">
        <v>48</v>
      </c>
      <c r="J142" s="14">
        <f>3</f>
        <v>3</v>
      </c>
      <c r="K142" s="14">
        <v>52</v>
      </c>
      <c r="L142" s="14">
        <v>1.37</v>
      </c>
      <c r="M142" s="14">
        <v>52.4</v>
      </c>
      <c r="N142" s="14">
        <v>43.7</v>
      </c>
      <c r="O142" s="14">
        <f>8.7</f>
        <v>8.6999999999999993</v>
      </c>
      <c r="P142" s="14">
        <f>0.23</f>
        <v>0.23</v>
      </c>
      <c r="Q142" s="15">
        <v>31851</v>
      </c>
      <c r="R142" s="16" t="s">
        <v>1888</v>
      </c>
      <c r="S142" s="16" t="s">
        <v>1889</v>
      </c>
      <c r="T142" s="17"/>
    </row>
    <row r="143" spans="1:20" ht="12.3">
      <c r="A143" s="12">
        <v>10</v>
      </c>
      <c r="B143" s="13" t="s">
        <v>1890</v>
      </c>
      <c r="C143" s="14">
        <v>2019</v>
      </c>
      <c r="D143" s="14">
        <v>38</v>
      </c>
      <c r="E143" s="14">
        <v>15</v>
      </c>
      <c r="F143" s="14">
        <v>7</v>
      </c>
      <c r="G143" s="14">
        <v>16</v>
      </c>
      <c r="H143" s="14">
        <v>52</v>
      </c>
      <c r="I143" s="14">
        <v>55</v>
      </c>
      <c r="J143" s="14">
        <v>-3</v>
      </c>
      <c r="K143" s="14">
        <v>52</v>
      </c>
      <c r="L143" s="14">
        <v>1.37</v>
      </c>
      <c r="M143" s="14">
        <v>47.6</v>
      </c>
      <c r="N143" s="14">
        <v>61.9</v>
      </c>
      <c r="O143" s="14">
        <v>-14.3</v>
      </c>
      <c r="P143" s="14">
        <v>-0.38</v>
      </c>
      <c r="Q143" s="15">
        <v>58336</v>
      </c>
      <c r="R143" s="16" t="s">
        <v>1891</v>
      </c>
      <c r="S143" s="16" t="s">
        <v>1892</v>
      </c>
      <c r="T143" s="17"/>
    </row>
    <row r="144" spans="1:20" ht="12.3">
      <c r="A144" s="12">
        <v>11</v>
      </c>
      <c r="B144" s="13" t="s">
        <v>1893</v>
      </c>
      <c r="C144" s="14">
        <v>2019</v>
      </c>
      <c r="D144" s="14">
        <v>38</v>
      </c>
      <c r="E144" s="14">
        <v>14</v>
      </c>
      <c r="F144" s="14">
        <v>8</v>
      </c>
      <c r="G144" s="14">
        <v>16</v>
      </c>
      <c r="H144" s="14">
        <v>52</v>
      </c>
      <c r="I144" s="14">
        <v>59</v>
      </c>
      <c r="J144" s="14">
        <v>-7</v>
      </c>
      <c r="K144" s="14">
        <v>50</v>
      </c>
      <c r="L144" s="14">
        <v>1.32</v>
      </c>
      <c r="M144" s="14">
        <v>48.2</v>
      </c>
      <c r="N144" s="14">
        <v>59.2</v>
      </c>
      <c r="O144" s="14">
        <v>-11</v>
      </c>
      <c r="P144" s="14">
        <v>-0.28999999999999998</v>
      </c>
      <c r="Q144" s="15">
        <v>20016</v>
      </c>
      <c r="R144" s="16" t="s">
        <v>1894</v>
      </c>
      <c r="S144" s="16" t="s">
        <v>1895</v>
      </c>
      <c r="T144" s="17"/>
    </row>
    <row r="145" spans="1:20" ht="12.3">
      <c r="A145" s="12">
        <v>12</v>
      </c>
      <c r="B145" s="13" t="s">
        <v>1896</v>
      </c>
      <c r="C145" s="14">
        <v>2019</v>
      </c>
      <c r="D145" s="14">
        <v>38</v>
      </c>
      <c r="E145" s="14">
        <v>14</v>
      </c>
      <c r="F145" s="14">
        <v>7</v>
      </c>
      <c r="G145" s="14">
        <v>17</v>
      </c>
      <c r="H145" s="14">
        <v>51</v>
      </c>
      <c r="I145" s="14">
        <v>53</v>
      </c>
      <c r="J145" s="14">
        <v>-2</v>
      </c>
      <c r="K145" s="14">
        <v>49</v>
      </c>
      <c r="L145" s="14">
        <v>1.29</v>
      </c>
      <c r="M145" s="14">
        <v>47.6</v>
      </c>
      <c r="N145" s="14">
        <v>50.1</v>
      </c>
      <c r="O145" s="14">
        <v>-2.5</v>
      </c>
      <c r="P145" s="14">
        <v>-7.0000000000000007E-2</v>
      </c>
      <c r="Q145" s="15">
        <v>25455</v>
      </c>
      <c r="R145" s="16" t="s">
        <v>1897</v>
      </c>
      <c r="S145" s="16" t="s">
        <v>1898</v>
      </c>
      <c r="T145" s="17"/>
    </row>
    <row r="146" spans="1:20" ht="12.3">
      <c r="A146" s="12">
        <v>13</v>
      </c>
      <c r="B146" s="13" t="s">
        <v>1899</v>
      </c>
      <c r="C146" s="14">
        <v>2019</v>
      </c>
      <c r="D146" s="14">
        <v>38</v>
      </c>
      <c r="E146" s="14">
        <v>12</v>
      </c>
      <c r="F146" s="14">
        <v>9</v>
      </c>
      <c r="G146" s="14">
        <v>17</v>
      </c>
      <c r="H146" s="14">
        <v>42</v>
      </c>
      <c r="I146" s="14">
        <v>48</v>
      </c>
      <c r="J146" s="14">
        <v>-6</v>
      </c>
      <c r="K146" s="14">
        <v>45</v>
      </c>
      <c r="L146" s="14">
        <v>1.18</v>
      </c>
      <c r="M146" s="14">
        <v>39.1</v>
      </c>
      <c r="N146" s="14">
        <v>53.6</v>
      </c>
      <c r="O146" s="14">
        <v>-14.5</v>
      </c>
      <c r="P146" s="14">
        <v>-0.38</v>
      </c>
      <c r="Q146" s="15">
        <v>51121</v>
      </c>
      <c r="R146" s="16" t="s">
        <v>1900</v>
      </c>
      <c r="S146" s="16" t="s">
        <v>1901</v>
      </c>
      <c r="T146" s="17"/>
    </row>
    <row r="147" spans="1:20" ht="12.3">
      <c r="A147" s="12">
        <v>14</v>
      </c>
      <c r="B147" s="13" t="s">
        <v>1902</v>
      </c>
      <c r="C147" s="14">
        <v>2019</v>
      </c>
      <c r="D147" s="14">
        <v>38</v>
      </c>
      <c r="E147" s="14">
        <v>13</v>
      </c>
      <c r="F147" s="14">
        <v>6</v>
      </c>
      <c r="G147" s="14">
        <v>19</v>
      </c>
      <c r="H147" s="14">
        <v>56</v>
      </c>
      <c r="I147" s="14">
        <v>70</v>
      </c>
      <c r="J147" s="14">
        <v>-14</v>
      </c>
      <c r="K147" s="14">
        <v>45</v>
      </c>
      <c r="L147" s="14">
        <v>1.18</v>
      </c>
      <c r="M147" s="14">
        <v>53.3</v>
      </c>
      <c r="N147" s="14">
        <v>57.2</v>
      </c>
      <c r="O147" s="14">
        <v>-3.9</v>
      </c>
      <c r="P147" s="14">
        <v>-0.1</v>
      </c>
      <c r="Q147" s="15">
        <v>10532</v>
      </c>
      <c r="R147" s="16" t="s">
        <v>1903</v>
      </c>
      <c r="S147" s="16" t="s">
        <v>1904</v>
      </c>
      <c r="T147" s="17"/>
    </row>
    <row r="148" spans="1:20" ht="12.3">
      <c r="A148" s="12">
        <v>15</v>
      </c>
      <c r="B148" s="13" t="s">
        <v>1905</v>
      </c>
      <c r="C148" s="14">
        <v>2019</v>
      </c>
      <c r="D148" s="14">
        <v>38</v>
      </c>
      <c r="E148" s="14">
        <v>11</v>
      </c>
      <c r="F148" s="14">
        <v>7</v>
      </c>
      <c r="G148" s="14">
        <v>20</v>
      </c>
      <c r="H148" s="14">
        <v>45</v>
      </c>
      <c r="I148" s="14">
        <v>68</v>
      </c>
      <c r="J148" s="14">
        <v>-23</v>
      </c>
      <c r="K148" s="14">
        <v>40</v>
      </c>
      <c r="L148" s="14">
        <v>1.05</v>
      </c>
      <c r="M148" s="14">
        <v>44.4</v>
      </c>
      <c r="N148" s="14">
        <v>62.1</v>
      </c>
      <c r="O148" s="14">
        <v>-17.7</v>
      </c>
      <c r="P148" s="14">
        <v>-0.46</v>
      </c>
      <c r="Q148" s="15">
        <v>20534</v>
      </c>
      <c r="R148" s="16" t="s">
        <v>1906</v>
      </c>
      <c r="S148" s="16" t="s">
        <v>1907</v>
      </c>
      <c r="T148" s="17"/>
    </row>
    <row r="149" spans="1:20" ht="12.3">
      <c r="A149" s="12">
        <v>16</v>
      </c>
      <c r="B149" s="13" t="s">
        <v>1908</v>
      </c>
      <c r="C149" s="14">
        <v>2019</v>
      </c>
      <c r="D149" s="14">
        <v>38</v>
      </c>
      <c r="E149" s="14">
        <v>9</v>
      </c>
      <c r="F149" s="14">
        <v>12</v>
      </c>
      <c r="G149" s="14">
        <v>17</v>
      </c>
      <c r="H149" s="14">
        <v>45</v>
      </c>
      <c r="I149" s="14">
        <v>65</v>
      </c>
      <c r="J149" s="14">
        <v>-20</v>
      </c>
      <c r="K149" s="14">
        <v>39</v>
      </c>
      <c r="L149" s="14">
        <v>1.03</v>
      </c>
      <c r="M149" s="14">
        <v>46.9</v>
      </c>
      <c r="N149" s="14">
        <v>55.1</v>
      </c>
      <c r="O149" s="14">
        <v>-8.1999999999999993</v>
      </c>
      <c r="P149" s="14">
        <v>-0.22</v>
      </c>
      <c r="Q149" s="15">
        <v>30139</v>
      </c>
      <c r="R149" s="16" t="s">
        <v>1909</v>
      </c>
      <c r="S149" s="16" t="s">
        <v>1910</v>
      </c>
      <c r="T149" s="17"/>
    </row>
    <row r="150" spans="1:20" ht="12.3">
      <c r="A150" s="12">
        <v>17</v>
      </c>
      <c r="B150" s="13" t="s">
        <v>1911</v>
      </c>
      <c r="C150" s="14">
        <v>2019</v>
      </c>
      <c r="D150" s="14">
        <v>38</v>
      </c>
      <c r="E150" s="14">
        <v>9</v>
      </c>
      <c r="F150" s="14">
        <v>9</v>
      </c>
      <c r="G150" s="14">
        <v>20</v>
      </c>
      <c r="H150" s="14">
        <v>35</v>
      </c>
      <c r="I150" s="14">
        <v>60</v>
      </c>
      <c r="J150" s="14">
        <v>-25</v>
      </c>
      <c r="K150" s="14">
        <v>36</v>
      </c>
      <c r="L150" s="14">
        <v>0.95</v>
      </c>
      <c r="M150" s="14">
        <v>35.299999999999997</v>
      </c>
      <c r="N150" s="14">
        <v>59.1</v>
      </c>
      <c r="O150" s="14">
        <v>-23.8</v>
      </c>
      <c r="P150" s="14">
        <v>-0.63</v>
      </c>
      <c r="Q150" s="15">
        <v>30426</v>
      </c>
      <c r="R150" s="16" t="s">
        <v>1912</v>
      </c>
      <c r="S150" s="16" t="s">
        <v>1913</v>
      </c>
      <c r="T150" s="17"/>
    </row>
    <row r="151" spans="1:20" ht="12.3">
      <c r="A151" s="18">
        <v>18</v>
      </c>
      <c r="B151" s="13" t="s">
        <v>1914</v>
      </c>
      <c r="C151" s="14">
        <v>2019</v>
      </c>
      <c r="D151" s="14">
        <v>38</v>
      </c>
      <c r="E151" s="14">
        <v>10</v>
      </c>
      <c r="F151" s="14">
        <v>4</v>
      </c>
      <c r="G151" s="14">
        <v>24</v>
      </c>
      <c r="H151" s="14">
        <v>34</v>
      </c>
      <c r="I151" s="14">
        <v>69</v>
      </c>
      <c r="J151" s="14">
        <v>-35</v>
      </c>
      <c r="K151" s="14">
        <v>34</v>
      </c>
      <c r="L151" s="14">
        <v>0.89</v>
      </c>
      <c r="M151" s="14">
        <v>42.4</v>
      </c>
      <c r="N151" s="14">
        <v>61.5</v>
      </c>
      <c r="O151" s="14">
        <v>-19.100000000000001</v>
      </c>
      <c r="P151" s="14">
        <v>-0.5</v>
      </c>
      <c r="Q151" s="15">
        <v>31408</v>
      </c>
      <c r="R151" s="16" t="s">
        <v>1915</v>
      </c>
      <c r="S151" s="16" t="s">
        <v>1916</v>
      </c>
      <c r="T151" s="17" t="s">
        <v>894</v>
      </c>
    </row>
    <row r="152" spans="1:20" ht="12.3">
      <c r="A152" s="18">
        <v>19</v>
      </c>
      <c r="B152" s="13" t="s">
        <v>1917</v>
      </c>
      <c r="C152" s="14">
        <v>2019</v>
      </c>
      <c r="D152" s="14">
        <v>38</v>
      </c>
      <c r="E152" s="14">
        <v>7</v>
      </c>
      <c r="F152" s="14">
        <v>5</v>
      </c>
      <c r="G152" s="14">
        <v>26</v>
      </c>
      <c r="H152" s="14">
        <v>34</v>
      </c>
      <c r="I152" s="14">
        <v>81</v>
      </c>
      <c r="J152" s="14">
        <v>-47</v>
      </c>
      <c r="K152" s="14">
        <v>26</v>
      </c>
      <c r="L152" s="14">
        <v>0.68</v>
      </c>
      <c r="M152" s="14">
        <v>41.3</v>
      </c>
      <c r="N152" s="14">
        <v>68.2</v>
      </c>
      <c r="O152" s="14">
        <v>-26.8</v>
      </c>
      <c r="P152" s="14">
        <v>-0.71</v>
      </c>
      <c r="Q152" s="15">
        <v>24371</v>
      </c>
      <c r="R152" s="16" t="s">
        <v>1918</v>
      </c>
      <c r="S152" s="16" t="s">
        <v>1919</v>
      </c>
      <c r="T152" s="17" t="s">
        <v>894</v>
      </c>
    </row>
    <row r="153" spans="1:20" ht="12.3">
      <c r="A153" s="19">
        <v>20</v>
      </c>
      <c r="B153" s="20" t="s">
        <v>1920</v>
      </c>
      <c r="C153" s="14">
        <v>2019</v>
      </c>
      <c r="D153" s="21">
        <v>38</v>
      </c>
      <c r="E153" s="21">
        <v>3</v>
      </c>
      <c r="F153" s="21">
        <v>7</v>
      </c>
      <c r="G153" s="21">
        <v>28</v>
      </c>
      <c r="H153" s="21">
        <v>22</v>
      </c>
      <c r="I153" s="21">
        <v>76</v>
      </c>
      <c r="J153" s="21">
        <v>-54</v>
      </c>
      <c r="K153" s="21">
        <v>16</v>
      </c>
      <c r="L153" s="21">
        <v>0.42</v>
      </c>
      <c r="M153" s="21">
        <v>28.8</v>
      </c>
      <c r="N153" s="21">
        <v>60.9</v>
      </c>
      <c r="O153" s="21">
        <v>-32.200000000000003</v>
      </c>
      <c r="P153" s="21">
        <v>-0.85</v>
      </c>
      <c r="Q153" s="22">
        <v>23203</v>
      </c>
      <c r="R153" s="23" t="s">
        <v>1921</v>
      </c>
      <c r="S153" s="23" t="s">
        <v>1922</v>
      </c>
      <c r="T153" s="24" t="s">
        <v>894</v>
      </c>
    </row>
    <row r="154" spans="1:20" ht="12.3">
      <c r="A154" s="10" t="s">
        <v>820</v>
      </c>
      <c r="B154" s="11" t="s">
        <v>821</v>
      </c>
      <c r="C154" s="11" t="s">
        <v>2</v>
      </c>
      <c r="D154" s="11" t="s">
        <v>822</v>
      </c>
      <c r="E154" s="11" t="s">
        <v>823</v>
      </c>
      <c r="F154" s="11" t="s">
        <v>824</v>
      </c>
      <c r="G154" s="11" t="s">
        <v>825</v>
      </c>
      <c r="H154" s="11" t="s">
        <v>826</v>
      </c>
      <c r="I154" s="11" t="s">
        <v>827</v>
      </c>
      <c r="J154" s="11" t="s">
        <v>828</v>
      </c>
      <c r="K154" s="11" t="s">
        <v>829</v>
      </c>
      <c r="L154" s="11" t="s">
        <v>830</v>
      </c>
      <c r="M154" s="11" t="s">
        <v>831</v>
      </c>
      <c r="N154" s="11" t="s">
        <v>832</v>
      </c>
      <c r="O154" s="11" t="s">
        <v>833</v>
      </c>
      <c r="P154" s="11" t="s">
        <v>834</v>
      </c>
      <c r="Q154" s="11" t="s">
        <v>835</v>
      </c>
      <c r="R154" s="11" t="s">
        <v>836</v>
      </c>
      <c r="S154" s="11" t="s">
        <v>837</v>
      </c>
      <c r="T154" s="11" t="s">
        <v>838</v>
      </c>
    </row>
    <row r="155" spans="1:20" ht="12.3">
      <c r="A155" s="12">
        <v>1</v>
      </c>
      <c r="B155" s="13" t="s">
        <v>1923</v>
      </c>
      <c r="C155" s="14">
        <v>2018</v>
      </c>
      <c r="D155" s="14">
        <v>38</v>
      </c>
      <c r="E155" s="14">
        <v>32</v>
      </c>
      <c r="F155" s="14">
        <v>4</v>
      </c>
      <c r="G155" s="14">
        <v>2</v>
      </c>
      <c r="H155" s="14">
        <v>106</v>
      </c>
      <c r="I155" s="14">
        <v>27</v>
      </c>
      <c r="J155" s="14">
        <f>79</f>
        <v>79</v>
      </c>
      <c r="K155" s="14">
        <v>100</v>
      </c>
      <c r="L155" s="14">
        <v>2.63</v>
      </c>
      <c r="M155" s="14">
        <v>78.599999999999994</v>
      </c>
      <c r="N155" s="14">
        <v>23.8</v>
      </c>
      <c r="O155" s="14">
        <f>54.8</f>
        <v>54.8</v>
      </c>
      <c r="P155" s="14">
        <f>1.44</f>
        <v>1.44</v>
      </c>
      <c r="Q155" s="15">
        <v>53812</v>
      </c>
      <c r="R155" s="16" t="s">
        <v>1924</v>
      </c>
      <c r="S155" s="16" t="s">
        <v>1925</v>
      </c>
      <c r="T155" s="17" t="s">
        <v>842</v>
      </c>
    </row>
    <row r="156" spans="1:20" ht="12.3">
      <c r="A156" s="12">
        <v>2</v>
      </c>
      <c r="B156" s="13" t="s">
        <v>1926</v>
      </c>
      <c r="C156" s="14">
        <v>2018</v>
      </c>
      <c r="D156" s="14">
        <v>38</v>
      </c>
      <c r="E156" s="14">
        <v>25</v>
      </c>
      <c r="F156" s="14">
        <v>6</v>
      </c>
      <c r="G156" s="14">
        <v>7</v>
      </c>
      <c r="H156" s="14">
        <v>68</v>
      </c>
      <c r="I156" s="14">
        <v>28</v>
      </c>
      <c r="J156" s="14">
        <f>40</f>
        <v>40</v>
      </c>
      <c r="K156" s="14">
        <v>81</v>
      </c>
      <c r="L156" s="14">
        <v>2.13</v>
      </c>
      <c r="M156" s="14">
        <v>55.7</v>
      </c>
      <c r="N156" s="14">
        <v>40.700000000000003</v>
      </c>
      <c r="O156" s="14">
        <f>15</f>
        <v>15</v>
      </c>
      <c r="P156" s="14">
        <f>0.4</f>
        <v>0.4</v>
      </c>
      <c r="Q156" s="15">
        <v>74976</v>
      </c>
      <c r="R156" s="16" t="s">
        <v>1927</v>
      </c>
      <c r="S156" s="16" t="s">
        <v>1928</v>
      </c>
      <c r="T156" s="17" t="s">
        <v>842</v>
      </c>
    </row>
    <row r="157" spans="1:20" ht="12.3">
      <c r="A157" s="12">
        <v>3</v>
      </c>
      <c r="B157" s="13" t="s">
        <v>1929</v>
      </c>
      <c r="C157" s="14">
        <v>2018</v>
      </c>
      <c r="D157" s="14">
        <v>38</v>
      </c>
      <c r="E157" s="14">
        <v>23</v>
      </c>
      <c r="F157" s="14">
        <v>8</v>
      </c>
      <c r="G157" s="14">
        <v>7</v>
      </c>
      <c r="H157" s="14">
        <v>74</v>
      </c>
      <c r="I157" s="14">
        <v>36</v>
      </c>
      <c r="J157" s="14">
        <f>38</f>
        <v>38</v>
      </c>
      <c r="K157" s="14">
        <v>77</v>
      </c>
      <c r="L157" s="14">
        <v>2.0299999999999998</v>
      </c>
      <c r="M157" s="14">
        <v>64.7</v>
      </c>
      <c r="N157" s="14">
        <v>33.9</v>
      </c>
      <c r="O157" s="14">
        <f>30.8</f>
        <v>30.8</v>
      </c>
      <c r="P157" s="14">
        <f>0.81</f>
        <v>0.81</v>
      </c>
      <c r="Q157" s="15">
        <v>67496</v>
      </c>
      <c r="R157" s="16" t="s">
        <v>1930</v>
      </c>
      <c r="S157" s="16" t="s">
        <v>1931</v>
      </c>
      <c r="T157" s="17" t="s">
        <v>842</v>
      </c>
    </row>
    <row r="158" spans="1:20" ht="12.3">
      <c r="A158" s="12">
        <v>4</v>
      </c>
      <c r="B158" s="13" t="s">
        <v>1932</v>
      </c>
      <c r="C158" s="14">
        <v>2018</v>
      </c>
      <c r="D158" s="14">
        <v>38</v>
      </c>
      <c r="E158" s="14">
        <v>21</v>
      </c>
      <c r="F158" s="14">
        <v>12</v>
      </c>
      <c r="G158" s="14">
        <v>5</v>
      </c>
      <c r="H158" s="14">
        <v>84</v>
      </c>
      <c r="I158" s="14">
        <v>38</v>
      </c>
      <c r="J158" s="14">
        <f>46</f>
        <v>46</v>
      </c>
      <c r="K158" s="14">
        <v>75</v>
      </c>
      <c r="L158" s="14">
        <v>1.97</v>
      </c>
      <c r="M158" s="14">
        <v>72.900000000000006</v>
      </c>
      <c r="N158" s="14">
        <v>33.799999999999997</v>
      </c>
      <c r="O158" s="14">
        <f>39.1</f>
        <v>39.1</v>
      </c>
      <c r="P158" s="14">
        <f>1.03</f>
        <v>1.03</v>
      </c>
      <c r="Q158" s="15">
        <v>53049</v>
      </c>
      <c r="R158" s="16" t="s">
        <v>1933</v>
      </c>
      <c r="S158" s="16" t="s">
        <v>1934</v>
      </c>
      <c r="T158" s="17" t="s">
        <v>842</v>
      </c>
    </row>
    <row r="159" spans="1:20" ht="12.3">
      <c r="A159" s="12">
        <v>5</v>
      </c>
      <c r="B159" s="13" t="s">
        <v>1935</v>
      </c>
      <c r="C159" s="14">
        <v>2018</v>
      </c>
      <c r="D159" s="14">
        <v>38</v>
      </c>
      <c r="E159" s="14">
        <v>21</v>
      </c>
      <c r="F159" s="14">
        <v>7</v>
      </c>
      <c r="G159" s="14">
        <v>10</v>
      </c>
      <c r="H159" s="14">
        <v>62</v>
      </c>
      <c r="I159" s="14">
        <v>38</v>
      </c>
      <c r="J159" s="14">
        <f>24</f>
        <v>24</v>
      </c>
      <c r="K159" s="14">
        <v>70</v>
      </c>
      <c r="L159" s="14">
        <v>1.84</v>
      </c>
      <c r="M159" s="14">
        <v>54.4</v>
      </c>
      <c r="N159" s="14">
        <v>33.799999999999997</v>
      </c>
      <c r="O159" s="14">
        <f>20.6</f>
        <v>20.6</v>
      </c>
      <c r="P159" s="14">
        <f t="shared" ref="P159:P160" si="4">0.54</f>
        <v>0.54</v>
      </c>
      <c r="Q159" s="15">
        <v>41282</v>
      </c>
      <c r="R159" s="16" t="s">
        <v>1936</v>
      </c>
      <c r="S159" s="16" t="s">
        <v>1937</v>
      </c>
      <c r="T159" s="17" t="s">
        <v>1283</v>
      </c>
    </row>
    <row r="160" spans="1:20" ht="12.3">
      <c r="A160" s="12">
        <v>6</v>
      </c>
      <c r="B160" s="13" t="s">
        <v>1938</v>
      </c>
      <c r="C160" s="14">
        <v>2018</v>
      </c>
      <c r="D160" s="14">
        <v>38</v>
      </c>
      <c r="E160" s="14">
        <v>19</v>
      </c>
      <c r="F160" s="14">
        <v>6</v>
      </c>
      <c r="G160" s="14">
        <v>13</v>
      </c>
      <c r="H160" s="14">
        <v>74</v>
      </c>
      <c r="I160" s="14">
        <v>51</v>
      </c>
      <c r="J160" s="14">
        <f>23</f>
        <v>23</v>
      </c>
      <c r="K160" s="14">
        <v>63</v>
      </c>
      <c r="L160" s="14">
        <v>1.66</v>
      </c>
      <c r="M160" s="14">
        <v>68.3</v>
      </c>
      <c r="N160" s="14">
        <v>47.8</v>
      </c>
      <c r="O160" s="14">
        <f>20.5</f>
        <v>20.5</v>
      </c>
      <c r="P160" s="14">
        <f t="shared" si="4"/>
        <v>0.54</v>
      </c>
      <c r="Q160" s="15">
        <v>59323</v>
      </c>
      <c r="R160" s="16" t="s">
        <v>1939</v>
      </c>
      <c r="S160" s="16" t="s">
        <v>1940</v>
      </c>
      <c r="T160" s="17" t="s">
        <v>855</v>
      </c>
    </row>
    <row r="161" spans="1:20" ht="12.3">
      <c r="A161" s="12">
        <v>7</v>
      </c>
      <c r="B161" s="13" t="s">
        <v>1941</v>
      </c>
      <c r="C161" s="14">
        <v>2018</v>
      </c>
      <c r="D161" s="14">
        <v>38</v>
      </c>
      <c r="E161" s="14">
        <v>14</v>
      </c>
      <c r="F161" s="14">
        <v>12</v>
      </c>
      <c r="G161" s="14">
        <v>12</v>
      </c>
      <c r="H161" s="14">
        <v>36</v>
      </c>
      <c r="I161" s="14">
        <v>39</v>
      </c>
      <c r="J161" s="14">
        <v>-3</v>
      </c>
      <c r="K161" s="14">
        <v>54</v>
      </c>
      <c r="L161" s="14">
        <v>1.42</v>
      </c>
      <c r="M161" s="14">
        <v>32.299999999999997</v>
      </c>
      <c r="N161" s="14">
        <v>51.2</v>
      </c>
      <c r="O161" s="14">
        <v>-18.899999999999999</v>
      </c>
      <c r="P161" s="14">
        <v>-0.5</v>
      </c>
      <c r="Q161" s="15">
        <v>20688</v>
      </c>
      <c r="R161" s="16" t="s">
        <v>1942</v>
      </c>
      <c r="S161" s="16" t="s">
        <v>1943</v>
      </c>
      <c r="T161" s="17" t="s">
        <v>1334</v>
      </c>
    </row>
    <row r="162" spans="1:20" ht="12.3">
      <c r="A162" s="12">
        <v>8</v>
      </c>
      <c r="B162" s="13" t="s">
        <v>1944</v>
      </c>
      <c r="C162" s="14">
        <v>2018</v>
      </c>
      <c r="D162" s="14">
        <v>38</v>
      </c>
      <c r="E162" s="14">
        <v>13</v>
      </c>
      <c r="F162" s="14">
        <v>10</v>
      </c>
      <c r="G162" s="14">
        <v>15</v>
      </c>
      <c r="H162" s="14">
        <v>44</v>
      </c>
      <c r="I162" s="14">
        <v>58</v>
      </c>
      <c r="J162" s="14">
        <v>-14</v>
      </c>
      <c r="K162" s="14">
        <v>49</v>
      </c>
      <c r="L162" s="14">
        <v>1.29</v>
      </c>
      <c r="M162" s="14">
        <v>40.5</v>
      </c>
      <c r="N162" s="14">
        <v>52.4</v>
      </c>
      <c r="O162" s="14">
        <v>-11.9</v>
      </c>
      <c r="P162" s="14">
        <v>-0.31</v>
      </c>
      <c r="Q162" s="15">
        <v>38797</v>
      </c>
      <c r="R162" s="16" t="s">
        <v>1945</v>
      </c>
      <c r="S162" s="16" t="s">
        <v>1946</v>
      </c>
      <c r="T162" s="17"/>
    </row>
    <row r="163" spans="1:20" ht="12.3">
      <c r="A163" s="12">
        <v>9</v>
      </c>
      <c r="B163" s="13" t="s">
        <v>1947</v>
      </c>
      <c r="C163" s="14">
        <v>2018</v>
      </c>
      <c r="D163" s="14">
        <v>38</v>
      </c>
      <c r="E163" s="14">
        <v>12</v>
      </c>
      <c r="F163" s="14">
        <v>11</v>
      </c>
      <c r="G163" s="14">
        <v>15</v>
      </c>
      <c r="H163" s="14">
        <v>56</v>
      </c>
      <c r="I163" s="14">
        <v>60</v>
      </c>
      <c r="J163" s="14">
        <v>-4</v>
      </c>
      <c r="K163" s="14">
        <v>47</v>
      </c>
      <c r="L163" s="14">
        <v>1.24</v>
      </c>
      <c r="M163" s="14">
        <v>50</v>
      </c>
      <c r="N163" s="14">
        <v>48.1</v>
      </c>
      <c r="O163" s="14">
        <f>1.9</f>
        <v>1.9</v>
      </c>
      <c r="P163" s="14">
        <f>0.05</f>
        <v>0.05</v>
      </c>
      <c r="Q163" s="15">
        <v>31583</v>
      </c>
      <c r="R163" s="16" t="s">
        <v>1948</v>
      </c>
      <c r="S163" s="16" t="s">
        <v>1949</v>
      </c>
      <c r="T163" s="17"/>
    </row>
    <row r="164" spans="1:20" ht="12.3">
      <c r="A164" s="12">
        <v>10</v>
      </c>
      <c r="B164" s="13" t="s">
        <v>1950</v>
      </c>
      <c r="C164" s="14">
        <v>2018</v>
      </c>
      <c r="D164" s="14">
        <v>38</v>
      </c>
      <c r="E164" s="14">
        <v>12</v>
      </c>
      <c r="F164" s="14">
        <v>8</v>
      </c>
      <c r="G164" s="14">
        <v>18</v>
      </c>
      <c r="H164" s="14">
        <v>39</v>
      </c>
      <c r="I164" s="14">
        <v>47</v>
      </c>
      <c r="J164" s="14">
        <v>-8</v>
      </c>
      <c r="K164" s="14">
        <v>44</v>
      </c>
      <c r="L164" s="14">
        <v>1.1599999999999999</v>
      </c>
      <c r="M164" s="14">
        <v>41.6</v>
      </c>
      <c r="N164" s="14">
        <v>52.4</v>
      </c>
      <c r="O164" s="14">
        <v>-10.8</v>
      </c>
      <c r="P164" s="14">
        <v>-0.28000000000000003</v>
      </c>
      <c r="Q164" s="15">
        <v>51992</v>
      </c>
      <c r="R164" s="16" t="s">
        <v>1951</v>
      </c>
      <c r="S164" s="16" t="s">
        <v>1952</v>
      </c>
      <c r="T164" s="17"/>
    </row>
    <row r="165" spans="1:20" ht="12.3">
      <c r="A165" s="12">
        <v>11</v>
      </c>
      <c r="B165" s="13" t="s">
        <v>1953</v>
      </c>
      <c r="C165" s="14">
        <v>2018</v>
      </c>
      <c r="D165" s="14">
        <v>38</v>
      </c>
      <c r="E165" s="14">
        <v>11</v>
      </c>
      <c r="F165" s="14">
        <v>11</v>
      </c>
      <c r="G165" s="14">
        <v>16</v>
      </c>
      <c r="H165" s="14">
        <v>45</v>
      </c>
      <c r="I165" s="14">
        <v>55</v>
      </c>
      <c r="J165" s="14">
        <v>-10</v>
      </c>
      <c r="K165" s="14">
        <v>44</v>
      </c>
      <c r="L165" s="14">
        <v>1.1599999999999999</v>
      </c>
      <c r="M165" s="14">
        <v>53.5</v>
      </c>
      <c r="N165" s="14">
        <v>48.2</v>
      </c>
      <c r="O165" s="14">
        <f>5.2</f>
        <v>5.2</v>
      </c>
      <c r="P165" s="14">
        <f>0.14</f>
        <v>0.14000000000000001</v>
      </c>
      <c r="Q165" s="15">
        <v>25063</v>
      </c>
      <c r="R165" s="16" t="s">
        <v>1954</v>
      </c>
      <c r="S165" s="16" t="s">
        <v>1955</v>
      </c>
      <c r="T165" s="17"/>
    </row>
    <row r="166" spans="1:20" ht="12.3">
      <c r="A166" s="12">
        <v>12</v>
      </c>
      <c r="B166" s="13" t="s">
        <v>1956</v>
      </c>
      <c r="C166" s="14">
        <v>2018</v>
      </c>
      <c r="D166" s="14">
        <v>38</v>
      </c>
      <c r="E166" s="14">
        <v>11</v>
      </c>
      <c r="F166" s="14">
        <v>11</v>
      </c>
      <c r="G166" s="14">
        <v>16</v>
      </c>
      <c r="H166" s="14">
        <v>45</v>
      </c>
      <c r="I166" s="14">
        <v>61</v>
      </c>
      <c r="J166" s="14">
        <v>-16</v>
      </c>
      <c r="K166" s="14">
        <v>44</v>
      </c>
      <c r="L166" s="14">
        <v>1.1599999999999999</v>
      </c>
      <c r="M166" s="14">
        <v>38.799999999999997</v>
      </c>
      <c r="N166" s="14">
        <v>59.2</v>
      </c>
      <c r="O166" s="14">
        <v>-20.399999999999999</v>
      </c>
      <c r="P166" s="14">
        <v>-0.54</v>
      </c>
      <c r="Q166" s="15">
        <v>10641</v>
      </c>
      <c r="R166" s="16" t="s">
        <v>1957</v>
      </c>
      <c r="S166" s="16" t="s">
        <v>1958</v>
      </c>
      <c r="T166" s="17"/>
    </row>
    <row r="167" spans="1:20" ht="12.3">
      <c r="A167" s="12">
        <v>13</v>
      </c>
      <c r="B167" s="13" t="s">
        <v>1959</v>
      </c>
      <c r="C167" s="14">
        <v>2018</v>
      </c>
      <c r="D167" s="14">
        <v>38</v>
      </c>
      <c r="E167" s="14">
        <v>10</v>
      </c>
      <c r="F167" s="14">
        <v>12</v>
      </c>
      <c r="G167" s="14">
        <v>16</v>
      </c>
      <c r="H167" s="14">
        <v>48</v>
      </c>
      <c r="I167" s="14">
        <v>68</v>
      </c>
      <c r="J167" s="14">
        <v>-20</v>
      </c>
      <c r="K167" s="14">
        <v>42</v>
      </c>
      <c r="L167" s="14">
        <v>1.1100000000000001</v>
      </c>
      <c r="M167" s="14">
        <v>36.700000000000003</v>
      </c>
      <c r="N167" s="14">
        <v>55.1</v>
      </c>
      <c r="O167" s="14">
        <v>-18.399999999999999</v>
      </c>
      <c r="P167" s="14">
        <v>-0.48</v>
      </c>
      <c r="Q167" s="15">
        <v>56885</v>
      </c>
      <c r="R167" s="16" t="s">
        <v>1960</v>
      </c>
      <c r="S167" s="16" t="s">
        <v>1961</v>
      </c>
      <c r="T167" s="17"/>
    </row>
    <row r="168" spans="1:20" ht="12.3">
      <c r="A168" s="12">
        <v>14</v>
      </c>
      <c r="B168" s="13" t="s">
        <v>1962</v>
      </c>
      <c r="C168" s="14">
        <v>2018</v>
      </c>
      <c r="D168" s="14">
        <v>38</v>
      </c>
      <c r="E168" s="14">
        <v>11</v>
      </c>
      <c r="F168" s="14">
        <v>8</v>
      </c>
      <c r="G168" s="14">
        <v>19</v>
      </c>
      <c r="H168" s="14">
        <v>44</v>
      </c>
      <c r="I168" s="14">
        <v>64</v>
      </c>
      <c r="J168" s="14">
        <v>-20</v>
      </c>
      <c r="K168" s="14">
        <v>41</v>
      </c>
      <c r="L168" s="14">
        <v>1.08</v>
      </c>
      <c r="M168" s="14">
        <v>45</v>
      </c>
      <c r="N168" s="14">
        <v>51.8</v>
      </c>
      <c r="O168" s="14">
        <v>-6.8</v>
      </c>
      <c r="P168" s="14">
        <v>-0.18</v>
      </c>
      <c r="Q168" s="15">
        <v>20231</v>
      </c>
      <c r="R168" s="16" t="s">
        <v>1963</v>
      </c>
      <c r="S168" s="16" t="s">
        <v>1964</v>
      </c>
      <c r="T168" s="17"/>
    </row>
    <row r="169" spans="1:20" ht="12.3">
      <c r="A169" s="12">
        <v>15</v>
      </c>
      <c r="B169" s="13" t="s">
        <v>1965</v>
      </c>
      <c r="C169" s="14">
        <v>2018</v>
      </c>
      <c r="D169" s="14">
        <v>38</v>
      </c>
      <c r="E169" s="14">
        <v>9</v>
      </c>
      <c r="F169" s="14">
        <v>13</v>
      </c>
      <c r="G169" s="14">
        <v>16</v>
      </c>
      <c r="H169" s="14">
        <v>34</v>
      </c>
      <c r="I169" s="14">
        <v>54</v>
      </c>
      <c r="J169" s="14">
        <v>-20</v>
      </c>
      <c r="K169" s="14">
        <v>40</v>
      </c>
      <c r="L169" s="14">
        <v>1.05</v>
      </c>
      <c r="M169" s="14">
        <v>37</v>
      </c>
      <c r="N169" s="14">
        <v>50.8</v>
      </c>
      <c r="O169" s="14">
        <v>-13.8</v>
      </c>
      <c r="P169" s="14">
        <v>-0.36</v>
      </c>
      <c r="Q169" s="15">
        <v>30403</v>
      </c>
      <c r="R169" s="16" t="s">
        <v>1966</v>
      </c>
      <c r="S169" s="16" t="s">
        <v>1967</v>
      </c>
      <c r="T169" s="17"/>
    </row>
    <row r="170" spans="1:20" ht="12.3">
      <c r="A170" s="12">
        <v>16</v>
      </c>
      <c r="B170" s="13" t="s">
        <v>1968</v>
      </c>
      <c r="C170" s="14">
        <v>2018</v>
      </c>
      <c r="D170" s="14">
        <v>38</v>
      </c>
      <c r="E170" s="14">
        <v>9</v>
      </c>
      <c r="F170" s="14">
        <v>10</v>
      </c>
      <c r="G170" s="14">
        <v>19</v>
      </c>
      <c r="H170" s="14">
        <v>28</v>
      </c>
      <c r="I170" s="14">
        <v>58</v>
      </c>
      <c r="J170" s="14">
        <v>-30</v>
      </c>
      <c r="K170" s="14">
        <v>37</v>
      </c>
      <c r="L170" s="14">
        <v>0.97</v>
      </c>
      <c r="M170" s="14">
        <v>31.3</v>
      </c>
      <c r="N170" s="14">
        <v>48.5</v>
      </c>
      <c r="O170" s="14">
        <v>-17.2</v>
      </c>
      <c r="P170" s="14">
        <v>-0.45</v>
      </c>
      <c r="Q170" s="15">
        <v>24040</v>
      </c>
      <c r="R170" s="16" t="s">
        <v>1969</v>
      </c>
      <c r="S170" s="16" t="s">
        <v>1970</v>
      </c>
      <c r="T170" s="17"/>
    </row>
    <row r="171" spans="1:20" ht="12.3">
      <c r="A171" s="12">
        <v>17</v>
      </c>
      <c r="B171" s="13" t="s">
        <v>1971</v>
      </c>
      <c r="C171" s="14">
        <v>2018</v>
      </c>
      <c r="D171" s="14">
        <v>38</v>
      </c>
      <c r="E171" s="14">
        <v>7</v>
      </c>
      <c r="F171" s="14">
        <v>15</v>
      </c>
      <c r="G171" s="14">
        <v>16</v>
      </c>
      <c r="H171" s="14">
        <v>37</v>
      </c>
      <c r="I171" s="14">
        <v>56</v>
      </c>
      <c r="J171" s="14">
        <v>-19</v>
      </c>
      <c r="K171" s="14">
        <v>36</v>
      </c>
      <c r="L171" s="14">
        <v>0.95</v>
      </c>
      <c r="M171" s="14">
        <v>39.9</v>
      </c>
      <c r="N171" s="14">
        <v>45.2</v>
      </c>
      <c r="O171" s="14">
        <v>-5.3</v>
      </c>
      <c r="P171" s="14">
        <v>-0.14000000000000001</v>
      </c>
      <c r="Q171" s="15">
        <v>30794</v>
      </c>
      <c r="R171" s="16" t="s">
        <v>1972</v>
      </c>
      <c r="S171" s="16" t="s">
        <v>1973</v>
      </c>
      <c r="T171" s="17"/>
    </row>
    <row r="172" spans="1:20" ht="12.3">
      <c r="A172" s="18">
        <v>18</v>
      </c>
      <c r="B172" s="13" t="s">
        <v>1974</v>
      </c>
      <c r="C172" s="14">
        <v>2018</v>
      </c>
      <c r="D172" s="14">
        <v>38</v>
      </c>
      <c r="E172" s="14">
        <v>8</v>
      </c>
      <c r="F172" s="14">
        <v>9</v>
      </c>
      <c r="G172" s="14">
        <v>21</v>
      </c>
      <c r="H172" s="14">
        <v>28</v>
      </c>
      <c r="I172" s="14">
        <v>56</v>
      </c>
      <c r="J172" s="14">
        <v>-28</v>
      </c>
      <c r="K172" s="14">
        <v>33</v>
      </c>
      <c r="L172" s="14">
        <v>0.87</v>
      </c>
      <c r="M172" s="14">
        <v>31.6</v>
      </c>
      <c r="N172" s="14">
        <v>58.6</v>
      </c>
      <c r="O172" s="14">
        <v>-27</v>
      </c>
      <c r="P172" s="14">
        <v>-0.71</v>
      </c>
      <c r="Q172" s="15">
        <v>20623</v>
      </c>
      <c r="R172" s="16" t="s">
        <v>1975</v>
      </c>
      <c r="S172" s="16" t="s">
        <v>1976</v>
      </c>
      <c r="T172" s="17" t="s">
        <v>894</v>
      </c>
    </row>
    <row r="173" spans="1:20" ht="12.3">
      <c r="A173" s="18">
        <v>19</v>
      </c>
      <c r="B173" s="13" t="s">
        <v>1977</v>
      </c>
      <c r="C173" s="14">
        <v>2018</v>
      </c>
      <c r="D173" s="14">
        <v>38</v>
      </c>
      <c r="E173" s="14">
        <v>7</v>
      </c>
      <c r="F173" s="14">
        <v>12</v>
      </c>
      <c r="G173" s="14">
        <v>19</v>
      </c>
      <c r="H173" s="14">
        <v>35</v>
      </c>
      <c r="I173" s="14">
        <v>68</v>
      </c>
      <c r="J173" s="14">
        <v>-33</v>
      </c>
      <c r="K173" s="14">
        <v>33</v>
      </c>
      <c r="L173" s="14">
        <v>0.87</v>
      </c>
      <c r="M173" s="14">
        <v>36.5</v>
      </c>
      <c r="N173" s="14">
        <v>62.5</v>
      </c>
      <c r="O173" s="14">
        <v>-26</v>
      </c>
      <c r="P173" s="14">
        <v>-0.69</v>
      </c>
      <c r="Q173" s="15">
        <v>29280</v>
      </c>
      <c r="R173" s="16" t="s">
        <v>1978</v>
      </c>
      <c r="S173" s="16" t="s">
        <v>1979</v>
      </c>
      <c r="T173" s="17" t="s">
        <v>894</v>
      </c>
    </row>
    <row r="174" spans="1:20" ht="12.3">
      <c r="A174" s="19">
        <v>20</v>
      </c>
      <c r="B174" s="20" t="s">
        <v>1980</v>
      </c>
      <c r="C174" s="14">
        <v>2018</v>
      </c>
      <c r="D174" s="21">
        <v>38</v>
      </c>
      <c r="E174" s="21">
        <v>6</v>
      </c>
      <c r="F174" s="21">
        <v>13</v>
      </c>
      <c r="G174" s="21">
        <v>19</v>
      </c>
      <c r="H174" s="21">
        <v>31</v>
      </c>
      <c r="I174" s="21">
        <v>56</v>
      </c>
      <c r="J174" s="21">
        <v>-25</v>
      </c>
      <c r="K174" s="21">
        <v>31</v>
      </c>
      <c r="L174" s="21">
        <v>0.82</v>
      </c>
      <c r="M174" s="21">
        <v>36.5</v>
      </c>
      <c r="N174" s="21">
        <v>47.9</v>
      </c>
      <c r="O174" s="21">
        <v>-11.4</v>
      </c>
      <c r="P174" s="21">
        <v>-0.3</v>
      </c>
      <c r="Q174" s="22">
        <v>24520</v>
      </c>
      <c r="R174" s="23" t="s">
        <v>1981</v>
      </c>
      <c r="S174" s="23" t="s">
        <v>1982</v>
      </c>
      <c r="T174" s="24" t="s">
        <v>894</v>
      </c>
    </row>
    <row r="176" spans="1:20" ht="12.3">
      <c r="A176" s="10" t="s">
        <v>820</v>
      </c>
      <c r="B176" s="11" t="s">
        <v>821</v>
      </c>
      <c r="C176" s="11" t="s">
        <v>2</v>
      </c>
      <c r="D176" s="11" t="s">
        <v>822</v>
      </c>
      <c r="E176" s="11" t="s">
        <v>823</v>
      </c>
      <c r="F176" s="11" t="s">
        <v>824</v>
      </c>
      <c r="G176" s="11" t="s">
        <v>825</v>
      </c>
      <c r="H176" s="11" t="s">
        <v>826</v>
      </c>
      <c r="I176" s="11" t="s">
        <v>827</v>
      </c>
      <c r="J176" s="11" t="s">
        <v>828</v>
      </c>
      <c r="K176" s="11" t="s">
        <v>829</v>
      </c>
      <c r="L176" s="11" t="s">
        <v>830</v>
      </c>
      <c r="M176" s="11" t="s">
        <v>835</v>
      </c>
      <c r="N176" s="11" t="s">
        <v>836</v>
      </c>
      <c r="O176" s="11" t="s">
        <v>837</v>
      </c>
      <c r="P176" s="11" t="s">
        <v>838</v>
      </c>
    </row>
    <row r="177" spans="1:16" ht="12.3">
      <c r="A177" s="12">
        <v>1</v>
      </c>
      <c r="B177" s="13" t="s">
        <v>1983</v>
      </c>
      <c r="C177" s="14">
        <v>2017</v>
      </c>
      <c r="D177" s="14">
        <v>38</v>
      </c>
      <c r="E177" s="14">
        <v>30</v>
      </c>
      <c r="F177" s="14">
        <v>3</v>
      </c>
      <c r="G177" s="14">
        <v>5</v>
      </c>
      <c r="H177" s="14">
        <v>85</v>
      </c>
      <c r="I177" s="14">
        <v>33</v>
      </c>
      <c r="J177" s="14">
        <f>52</f>
        <v>52</v>
      </c>
      <c r="K177" s="14">
        <v>93</v>
      </c>
      <c r="L177" s="14">
        <v>2.4500000000000002</v>
      </c>
      <c r="M177" s="15">
        <v>41508</v>
      </c>
      <c r="N177" s="16" t="s">
        <v>1984</v>
      </c>
      <c r="O177" s="16" t="s">
        <v>1985</v>
      </c>
      <c r="P177" s="17" t="s">
        <v>842</v>
      </c>
    </row>
    <row r="178" spans="1:16" ht="12.3">
      <c r="A178" s="12">
        <v>2</v>
      </c>
      <c r="B178" s="13" t="s">
        <v>1986</v>
      </c>
      <c r="C178" s="14">
        <v>2017</v>
      </c>
      <c r="D178" s="14">
        <v>38</v>
      </c>
      <c r="E178" s="14">
        <v>26</v>
      </c>
      <c r="F178" s="14">
        <v>8</v>
      </c>
      <c r="G178" s="14">
        <v>4</v>
      </c>
      <c r="H178" s="14">
        <v>86</v>
      </c>
      <c r="I178" s="14">
        <v>26</v>
      </c>
      <c r="J178" s="14">
        <f>60</f>
        <v>60</v>
      </c>
      <c r="K178" s="14">
        <v>86</v>
      </c>
      <c r="L178" s="14">
        <v>2.2599999999999998</v>
      </c>
      <c r="M178" s="15">
        <v>31639</v>
      </c>
      <c r="N178" s="16" t="s">
        <v>1987</v>
      </c>
      <c r="O178" s="16" t="s">
        <v>1988</v>
      </c>
      <c r="P178" s="17" t="s">
        <v>842</v>
      </c>
    </row>
    <row r="179" spans="1:16" ht="12.3">
      <c r="A179" s="12">
        <v>3</v>
      </c>
      <c r="B179" s="13" t="s">
        <v>1989</v>
      </c>
      <c r="C179" s="14">
        <v>2017</v>
      </c>
      <c r="D179" s="14">
        <v>38</v>
      </c>
      <c r="E179" s="14">
        <v>23</v>
      </c>
      <c r="F179" s="14">
        <v>9</v>
      </c>
      <c r="G179" s="14">
        <v>6</v>
      </c>
      <c r="H179" s="14">
        <v>80</v>
      </c>
      <c r="I179" s="14">
        <v>39</v>
      </c>
      <c r="J179" s="14">
        <f>41</f>
        <v>41</v>
      </c>
      <c r="K179" s="14">
        <v>78</v>
      </c>
      <c r="L179" s="14">
        <v>2.0499999999999998</v>
      </c>
      <c r="M179" s="15">
        <v>54019</v>
      </c>
      <c r="N179" s="16" t="s">
        <v>1990</v>
      </c>
      <c r="O179" s="16" t="s">
        <v>1991</v>
      </c>
      <c r="P179" s="17" t="s">
        <v>842</v>
      </c>
    </row>
    <row r="180" spans="1:16" ht="12.3">
      <c r="A180" s="12">
        <v>4</v>
      </c>
      <c r="B180" s="13" t="s">
        <v>1992</v>
      </c>
      <c r="C180" s="14">
        <v>2017</v>
      </c>
      <c r="D180" s="14">
        <v>38</v>
      </c>
      <c r="E180" s="14">
        <v>22</v>
      </c>
      <c r="F180" s="14">
        <v>10</v>
      </c>
      <c r="G180" s="14">
        <v>6</v>
      </c>
      <c r="H180" s="14">
        <v>78</v>
      </c>
      <c r="I180" s="14">
        <v>42</v>
      </c>
      <c r="J180" s="14">
        <f>36</f>
        <v>36</v>
      </c>
      <c r="K180" s="14">
        <v>76</v>
      </c>
      <c r="L180" s="14">
        <v>2</v>
      </c>
      <c r="M180" s="15">
        <v>53016</v>
      </c>
      <c r="N180" s="16" t="s">
        <v>1993</v>
      </c>
      <c r="O180" s="16" t="s">
        <v>1994</v>
      </c>
      <c r="P180" s="17" t="s">
        <v>842</v>
      </c>
    </row>
    <row r="181" spans="1:16" ht="12.3">
      <c r="A181" s="12">
        <v>5</v>
      </c>
      <c r="B181" s="13" t="s">
        <v>1995</v>
      </c>
      <c r="C181" s="14">
        <v>2017</v>
      </c>
      <c r="D181" s="14">
        <v>38</v>
      </c>
      <c r="E181" s="14">
        <v>23</v>
      </c>
      <c r="F181" s="14">
        <v>6</v>
      </c>
      <c r="G181" s="14">
        <v>9</v>
      </c>
      <c r="H181" s="14">
        <v>77</v>
      </c>
      <c r="I181" s="14">
        <v>44</v>
      </c>
      <c r="J181" s="14">
        <f>33</f>
        <v>33</v>
      </c>
      <c r="K181" s="14">
        <v>75</v>
      </c>
      <c r="L181" s="14">
        <v>1.97</v>
      </c>
      <c r="M181" s="15">
        <v>59957</v>
      </c>
      <c r="N181" s="16" t="s">
        <v>1996</v>
      </c>
      <c r="O181" s="16" t="s">
        <v>1997</v>
      </c>
      <c r="P181" s="17" t="s">
        <v>1283</v>
      </c>
    </row>
    <row r="182" spans="1:16" ht="12.3">
      <c r="A182" s="12">
        <v>6</v>
      </c>
      <c r="B182" s="13" t="s">
        <v>1998</v>
      </c>
      <c r="C182" s="14">
        <v>2017</v>
      </c>
      <c r="D182" s="14">
        <v>38</v>
      </c>
      <c r="E182" s="14">
        <v>18</v>
      </c>
      <c r="F182" s="14">
        <v>15</v>
      </c>
      <c r="G182" s="14">
        <v>5</v>
      </c>
      <c r="H182" s="14">
        <v>54</v>
      </c>
      <c r="I182" s="14">
        <v>29</v>
      </c>
      <c r="J182" s="14">
        <f>25</f>
        <v>25</v>
      </c>
      <c r="K182" s="14">
        <v>69</v>
      </c>
      <c r="L182" s="14">
        <v>1.82</v>
      </c>
      <c r="M182" s="15">
        <v>75290</v>
      </c>
      <c r="N182" s="16" t="s">
        <v>1999</v>
      </c>
      <c r="O182" s="16" t="s">
        <v>2000</v>
      </c>
      <c r="P182" s="17" t="s">
        <v>2001</v>
      </c>
    </row>
    <row r="183" spans="1:16" ht="12.3">
      <c r="A183" s="12">
        <v>7</v>
      </c>
      <c r="B183" s="13" t="s">
        <v>2002</v>
      </c>
      <c r="C183" s="14">
        <v>2017</v>
      </c>
      <c r="D183" s="14">
        <v>38</v>
      </c>
      <c r="E183" s="14">
        <v>17</v>
      </c>
      <c r="F183" s="14">
        <v>10</v>
      </c>
      <c r="G183" s="14">
        <v>11</v>
      </c>
      <c r="H183" s="14">
        <v>62</v>
      </c>
      <c r="I183" s="14">
        <v>44</v>
      </c>
      <c r="J183" s="14">
        <f>18</f>
        <v>18</v>
      </c>
      <c r="K183" s="14">
        <v>61</v>
      </c>
      <c r="L183" s="14">
        <v>1.61</v>
      </c>
      <c r="M183" s="15">
        <v>39310</v>
      </c>
      <c r="N183" s="16" t="s">
        <v>2003</v>
      </c>
      <c r="O183" s="16" t="s">
        <v>2004</v>
      </c>
      <c r="P183" s="17" t="s">
        <v>855</v>
      </c>
    </row>
    <row r="184" spans="1:16" ht="12.3">
      <c r="A184" s="12">
        <v>8</v>
      </c>
      <c r="B184" s="13" t="s">
        <v>2005</v>
      </c>
      <c r="C184" s="14">
        <v>2017</v>
      </c>
      <c r="D184" s="14">
        <v>38</v>
      </c>
      <c r="E184" s="14">
        <v>12</v>
      </c>
      <c r="F184" s="14">
        <v>10</v>
      </c>
      <c r="G184" s="14">
        <v>16</v>
      </c>
      <c r="H184" s="14">
        <v>41</v>
      </c>
      <c r="I184" s="14">
        <v>48</v>
      </c>
      <c r="J184" s="14">
        <v>-7</v>
      </c>
      <c r="K184" s="14">
        <v>46</v>
      </c>
      <c r="L184" s="14">
        <v>1.21</v>
      </c>
      <c r="M184" s="15">
        <v>30936</v>
      </c>
      <c r="N184" s="16" t="s">
        <v>2006</v>
      </c>
      <c r="O184" s="16" t="s">
        <v>2007</v>
      </c>
      <c r="P184" s="17"/>
    </row>
    <row r="185" spans="1:16" ht="12.3">
      <c r="A185" s="12">
        <v>9</v>
      </c>
      <c r="B185" s="13" t="s">
        <v>2008</v>
      </c>
      <c r="C185" s="14">
        <v>2017</v>
      </c>
      <c r="D185" s="14">
        <v>38</v>
      </c>
      <c r="E185" s="14">
        <v>12</v>
      </c>
      <c r="F185" s="14">
        <v>10</v>
      </c>
      <c r="G185" s="14">
        <v>16</v>
      </c>
      <c r="H185" s="14">
        <v>55</v>
      </c>
      <c r="I185" s="14">
        <v>67</v>
      </c>
      <c r="J185" s="14">
        <v>-12</v>
      </c>
      <c r="K185" s="14">
        <v>46</v>
      </c>
      <c r="L185" s="14">
        <v>1.21</v>
      </c>
      <c r="M185" s="15">
        <v>11182</v>
      </c>
      <c r="N185" s="16" t="s">
        <v>2009</v>
      </c>
      <c r="O185" s="16" t="s">
        <v>2010</v>
      </c>
      <c r="P185" s="17"/>
    </row>
    <row r="186" spans="1:16" ht="12.3">
      <c r="A186" s="12">
        <v>10</v>
      </c>
      <c r="B186" s="13" t="s">
        <v>2011</v>
      </c>
      <c r="C186" s="14">
        <v>2017</v>
      </c>
      <c r="D186" s="14">
        <v>38</v>
      </c>
      <c r="E186" s="14">
        <v>12</v>
      </c>
      <c r="F186" s="14">
        <v>9</v>
      </c>
      <c r="G186" s="14">
        <v>17</v>
      </c>
      <c r="H186" s="14">
        <v>43</v>
      </c>
      <c r="I186" s="14">
        <v>51</v>
      </c>
      <c r="J186" s="14">
        <v>-8</v>
      </c>
      <c r="K186" s="14">
        <v>45</v>
      </c>
      <c r="L186" s="14">
        <v>1.18</v>
      </c>
      <c r="M186" s="15">
        <v>23876</v>
      </c>
      <c r="N186" s="16" t="s">
        <v>2012</v>
      </c>
      <c r="O186" s="16" t="s">
        <v>2013</v>
      </c>
      <c r="P186" s="17"/>
    </row>
    <row r="187" spans="1:16" ht="12.3">
      <c r="A187" s="12">
        <v>11</v>
      </c>
      <c r="B187" s="13" t="s">
        <v>2014</v>
      </c>
      <c r="C187" s="14">
        <v>2017</v>
      </c>
      <c r="D187" s="14">
        <v>38</v>
      </c>
      <c r="E187" s="14">
        <v>12</v>
      </c>
      <c r="F187" s="14">
        <v>9</v>
      </c>
      <c r="G187" s="14">
        <v>17</v>
      </c>
      <c r="H187" s="14">
        <v>47</v>
      </c>
      <c r="I187" s="14">
        <v>64</v>
      </c>
      <c r="J187" s="14">
        <v>-17</v>
      </c>
      <c r="K187" s="14">
        <v>45</v>
      </c>
      <c r="L187" s="14">
        <v>1.18</v>
      </c>
      <c r="M187" s="15">
        <v>56972</v>
      </c>
      <c r="N187" s="16" t="s">
        <v>2015</v>
      </c>
      <c r="O187" s="16" t="s">
        <v>2016</v>
      </c>
      <c r="P187" s="17"/>
    </row>
    <row r="188" spans="1:16" ht="12.3">
      <c r="A188" s="12">
        <v>12</v>
      </c>
      <c r="B188" s="13" t="s">
        <v>2017</v>
      </c>
      <c r="C188" s="14">
        <v>2017</v>
      </c>
      <c r="D188" s="14">
        <v>38</v>
      </c>
      <c r="E188" s="14">
        <v>12</v>
      </c>
      <c r="F188" s="14">
        <v>8</v>
      </c>
      <c r="G188" s="14">
        <v>18</v>
      </c>
      <c r="H188" s="14">
        <v>48</v>
      </c>
      <c r="I188" s="14">
        <v>63</v>
      </c>
      <c r="J188" s="14">
        <v>-15</v>
      </c>
      <c r="K188" s="14">
        <v>44</v>
      </c>
      <c r="L188" s="14">
        <v>1.1599999999999999</v>
      </c>
      <c r="M188" s="15">
        <v>31893</v>
      </c>
      <c r="N188" s="16" t="s">
        <v>2018</v>
      </c>
      <c r="O188" s="16" t="s">
        <v>2019</v>
      </c>
      <c r="P188" s="17"/>
    </row>
    <row r="189" spans="1:16" ht="12.3">
      <c r="A189" s="12">
        <v>13</v>
      </c>
      <c r="B189" s="13" t="s">
        <v>2020</v>
      </c>
      <c r="C189" s="14">
        <v>2017</v>
      </c>
      <c r="D189" s="14">
        <v>38</v>
      </c>
      <c r="E189" s="14">
        <v>11</v>
      </c>
      <c r="F189" s="14">
        <v>11</v>
      </c>
      <c r="G189" s="14">
        <v>16</v>
      </c>
      <c r="H189" s="14">
        <v>41</v>
      </c>
      <c r="I189" s="14">
        <v>56</v>
      </c>
      <c r="J189" s="14">
        <v>-15</v>
      </c>
      <c r="K189" s="14">
        <v>44</v>
      </c>
      <c r="L189" s="14">
        <v>1.1599999999999999</v>
      </c>
      <c r="M189" s="15">
        <v>27433</v>
      </c>
      <c r="N189" s="16" t="s">
        <v>2021</v>
      </c>
      <c r="O189" s="16" t="s">
        <v>2022</v>
      </c>
      <c r="P189" s="17"/>
    </row>
    <row r="190" spans="1:16" ht="12.3">
      <c r="A190" s="12">
        <v>14</v>
      </c>
      <c r="B190" s="13" t="s">
        <v>2023</v>
      </c>
      <c r="C190" s="14">
        <v>2017</v>
      </c>
      <c r="D190" s="14">
        <v>38</v>
      </c>
      <c r="E190" s="14">
        <v>12</v>
      </c>
      <c r="F190" s="14">
        <v>5</v>
      </c>
      <c r="G190" s="14">
        <v>21</v>
      </c>
      <c r="H190" s="14">
        <v>50</v>
      </c>
      <c r="I190" s="14">
        <v>63</v>
      </c>
      <c r="J190" s="14">
        <v>-13</v>
      </c>
      <c r="K190" s="14">
        <v>41</v>
      </c>
      <c r="L190" s="14">
        <v>1.08</v>
      </c>
      <c r="M190" s="15">
        <v>25161</v>
      </c>
      <c r="N190" s="16" t="s">
        <v>2024</v>
      </c>
      <c r="O190" s="16" t="s">
        <v>2025</v>
      </c>
      <c r="P190" s="17"/>
    </row>
    <row r="191" spans="1:16" ht="12.3">
      <c r="A191" s="12">
        <v>15</v>
      </c>
      <c r="B191" s="13" t="s">
        <v>2026</v>
      </c>
      <c r="C191" s="14">
        <v>2017</v>
      </c>
      <c r="D191" s="14">
        <v>38</v>
      </c>
      <c r="E191" s="14">
        <v>12</v>
      </c>
      <c r="F191" s="14">
        <v>5</v>
      </c>
      <c r="G191" s="14">
        <v>21</v>
      </c>
      <c r="H191" s="14">
        <v>45</v>
      </c>
      <c r="I191" s="14">
        <v>70</v>
      </c>
      <c r="J191" s="14">
        <v>-25</v>
      </c>
      <c r="K191" s="14">
        <v>41</v>
      </c>
      <c r="L191" s="14">
        <v>1.08</v>
      </c>
      <c r="M191" s="15">
        <v>20619</v>
      </c>
      <c r="N191" s="16" t="s">
        <v>2027</v>
      </c>
      <c r="O191" s="16" t="s">
        <v>2028</v>
      </c>
      <c r="P191" s="17"/>
    </row>
    <row r="192" spans="1:16" ht="12.3">
      <c r="A192" s="12">
        <v>16</v>
      </c>
      <c r="B192" s="13" t="s">
        <v>2029</v>
      </c>
      <c r="C192" s="14">
        <v>2017</v>
      </c>
      <c r="D192" s="14">
        <v>38</v>
      </c>
      <c r="E192" s="14">
        <v>11</v>
      </c>
      <c r="F192" s="14">
        <v>7</v>
      </c>
      <c r="G192" s="14">
        <v>20</v>
      </c>
      <c r="H192" s="14">
        <v>39</v>
      </c>
      <c r="I192" s="14">
        <v>55</v>
      </c>
      <c r="J192" s="14">
        <v>-16</v>
      </c>
      <c r="K192" s="14">
        <v>40</v>
      </c>
      <c r="L192" s="14">
        <v>1.05</v>
      </c>
      <c r="M192" s="15">
        <v>20558</v>
      </c>
      <c r="N192" s="16" t="s">
        <v>2030</v>
      </c>
      <c r="O192" s="16" t="s">
        <v>2031</v>
      </c>
      <c r="P192" s="17"/>
    </row>
    <row r="193" spans="1:16" ht="12.3">
      <c r="A193" s="12">
        <v>17</v>
      </c>
      <c r="B193" s="13" t="s">
        <v>2032</v>
      </c>
      <c r="C193" s="14">
        <v>2017</v>
      </c>
      <c r="D193" s="14">
        <v>38</v>
      </c>
      <c r="E193" s="14">
        <v>11</v>
      </c>
      <c r="F193" s="14">
        <v>7</v>
      </c>
      <c r="G193" s="14">
        <v>20</v>
      </c>
      <c r="H193" s="14">
        <v>40</v>
      </c>
      <c r="I193" s="14">
        <v>68</v>
      </c>
      <c r="J193" s="14">
        <v>-28</v>
      </c>
      <c r="K193" s="14">
        <v>40</v>
      </c>
      <c r="L193" s="14">
        <v>1.05</v>
      </c>
      <c r="M193" s="15">
        <v>20571</v>
      </c>
      <c r="N193" s="16" t="s">
        <v>2033</v>
      </c>
      <c r="O193" s="16" t="s">
        <v>2034</v>
      </c>
      <c r="P193" s="17"/>
    </row>
    <row r="194" spans="1:16" ht="12.3">
      <c r="A194" s="18">
        <v>18</v>
      </c>
      <c r="B194" s="13" t="s">
        <v>2035</v>
      </c>
      <c r="C194" s="14">
        <v>2017</v>
      </c>
      <c r="D194" s="14">
        <v>38</v>
      </c>
      <c r="E194" s="14">
        <v>9</v>
      </c>
      <c r="F194" s="14">
        <v>7</v>
      </c>
      <c r="G194" s="14">
        <v>22</v>
      </c>
      <c r="H194" s="14">
        <v>37</v>
      </c>
      <c r="I194" s="14">
        <v>80</v>
      </c>
      <c r="J194" s="14">
        <v>-43</v>
      </c>
      <c r="K194" s="14">
        <v>34</v>
      </c>
      <c r="L194" s="14">
        <v>0.89</v>
      </c>
      <c r="M194" s="15">
        <v>20761</v>
      </c>
      <c r="N194" s="16" t="s">
        <v>2036</v>
      </c>
      <c r="O194" s="16" t="s">
        <v>2037</v>
      </c>
      <c r="P194" s="17" t="s">
        <v>894</v>
      </c>
    </row>
    <row r="195" spans="1:16" ht="12.3">
      <c r="A195" s="18">
        <v>19</v>
      </c>
      <c r="B195" s="13" t="s">
        <v>2038</v>
      </c>
      <c r="C195" s="14">
        <v>2017</v>
      </c>
      <c r="D195" s="14">
        <v>38</v>
      </c>
      <c r="E195" s="14">
        <v>5</v>
      </c>
      <c r="F195" s="14">
        <v>13</v>
      </c>
      <c r="G195" s="14">
        <v>20</v>
      </c>
      <c r="H195" s="14">
        <v>27</v>
      </c>
      <c r="I195" s="14">
        <v>53</v>
      </c>
      <c r="J195" s="14">
        <v>-26</v>
      </c>
      <c r="K195" s="14">
        <v>28</v>
      </c>
      <c r="L195" s="14">
        <v>0.74</v>
      </c>
      <c r="M195" s="15">
        <v>30449</v>
      </c>
      <c r="N195" s="16" t="s">
        <v>2039</v>
      </c>
      <c r="O195" s="16" t="s">
        <v>2040</v>
      </c>
      <c r="P195" s="17" t="s">
        <v>894</v>
      </c>
    </row>
    <row r="196" spans="1:16" ht="12.3">
      <c r="A196" s="19">
        <v>20</v>
      </c>
      <c r="B196" s="20" t="s">
        <v>2041</v>
      </c>
      <c r="C196" s="14">
        <v>2017</v>
      </c>
      <c r="D196" s="21">
        <v>38</v>
      </c>
      <c r="E196" s="21">
        <v>6</v>
      </c>
      <c r="F196" s="21">
        <v>6</v>
      </c>
      <c r="G196" s="21">
        <v>26</v>
      </c>
      <c r="H196" s="21">
        <v>29</v>
      </c>
      <c r="I196" s="21">
        <v>69</v>
      </c>
      <c r="J196" s="21">
        <v>-40</v>
      </c>
      <c r="K196" s="21">
        <v>24</v>
      </c>
      <c r="L196" s="21">
        <v>0.63</v>
      </c>
      <c r="M196" s="22">
        <v>41287</v>
      </c>
      <c r="N196" s="23" t="s">
        <v>2042</v>
      </c>
      <c r="O196" s="23" t="s">
        <v>2043</v>
      </c>
      <c r="P196" s="24" t="s">
        <v>894</v>
      </c>
    </row>
    <row r="198" spans="1:16" ht="12.3">
      <c r="A198" s="10" t="s">
        <v>820</v>
      </c>
      <c r="B198" s="11" t="s">
        <v>821</v>
      </c>
      <c r="C198" s="11" t="s">
        <v>2</v>
      </c>
      <c r="D198" s="11" t="s">
        <v>822</v>
      </c>
      <c r="E198" s="11" t="s">
        <v>823</v>
      </c>
      <c r="F198" s="11" t="s">
        <v>824</v>
      </c>
      <c r="G198" s="11" t="s">
        <v>825</v>
      </c>
      <c r="H198" s="11" t="s">
        <v>826</v>
      </c>
      <c r="I198" s="11" t="s">
        <v>827</v>
      </c>
      <c r="J198" s="11" t="s">
        <v>828</v>
      </c>
      <c r="K198" s="11" t="s">
        <v>829</v>
      </c>
      <c r="L198" s="11" t="s">
        <v>830</v>
      </c>
      <c r="M198" s="11" t="s">
        <v>835</v>
      </c>
      <c r="N198" s="11" t="s">
        <v>836</v>
      </c>
      <c r="O198" s="11" t="s">
        <v>837</v>
      </c>
      <c r="P198" s="11" t="s">
        <v>838</v>
      </c>
    </row>
    <row r="199" spans="1:16" ht="12.3">
      <c r="A199" s="12">
        <v>1</v>
      </c>
      <c r="B199" s="13" t="s">
        <v>2044</v>
      </c>
      <c r="C199" s="14">
        <v>2016</v>
      </c>
      <c r="D199" s="14">
        <v>38</v>
      </c>
      <c r="E199" s="14">
        <v>23</v>
      </c>
      <c r="F199" s="14">
        <v>12</v>
      </c>
      <c r="G199" s="14">
        <v>3</v>
      </c>
      <c r="H199" s="14">
        <v>68</v>
      </c>
      <c r="I199" s="14">
        <v>36</v>
      </c>
      <c r="J199" s="14">
        <f>32</f>
        <v>32</v>
      </c>
      <c r="K199" s="14">
        <v>81</v>
      </c>
      <c r="L199" s="14">
        <v>2.13</v>
      </c>
      <c r="M199" s="15">
        <v>32021</v>
      </c>
      <c r="N199" s="16" t="s">
        <v>2045</v>
      </c>
      <c r="O199" s="16" t="s">
        <v>2046</v>
      </c>
      <c r="P199" s="17" t="s">
        <v>842</v>
      </c>
    </row>
    <row r="200" spans="1:16" ht="12.3">
      <c r="A200" s="12">
        <v>2</v>
      </c>
      <c r="B200" s="13" t="s">
        <v>2047</v>
      </c>
      <c r="C200" s="14">
        <v>2016</v>
      </c>
      <c r="D200" s="14">
        <v>38</v>
      </c>
      <c r="E200" s="14">
        <v>20</v>
      </c>
      <c r="F200" s="14">
        <v>11</v>
      </c>
      <c r="G200" s="14">
        <v>7</v>
      </c>
      <c r="H200" s="14">
        <v>65</v>
      </c>
      <c r="I200" s="14">
        <v>36</v>
      </c>
      <c r="J200" s="14">
        <f>29</f>
        <v>29</v>
      </c>
      <c r="K200" s="14">
        <v>71</v>
      </c>
      <c r="L200" s="14">
        <v>1.87</v>
      </c>
      <c r="M200" s="15">
        <v>59944</v>
      </c>
      <c r="N200" s="16" t="s">
        <v>2048</v>
      </c>
      <c r="O200" s="16" t="s">
        <v>2049</v>
      </c>
      <c r="P200" s="17" t="s">
        <v>842</v>
      </c>
    </row>
    <row r="201" spans="1:16" ht="12.3">
      <c r="A201" s="12">
        <v>3</v>
      </c>
      <c r="B201" s="13" t="s">
        <v>2050</v>
      </c>
      <c r="C201" s="14">
        <v>2016</v>
      </c>
      <c r="D201" s="14">
        <v>38</v>
      </c>
      <c r="E201" s="14">
        <v>19</v>
      </c>
      <c r="F201" s="14">
        <v>13</v>
      </c>
      <c r="G201" s="14">
        <v>6</v>
      </c>
      <c r="H201" s="14">
        <v>69</v>
      </c>
      <c r="I201" s="14">
        <v>35</v>
      </c>
      <c r="J201" s="14">
        <f>34</f>
        <v>34</v>
      </c>
      <c r="K201" s="14">
        <v>70</v>
      </c>
      <c r="L201" s="14">
        <v>1.84</v>
      </c>
      <c r="M201" s="15">
        <v>35776</v>
      </c>
      <c r="N201" s="16" t="s">
        <v>2051</v>
      </c>
      <c r="O201" s="16" t="s">
        <v>2052</v>
      </c>
      <c r="P201" s="17" t="s">
        <v>842</v>
      </c>
    </row>
    <row r="202" spans="1:16" ht="12.3">
      <c r="A202" s="12">
        <v>4</v>
      </c>
      <c r="B202" s="13" t="s">
        <v>2053</v>
      </c>
      <c r="C202" s="14">
        <v>2016</v>
      </c>
      <c r="D202" s="14">
        <v>38</v>
      </c>
      <c r="E202" s="14">
        <v>19</v>
      </c>
      <c r="F202" s="14">
        <v>9</v>
      </c>
      <c r="G202" s="14">
        <v>10</v>
      </c>
      <c r="H202" s="14">
        <v>71</v>
      </c>
      <c r="I202" s="14">
        <v>41</v>
      </c>
      <c r="J202" s="14">
        <f>30</f>
        <v>30</v>
      </c>
      <c r="K202" s="14">
        <v>66</v>
      </c>
      <c r="L202" s="14">
        <v>1.74</v>
      </c>
      <c r="M202" s="15">
        <v>54041</v>
      </c>
      <c r="N202" s="16" t="s">
        <v>2054</v>
      </c>
      <c r="O202" s="16" t="s">
        <v>2055</v>
      </c>
      <c r="P202" s="17" t="s">
        <v>842</v>
      </c>
    </row>
    <row r="203" spans="1:16" ht="12.3">
      <c r="A203" s="12">
        <v>5</v>
      </c>
      <c r="B203" s="13" t="s">
        <v>2056</v>
      </c>
      <c r="C203" s="14">
        <v>2016</v>
      </c>
      <c r="D203" s="14">
        <v>38</v>
      </c>
      <c r="E203" s="14">
        <v>19</v>
      </c>
      <c r="F203" s="14">
        <v>9</v>
      </c>
      <c r="G203" s="14">
        <v>10</v>
      </c>
      <c r="H203" s="14">
        <v>49</v>
      </c>
      <c r="I203" s="14">
        <v>35</v>
      </c>
      <c r="J203" s="14">
        <f>14</f>
        <v>14</v>
      </c>
      <c r="K203" s="14">
        <v>66</v>
      </c>
      <c r="L203" s="14">
        <v>1.74</v>
      </c>
      <c r="M203" s="15">
        <v>75279</v>
      </c>
      <c r="N203" s="16" t="s">
        <v>2057</v>
      </c>
      <c r="O203" s="16" t="s">
        <v>2058</v>
      </c>
      <c r="P203" s="17" t="s">
        <v>1283</v>
      </c>
    </row>
    <row r="204" spans="1:16" ht="12.3">
      <c r="A204" s="12">
        <v>6</v>
      </c>
      <c r="B204" s="13" t="s">
        <v>2059</v>
      </c>
      <c r="C204" s="14">
        <v>2016</v>
      </c>
      <c r="D204" s="14">
        <v>38</v>
      </c>
      <c r="E204" s="14">
        <v>18</v>
      </c>
      <c r="F204" s="14">
        <v>9</v>
      </c>
      <c r="G204" s="14">
        <v>11</v>
      </c>
      <c r="H204" s="14">
        <v>59</v>
      </c>
      <c r="I204" s="14">
        <v>41</v>
      </c>
      <c r="J204" s="14">
        <f>18</f>
        <v>18</v>
      </c>
      <c r="K204" s="14">
        <v>63</v>
      </c>
      <c r="L204" s="14">
        <v>1.66</v>
      </c>
      <c r="M204" s="15">
        <v>30751</v>
      </c>
      <c r="N204" s="16" t="s">
        <v>2060</v>
      </c>
      <c r="O204" s="16" t="s">
        <v>2061</v>
      </c>
      <c r="P204" s="17" t="s">
        <v>1334</v>
      </c>
    </row>
    <row r="205" spans="1:16" ht="12.3">
      <c r="A205" s="12">
        <v>7</v>
      </c>
      <c r="B205" s="13" t="s">
        <v>2062</v>
      </c>
      <c r="C205" s="14">
        <v>2016</v>
      </c>
      <c r="D205" s="14">
        <v>38</v>
      </c>
      <c r="E205" s="14">
        <v>16</v>
      </c>
      <c r="F205" s="14">
        <v>14</v>
      </c>
      <c r="G205" s="14">
        <v>8</v>
      </c>
      <c r="H205" s="14">
        <v>65</v>
      </c>
      <c r="I205" s="14">
        <v>51</v>
      </c>
      <c r="J205" s="14">
        <f>14</f>
        <v>14</v>
      </c>
      <c r="K205" s="14">
        <v>62</v>
      </c>
      <c r="L205" s="14">
        <v>1.63</v>
      </c>
      <c r="M205" s="15">
        <v>34910</v>
      </c>
      <c r="N205" s="16" t="s">
        <v>2063</v>
      </c>
      <c r="O205" s="16" t="s">
        <v>2064</v>
      </c>
      <c r="P205" s="17" t="s">
        <v>2065</v>
      </c>
    </row>
    <row r="206" spans="1:16" ht="12.3">
      <c r="A206" s="12">
        <v>8</v>
      </c>
      <c r="B206" s="13" t="s">
        <v>2066</v>
      </c>
      <c r="C206" s="14">
        <v>2016</v>
      </c>
      <c r="D206" s="14">
        <v>38</v>
      </c>
      <c r="E206" s="14">
        <v>16</v>
      </c>
      <c r="F206" s="14">
        <v>12</v>
      </c>
      <c r="G206" s="14">
        <v>10</v>
      </c>
      <c r="H206" s="14">
        <v>63</v>
      </c>
      <c r="I206" s="14">
        <v>50</v>
      </c>
      <c r="J206" s="14">
        <f>13</f>
        <v>13</v>
      </c>
      <c r="K206" s="14">
        <v>60</v>
      </c>
      <c r="L206" s="14">
        <v>1.58</v>
      </c>
      <c r="M206" s="15">
        <v>43910</v>
      </c>
      <c r="N206" s="16" t="s">
        <v>2067</v>
      </c>
      <c r="O206" s="16" t="s">
        <v>2068</v>
      </c>
      <c r="P206" s="17"/>
    </row>
    <row r="207" spans="1:16" ht="12.3">
      <c r="A207" s="12">
        <v>9</v>
      </c>
      <c r="B207" s="13" t="s">
        <v>2069</v>
      </c>
      <c r="C207" s="14">
        <v>2016</v>
      </c>
      <c r="D207" s="14">
        <v>38</v>
      </c>
      <c r="E207" s="14">
        <v>14</v>
      </c>
      <c r="F207" s="14">
        <v>9</v>
      </c>
      <c r="G207" s="14">
        <v>15</v>
      </c>
      <c r="H207" s="14">
        <v>41</v>
      </c>
      <c r="I207" s="14">
        <v>55</v>
      </c>
      <c r="J207" s="14">
        <v>-14</v>
      </c>
      <c r="K207" s="14">
        <v>51</v>
      </c>
      <c r="L207" s="14">
        <v>1.34</v>
      </c>
      <c r="M207" s="15">
        <v>27534</v>
      </c>
      <c r="N207" s="16" t="s">
        <v>2070</v>
      </c>
      <c r="O207" s="16" t="s">
        <v>2071</v>
      </c>
      <c r="P207" s="17"/>
    </row>
    <row r="208" spans="1:16" ht="12.3">
      <c r="A208" s="12">
        <v>10</v>
      </c>
      <c r="B208" s="13" t="s">
        <v>2072</v>
      </c>
      <c r="C208" s="14">
        <v>2016</v>
      </c>
      <c r="D208" s="14">
        <v>38</v>
      </c>
      <c r="E208" s="14">
        <v>12</v>
      </c>
      <c r="F208" s="14">
        <v>14</v>
      </c>
      <c r="G208" s="14">
        <v>12</v>
      </c>
      <c r="H208" s="14">
        <v>59</v>
      </c>
      <c r="I208" s="14">
        <v>53</v>
      </c>
      <c r="J208" s="14">
        <f>6</f>
        <v>6</v>
      </c>
      <c r="K208" s="14">
        <v>50</v>
      </c>
      <c r="L208" s="14">
        <v>1.32</v>
      </c>
      <c r="M208" s="15">
        <v>41500</v>
      </c>
      <c r="N208" s="16" t="s">
        <v>2073</v>
      </c>
      <c r="O208" s="16" t="s">
        <v>2074</v>
      </c>
      <c r="P208" s="17"/>
    </row>
    <row r="209" spans="1:16" ht="12.3">
      <c r="A209" s="12">
        <v>11</v>
      </c>
      <c r="B209" s="13" t="s">
        <v>2075</v>
      </c>
      <c r="C209" s="14">
        <v>2016</v>
      </c>
      <c r="D209" s="14">
        <v>38</v>
      </c>
      <c r="E209" s="14">
        <v>11</v>
      </c>
      <c r="F209" s="14">
        <v>14</v>
      </c>
      <c r="G209" s="14">
        <v>13</v>
      </c>
      <c r="H209" s="14">
        <v>59</v>
      </c>
      <c r="I209" s="14">
        <v>55</v>
      </c>
      <c r="J209" s="14">
        <f>4</f>
        <v>4</v>
      </c>
      <c r="K209" s="14">
        <v>47</v>
      </c>
      <c r="L209" s="14">
        <v>1.24</v>
      </c>
      <c r="M209" s="15">
        <v>38124</v>
      </c>
      <c r="N209" s="16" t="s">
        <v>2076</v>
      </c>
      <c r="O209" s="16" t="s">
        <v>2077</v>
      </c>
      <c r="P209" s="17"/>
    </row>
    <row r="210" spans="1:16" ht="12.3">
      <c r="A210" s="12">
        <v>12</v>
      </c>
      <c r="B210" s="13" t="s">
        <v>2078</v>
      </c>
      <c r="C210" s="14">
        <v>2016</v>
      </c>
      <c r="D210" s="14">
        <v>38</v>
      </c>
      <c r="E210" s="14">
        <v>12</v>
      </c>
      <c r="F210" s="14">
        <v>11</v>
      </c>
      <c r="G210" s="14">
        <v>15</v>
      </c>
      <c r="H210" s="14">
        <v>42</v>
      </c>
      <c r="I210" s="14">
        <v>52</v>
      </c>
      <c r="J210" s="14">
        <v>-10</v>
      </c>
      <c r="K210" s="14">
        <v>47</v>
      </c>
      <c r="L210" s="14">
        <v>1.24</v>
      </c>
      <c r="M210" s="15">
        <v>20711</v>
      </c>
      <c r="N210" s="16" t="s">
        <v>2079</v>
      </c>
      <c r="O210" s="16" t="s">
        <v>2080</v>
      </c>
      <c r="P210" s="17"/>
    </row>
    <row r="211" spans="1:16" ht="12.3">
      <c r="A211" s="12">
        <v>13</v>
      </c>
      <c r="B211" s="13" t="s">
        <v>2081</v>
      </c>
      <c r="C211" s="14">
        <v>2016</v>
      </c>
      <c r="D211" s="14">
        <v>38</v>
      </c>
      <c r="E211" s="14">
        <v>12</v>
      </c>
      <c r="F211" s="14">
        <v>9</v>
      </c>
      <c r="G211" s="14">
        <v>17</v>
      </c>
      <c r="H211" s="14">
        <v>40</v>
      </c>
      <c r="I211" s="14">
        <v>50</v>
      </c>
      <c r="J211" s="14">
        <v>-10</v>
      </c>
      <c r="K211" s="14">
        <v>45</v>
      </c>
      <c r="L211" s="14">
        <v>1.18</v>
      </c>
      <c r="M211" s="15">
        <v>20594</v>
      </c>
      <c r="N211" s="16" t="s">
        <v>2082</v>
      </c>
      <c r="O211" s="16" t="s">
        <v>2083</v>
      </c>
      <c r="P211" s="17"/>
    </row>
    <row r="212" spans="1:16" ht="12.3">
      <c r="A212" s="12">
        <v>14</v>
      </c>
      <c r="B212" s="13" t="s">
        <v>2084</v>
      </c>
      <c r="C212" s="14">
        <v>2016</v>
      </c>
      <c r="D212" s="14">
        <v>38</v>
      </c>
      <c r="E212" s="14">
        <v>10</v>
      </c>
      <c r="F212" s="14">
        <v>13</v>
      </c>
      <c r="G212" s="14">
        <v>15</v>
      </c>
      <c r="H212" s="14">
        <v>34</v>
      </c>
      <c r="I212" s="14">
        <v>48</v>
      </c>
      <c r="J212" s="14">
        <v>-14</v>
      </c>
      <c r="K212" s="14">
        <v>43</v>
      </c>
      <c r="L212" s="14">
        <v>1.1299999999999999</v>
      </c>
      <c r="M212" s="15">
        <v>24631</v>
      </c>
      <c r="N212" s="16" t="s">
        <v>2085</v>
      </c>
      <c r="O212" s="16" t="s">
        <v>2086</v>
      </c>
      <c r="P212" s="17"/>
    </row>
    <row r="213" spans="1:16" ht="12.3">
      <c r="A213" s="12">
        <v>15</v>
      </c>
      <c r="B213" s="13" t="s">
        <v>2087</v>
      </c>
      <c r="C213" s="14">
        <v>2016</v>
      </c>
      <c r="D213" s="14">
        <v>38</v>
      </c>
      <c r="E213" s="14">
        <v>11</v>
      </c>
      <c r="F213" s="14">
        <v>9</v>
      </c>
      <c r="G213" s="14">
        <v>18</v>
      </c>
      <c r="H213" s="14">
        <v>39</v>
      </c>
      <c r="I213" s="14">
        <v>51</v>
      </c>
      <c r="J213" s="14">
        <v>-12</v>
      </c>
      <c r="K213" s="14">
        <v>42</v>
      </c>
      <c r="L213" s="14">
        <v>1.1100000000000001</v>
      </c>
      <c r="M213" s="15">
        <v>24825</v>
      </c>
      <c r="N213" s="16" t="s">
        <v>2088</v>
      </c>
      <c r="O213" s="16" t="s">
        <v>2089</v>
      </c>
      <c r="P213" s="17"/>
    </row>
    <row r="214" spans="1:16" ht="12.3">
      <c r="A214" s="12">
        <v>16</v>
      </c>
      <c r="B214" s="13" t="s">
        <v>2090</v>
      </c>
      <c r="C214" s="14">
        <v>2016</v>
      </c>
      <c r="D214" s="14">
        <v>38</v>
      </c>
      <c r="E214" s="14">
        <v>11</v>
      </c>
      <c r="F214" s="14">
        <v>9</v>
      </c>
      <c r="G214" s="14">
        <v>18</v>
      </c>
      <c r="H214" s="14">
        <v>45</v>
      </c>
      <c r="I214" s="14">
        <v>67</v>
      </c>
      <c r="J214" s="14">
        <v>-22</v>
      </c>
      <c r="K214" s="14">
        <v>42</v>
      </c>
      <c r="L214" s="14">
        <v>1.1100000000000001</v>
      </c>
      <c r="M214" s="15">
        <v>11189</v>
      </c>
      <c r="N214" s="16" t="s">
        <v>2091</v>
      </c>
      <c r="O214" s="16" t="s">
        <v>2092</v>
      </c>
      <c r="P214" s="17"/>
    </row>
    <row r="215" spans="1:16" ht="12.3">
      <c r="A215" s="12">
        <v>17</v>
      </c>
      <c r="B215" s="13" t="s">
        <v>2093</v>
      </c>
      <c r="C215" s="14">
        <v>2016</v>
      </c>
      <c r="D215" s="14">
        <v>38</v>
      </c>
      <c r="E215" s="14">
        <v>9</v>
      </c>
      <c r="F215" s="14">
        <v>12</v>
      </c>
      <c r="G215" s="14">
        <v>17</v>
      </c>
      <c r="H215" s="14">
        <v>48</v>
      </c>
      <c r="I215" s="14">
        <v>62</v>
      </c>
      <c r="J215" s="14">
        <v>-14</v>
      </c>
      <c r="K215" s="14">
        <v>39</v>
      </c>
      <c r="L215" s="14">
        <v>1.03</v>
      </c>
      <c r="M215" s="15">
        <v>43071</v>
      </c>
      <c r="N215" s="16" t="s">
        <v>2094</v>
      </c>
      <c r="O215" s="16" t="s">
        <v>2095</v>
      </c>
      <c r="P215" s="17"/>
    </row>
    <row r="216" spans="1:16" ht="12.3">
      <c r="A216" s="18">
        <v>18</v>
      </c>
      <c r="B216" s="13" t="s">
        <v>2096</v>
      </c>
      <c r="C216" s="14">
        <v>2016</v>
      </c>
      <c r="D216" s="14">
        <v>38</v>
      </c>
      <c r="E216" s="14">
        <v>9</v>
      </c>
      <c r="F216" s="14">
        <v>10</v>
      </c>
      <c r="G216" s="14">
        <v>19</v>
      </c>
      <c r="H216" s="14">
        <v>44</v>
      </c>
      <c r="I216" s="14">
        <v>65</v>
      </c>
      <c r="J216" s="14">
        <v>-21</v>
      </c>
      <c r="K216" s="14">
        <v>37</v>
      </c>
      <c r="L216" s="14">
        <v>0.97</v>
      </c>
      <c r="M216" s="15">
        <v>49754</v>
      </c>
      <c r="N216" s="16" t="s">
        <v>2097</v>
      </c>
      <c r="O216" s="16" t="s">
        <v>2098</v>
      </c>
      <c r="P216" s="17" t="s">
        <v>894</v>
      </c>
    </row>
    <row r="217" spans="1:16" ht="12.3">
      <c r="A217" s="18">
        <v>19</v>
      </c>
      <c r="B217" s="13" t="s">
        <v>2099</v>
      </c>
      <c r="C217" s="14">
        <v>2016</v>
      </c>
      <c r="D217" s="14">
        <v>38</v>
      </c>
      <c r="E217" s="14">
        <v>9</v>
      </c>
      <c r="F217" s="14">
        <v>7</v>
      </c>
      <c r="G217" s="14">
        <v>22</v>
      </c>
      <c r="H217" s="14">
        <v>39</v>
      </c>
      <c r="I217" s="14">
        <v>67</v>
      </c>
      <c r="J217" s="14">
        <v>-28</v>
      </c>
      <c r="K217" s="14">
        <v>34</v>
      </c>
      <c r="L217" s="14">
        <v>0.89</v>
      </c>
      <c r="M217" s="15">
        <v>26972</v>
      </c>
      <c r="N217" s="16" t="s">
        <v>2100</v>
      </c>
      <c r="O217" s="16" t="s">
        <v>2101</v>
      </c>
      <c r="P217" s="17" t="s">
        <v>894</v>
      </c>
    </row>
    <row r="218" spans="1:16" ht="12.3">
      <c r="A218" s="19">
        <v>20</v>
      </c>
      <c r="B218" s="20" t="s">
        <v>2102</v>
      </c>
      <c r="C218" s="14">
        <v>2016</v>
      </c>
      <c r="D218" s="21">
        <v>38</v>
      </c>
      <c r="E218" s="21">
        <v>3</v>
      </c>
      <c r="F218" s="21">
        <v>8</v>
      </c>
      <c r="G218" s="21">
        <v>27</v>
      </c>
      <c r="H218" s="21">
        <v>27</v>
      </c>
      <c r="I218" s="21">
        <v>76</v>
      </c>
      <c r="J218" s="21">
        <v>-49</v>
      </c>
      <c r="K218" s="21">
        <v>17</v>
      </c>
      <c r="L218" s="21">
        <v>0.45</v>
      </c>
      <c r="M218" s="22">
        <v>33690</v>
      </c>
      <c r="N218" s="23" t="s">
        <v>2103</v>
      </c>
      <c r="O218" s="23" t="s">
        <v>2104</v>
      </c>
      <c r="P218" s="24" t="s">
        <v>894</v>
      </c>
    </row>
    <row r="220" spans="1:16" ht="15.75" customHeight="1">
      <c r="A220" t="s">
        <v>820</v>
      </c>
      <c r="B220" t="s">
        <v>821</v>
      </c>
      <c r="C220" s="31" t="s">
        <v>2</v>
      </c>
      <c r="D220" t="s">
        <v>822</v>
      </c>
      <c r="E220" t="s">
        <v>823</v>
      </c>
      <c r="F220" t="s">
        <v>824</v>
      </c>
      <c r="G220" t="s">
        <v>825</v>
      </c>
      <c r="H220" t="s">
        <v>826</v>
      </c>
      <c r="I220" t="s">
        <v>827</v>
      </c>
      <c r="J220" t="s">
        <v>828</v>
      </c>
      <c r="K220" t="s">
        <v>829</v>
      </c>
      <c r="L220" t="s">
        <v>830</v>
      </c>
      <c r="M220" t="s">
        <v>835</v>
      </c>
      <c r="N220" t="s">
        <v>836</v>
      </c>
      <c r="O220" t="s">
        <v>837</v>
      </c>
      <c r="P220" t="s">
        <v>838</v>
      </c>
    </row>
    <row r="221" spans="1:16" ht="15.75" customHeight="1">
      <c r="A221">
        <v>1</v>
      </c>
      <c r="B221" t="s">
        <v>3387</v>
      </c>
      <c r="C221" s="38">
        <v>2015</v>
      </c>
      <c r="D221">
        <v>38</v>
      </c>
      <c r="E221">
        <v>26</v>
      </c>
      <c r="F221">
        <v>9</v>
      </c>
      <c r="G221">
        <v>3</v>
      </c>
      <c r="H221">
        <v>73</v>
      </c>
      <c r="I221">
        <v>32</v>
      </c>
      <c r="J221">
        <v>41</v>
      </c>
      <c r="K221">
        <v>87</v>
      </c>
      <c r="L221">
        <v>2.29</v>
      </c>
      <c r="M221" s="37">
        <v>41546</v>
      </c>
      <c r="N221" t="s">
        <v>2994</v>
      </c>
      <c r="O221" t="s">
        <v>2995</v>
      </c>
      <c r="P221" t="s">
        <v>842</v>
      </c>
    </row>
    <row r="222" spans="1:16" ht="15.75" customHeight="1">
      <c r="A222">
        <v>2</v>
      </c>
      <c r="B222" t="s">
        <v>3388</v>
      </c>
      <c r="C222" s="38">
        <v>2015</v>
      </c>
      <c r="D222">
        <v>38</v>
      </c>
      <c r="E222">
        <v>24</v>
      </c>
      <c r="F222">
        <v>7</v>
      </c>
      <c r="G222">
        <v>7</v>
      </c>
      <c r="H222">
        <v>83</v>
      </c>
      <c r="I222">
        <v>38</v>
      </c>
      <c r="J222">
        <v>45</v>
      </c>
      <c r="K222">
        <v>79</v>
      </c>
      <c r="L222">
        <v>2.08</v>
      </c>
      <c r="M222" s="37">
        <v>45365</v>
      </c>
      <c r="N222" t="s">
        <v>2996</v>
      </c>
      <c r="O222" t="s">
        <v>2997</v>
      </c>
      <c r="P222" t="s">
        <v>842</v>
      </c>
    </row>
    <row r="223" spans="1:16" ht="15.75" customHeight="1">
      <c r="A223">
        <v>3</v>
      </c>
      <c r="B223" t="s">
        <v>3389</v>
      </c>
      <c r="C223" s="38">
        <v>2015</v>
      </c>
      <c r="D223">
        <v>38</v>
      </c>
      <c r="E223">
        <v>22</v>
      </c>
      <c r="F223">
        <v>9</v>
      </c>
      <c r="G223">
        <v>7</v>
      </c>
      <c r="H223">
        <v>71</v>
      </c>
      <c r="I223">
        <v>36</v>
      </c>
      <c r="J223">
        <v>35</v>
      </c>
      <c r="K223">
        <v>75</v>
      </c>
      <c r="L223">
        <v>1.97</v>
      </c>
      <c r="M223" s="37">
        <v>59992</v>
      </c>
      <c r="N223" t="s">
        <v>2998</v>
      </c>
      <c r="O223" t="s">
        <v>2685</v>
      </c>
      <c r="P223" t="s">
        <v>842</v>
      </c>
    </row>
    <row r="224" spans="1:16" ht="15.75" customHeight="1">
      <c r="A224">
        <v>4</v>
      </c>
      <c r="B224" t="s">
        <v>3390</v>
      </c>
      <c r="C224" s="38">
        <v>2015</v>
      </c>
      <c r="D224">
        <v>38</v>
      </c>
      <c r="E224">
        <v>20</v>
      </c>
      <c r="F224">
        <v>10</v>
      </c>
      <c r="G224">
        <v>8</v>
      </c>
      <c r="H224">
        <v>62</v>
      </c>
      <c r="I224">
        <v>37</v>
      </c>
      <c r="J224">
        <v>25</v>
      </c>
      <c r="K224">
        <v>70</v>
      </c>
      <c r="L224">
        <v>1.84</v>
      </c>
      <c r="M224" s="37">
        <v>75335</v>
      </c>
      <c r="N224" t="s">
        <v>2999</v>
      </c>
      <c r="O224" t="s">
        <v>3000</v>
      </c>
      <c r="P224" t="s">
        <v>842</v>
      </c>
    </row>
    <row r="225" spans="1:16" ht="15.75" customHeight="1">
      <c r="A225">
        <v>5</v>
      </c>
      <c r="B225" t="s">
        <v>3391</v>
      </c>
      <c r="C225" s="38">
        <v>2015</v>
      </c>
      <c r="D225">
        <v>38</v>
      </c>
      <c r="E225">
        <v>19</v>
      </c>
      <c r="F225">
        <v>7</v>
      </c>
      <c r="G225">
        <v>12</v>
      </c>
      <c r="H225">
        <v>58</v>
      </c>
      <c r="I225">
        <v>53</v>
      </c>
      <c r="J225">
        <v>5</v>
      </c>
      <c r="K225">
        <v>64</v>
      </c>
      <c r="L225">
        <v>1.68</v>
      </c>
      <c r="M225" s="37">
        <v>35728</v>
      </c>
      <c r="N225" t="s">
        <v>3001</v>
      </c>
      <c r="O225" t="s">
        <v>2723</v>
      </c>
      <c r="P225" t="s">
        <v>855</v>
      </c>
    </row>
    <row r="226" spans="1:16" ht="15.75" customHeight="1">
      <c r="A226">
        <v>6</v>
      </c>
      <c r="B226" t="s">
        <v>3392</v>
      </c>
      <c r="C226" s="38">
        <v>2015</v>
      </c>
      <c r="D226">
        <v>38</v>
      </c>
      <c r="E226">
        <v>18</v>
      </c>
      <c r="F226">
        <v>8</v>
      </c>
      <c r="G226">
        <v>12</v>
      </c>
      <c r="H226">
        <v>52</v>
      </c>
      <c r="I226">
        <v>48</v>
      </c>
      <c r="J226">
        <v>4</v>
      </c>
      <c r="K226">
        <v>62</v>
      </c>
      <c r="L226">
        <v>1.63</v>
      </c>
      <c r="M226" s="37">
        <v>44659</v>
      </c>
      <c r="N226" t="s">
        <v>3002</v>
      </c>
      <c r="O226" t="s">
        <v>3003</v>
      </c>
      <c r="P226" t="s">
        <v>2635</v>
      </c>
    </row>
    <row r="227" spans="1:16" ht="15.75" customHeight="1">
      <c r="A227">
        <v>7</v>
      </c>
      <c r="B227" t="s">
        <v>3393</v>
      </c>
      <c r="C227" s="38">
        <v>2015</v>
      </c>
      <c r="D227">
        <v>38</v>
      </c>
      <c r="E227">
        <v>18</v>
      </c>
      <c r="F227">
        <v>6</v>
      </c>
      <c r="G227">
        <v>14</v>
      </c>
      <c r="H227">
        <v>54</v>
      </c>
      <c r="I227">
        <v>33</v>
      </c>
      <c r="J227">
        <v>21</v>
      </c>
      <c r="K227">
        <v>60</v>
      </c>
      <c r="L227">
        <v>1.58</v>
      </c>
      <c r="M227" s="37">
        <v>30652</v>
      </c>
      <c r="N227" t="s">
        <v>3004</v>
      </c>
      <c r="O227" t="s">
        <v>3005</v>
      </c>
      <c r="P227" t="s">
        <v>2638</v>
      </c>
    </row>
    <row r="228" spans="1:16" ht="15.75" customHeight="1">
      <c r="A228">
        <v>8</v>
      </c>
      <c r="B228" t="s">
        <v>3394</v>
      </c>
      <c r="C228" s="38">
        <v>2015</v>
      </c>
      <c r="D228">
        <v>38</v>
      </c>
      <c r="E228">
        <v>16</v>
      </c>
      <c r="F228">
        <v>8</v>
      </c>
      <c r="G228">
        <v>14</v>
      </c>
      <c r="H228">
        <v>46</v>
      </c>
      <c r="I228">
        <v>49</v>
      </c>
      <c r="J228">
        <v>-3</v>
      </c>
      <c r="K228">
        <v>56</v>
      </c>
      <c r="L228">
        <v>1.47</v>
      </c>
      <c r="M228" s="37">
        <v>20555</v>
      </c>
      <c r="N228" t="s">
        <v>3006</v>
      </c>
      <c r="O228" t="s">
        <v>3007</v>
      </c>
    </row>
    <row r="229" spans="1:16" ht="15.75" customHeight="1">
      <c r="A229">
        <v>9</v>
      </c>
      <c r="B229" t="s">
        <v>3395</v>
      </c>
      <c r="C229" s="38">
        <v>2015</v>
      </c>
      <c r="D229">
        <v>38</v>
      </c>
      <c r="E229">
        <v>15</v>
      </c>
      <c r="F229">
        <v>9</v>
      </c>
      <c r="G229">
        <v>14</v>
      </c>
      <c r="H229">
        <v>48</v>
      </c>
      <c r="I229">
        <v>45</v>
      </c>
      <c r="J229">
        <v>3</v>
      </c>
      <c r="K229">
        <v>54</v>
      </c>
      <c r="L229">
        <v>1.42</v>
      </c>
      <c r="M229" s="37">
        <v>26747</v>
      </c>
      <c r="N229" t="s">
        <v>3008</v>
      </c>
      <c r="O229" t="s">
        <v>3009</v>
      </c>
    </row>
    <row r="230" spans="1:16" ht="15.75" customHeight="1">
      <c r="A230">
        <v>10</v>
      </c>
      <c r="B230" t="s">
        <v>3396</v>
      </c>
      <c r="C230" s="38">
        <v>2015</v>
      </c>
      <c r="D230">
        <v>38</v>
      </c>
      <c r="E230">
        <v>13</v>
      </c>
      <c r="F230">
        <v>9</v>
      </c>
      <c r="G230">
        <v>16</v>
      </c>
      <c r="H230">
        <v>47</v>
      </c>
      <c r="I230">
        <v>51</v>
      </c>
      <c r="J230">
        <v>-4</v>
      </c>
      <c r="K230">
        <v>48</v>
      </c>
      <c r="L230">
        <v>1.26</v>
      </c>
      <c r="M230" s="37">
        <v>24421</v>
      </c>
      <c r="N230" t="s">
        <v>3010</v>
      </c>
      <c r="O230" t="s">
        <v>3011</v>
      </c>
    </row>
    <row r="231" spans="1:16" ht="15.75" customHeight="1">
      <c r="A231">
        <v>11</v>
      </c>
      <c r="B231" t="s">
        <v>3397</v>
      </c>
      <c r="C231" s="38">
        <v>2015</v>
      </c>
      <c r="D231">
        <v>38</v>
      </c>
      <c r="E231">
        <v>12</v>
      </c>
      <c r="F231">
        <v>11</v>
      </c>
      <c r="G231">
        <v>15</v>
      </c>
      <c r="H231">
        <v>48</v>
      </c>
      <c r="I231">
        <v>50</v>
      </c>
      <c r="J231">
        <v>-2</v>
      </c>
      <c r="K231">
        <v>47</v>
      </c>
      <c r="L231">
        <v>1.24</v>
      </c>
      <c r="M231" s="37">
        <v>38405</v>
      </c>
      <c r="N231" t="s">
        <v>3012</v>
      </c>
      <c r="O231" t="s">
        <v>3013</v>
      </c>
    </row>
    <row r="232" spans="1:16" ht="15.75" customHeight="1">
      <c r="A232">
        <v>12</v>
      </c>
      <c r="B232" t="s">
        <v>3398</v>
      </c>
      <c r="C232" s="38">
        <v>2015</v>
      </c>
      <c r="D232">
        <v>38</v>
      </c>
      <c r="E232">
        <v>12</v>
      </c>
      <c r="F232">
        <v>11</v>
      </c>
      <c r="G232">
        <v>15</v>
      </c>
      <c r="H232">
        <v>44</v>
      </c>
      <c r="I232">
        <v>47</v>
      </c>
      <c r="J232">
        <v>-3</v>
      </c>
      <c r="K232">
        <v>47</v>
      </c>
      <c r="L232">
        <v>1.24</v>
      </c>
      <c r="M232" s="37">
        <v>34871</v>
      </c>
      <c r="N232" t="s">
        <v>3014</v>
      </c>
      <c r="O232" t="s">
        <v>3015</v>
      </c>
      <c r="P232" t="s">
        <v>3016</v>
      </c>
    </row>
    <row r="233" spans="1:16" ht="15.75" customHeight="1">
      <c r="A233">
        <v>13</v>
      </c>
      <c r="B233" t="s">
        <v>3399</v>
      </c>
      <c r="C233" s="38">
        <v>2015</v>
      </c>
      <c r="D233">
        <v>38</v>
      </c>
      <c r="E233">
        <v>11</v>
      </c>
      <c r="F233">
        <v>11</v>
      </c>
      <c r="G233">
        <v>16</v>
      </c>
      <c r="H233">
        <v>38</v>
      </c>
      <c r="I233">
        <v>51</v>
      </c>
      <c r="J233">
        <v>-13</v>
      </c>
      <c r="K233">
        <v>44</v>
      </c>
      <c r="L233">
        <v>1.1599999999999999</v>
      </c>
      <c r="M233" s="37">
        <v>25064</v>
      </c>
      <c r="N233" t="s">
        <v>3017</v>
      </c>
      <c r="O233" t="s">
        <v>3018</v>
      </c>
    </row>
    <row r="234" spans="1:16" ht="15.75" customHeight="1">
      <c r="A234">
        <v>14</v>
      </c>
      <c r="B234" t="s">
        <v>3400</v>
      </c>
      <c r="C234" s="38">
        <v>2015</v>
      </c>
      <c r="D234">
        <v>38</v>
      </c>
      <c r="E234">
        <v>11</v>
      </c>
      <c r="F234">
        <v>8</v>
      </c>
      <c r="G234">
        <v>19</v>
      </c>
      <c r="H234">
        <v>46</v>
      </c>
      <c r="I234">
        <v>55</v>
      </c>
      <c r="J234">
        <v>-9</v>
      </c>
      <c r="K234">
        <v>41</v>
      </c>
      <c r="L234">
        <v>1.08</v>
      </c>
      <c r="M234" s="37">
        <v>31693</v>
      </c>
      <c r="N234" t="s">
        <v>3019</v>
      </c>
      <c r="O234" t="s">
        <v>3020</v>
      </c>
    </row>
    <row r="235" spans="1:16" ht="15.75" customHeight="1">
      <c r="A235">
        <v>15</v>
      </c>
      <c r="B235" t="s">
        <v>3401</v>
      </c>
      <c r="C235" s="38">
        <v>2015</v>
      </c>
      <c r="D235">
        <v>38</v>
      </c>
      <c r="E235">
        <v>10</v>
      </c>
      <c r="F235">
        <v>9</v>
      </c>
      <c r="G235">
        <v>19</v>
      </c>
      <c r="H235">
        <v>40</v>
      </c>
      <c r="I235">
        <v>63</v>
      </c>
      <c r="J235">
        <v>-23</v>
      </c>
      <c r="K235">
        <v>39</v>
      </c>
      <c r="L235">
        <v>1.03</v>
      </c>
      <c r="M235" s="37">
        <v>50359</v>
      </c>
      <c r="N235" t="s">
        <v>3021</v>
      </c>
      <c r="O235" t="s">
        <v>3022</v>
      </c>
    </row>
    <row r="236" spans="1:16" ht="15.75" customHeight="1">
      <c r="A236">
        <v>16</v>
      </c>
      <c r="B236" t="s">
        <v>3402</v>
      </c>
      <c r="C236" s="38">
        <v>2015</v>
      </c>
      <c r="D236">
        <v>38</v>
      </c>
      <c r="E236">
        <v>7</v>
      </c>
      <c r="F236">
        <v>17</v>
      </c>
      <c r="G236">
        <v>14</v>
      </c>
      <c r="H236">
        <v>31</v>
      </c>
      <c r="I236">
        <v>53</v>
      </c>
      <c r="J236">
        <v>-22</v>
      </c>
      <c r="K236">
        <v>38</v>
      </c>
      <c r="L236">
        <v>1</v>
      </c>
      <c r="M236" s="37">
        <v>43157</v>
      </c>
      <c r="N236" t="s">
        <v>3023</v>
      </c>
      <c r="O236" t="s">
        <v>3024</v>
      </c>
    </row>
    <row r="237" spans="1:16" ht="15.75" customHeight="1">
      <c r="A237">
        <v>17</v>
      </c>
      <c r="B237" t="s">
        <v>3403</v>
      </c>
      <c r="C237" s="38">
        <v>2015</v>
      </c>
      <c r="D237">
        <v>38</v>
      </c>
      <c r="E237">
        <v>10</v>
      </c>
      <c r="F237">
        <v>8</v>
      </c>
      <c r="G237">
        <v>20</v>
      </c>
      <c r="H237">
        <v>31</v>
      </c>
      <c r="I237">
        <v>57</v>
      </c>
      <c r="J237">
        <v>-26</v>
      </c>
      <c r="K237">
        <v>38</v>
      </c>
      <c r="L237">
        <v>1</v>
      </c>
      <c r="M237" s="37">
        <v>34133</v>
      </c>
      <c r="N237" t="s">
        <v>3025</v>
      </c>
      <c r="O237" t="s">
        <v>3026</v>
      </c>
    </row>
    <row r="238" spans="1:16" ht="15.75" customHeight="1">
      <c r="A238">
        <v>18</v>
      </c>
      <c r="B238" t="s">
        <v>3404</v>
      </c>
      <c r="C238" s="38">
        <v>2015</v>
      </c>
      <c r="D238">
        <v>38</v>
      </c>
      <c r="E238">
        <v>8</v>
      </c>
      <c r="F238">
        <v>11</v>
      </c>
      <c r="G238">
        <v>19</v>
      </c>
      <c r="H238">
        <v>33</v>
      </c>
      <c r="I238">
        <v>51</v>
      </c>
      <c r="J238">
        <v>-18</v>
      </c>
      <c r="K238">
        <v>35</v>
      </c>
      <c r="L238">
        <v>0.92</v>
      </c>
      <c r="M238" s="37">
        <v>23557</v>
      </c>
      <c r="N238" t="s">
        <v>3027</v>
      </c>
      <c r="O238" t="s">
        <v>3028</v>
      </c>
      <c r="P238" t="s">
        <v>894</v>
      </c>
    </row>
    <row r="239" spans="1:16" ht="15.75" customHeight="1">
      <c r="A239">
        <v>19</v>
      </c>
      <c r="B239" t="s">
        <v>3405</v>
      </c>
      <c r="C239" s="38">
        <v>2015</v>
      </c>
      <c r="D239">
        <v>38</v>
      </c>
      <c r="E239">
        <v>7</v>
      </c>
      <c r="F239">
        <v>12</v>
      </c>
      <c r="G239">
        <v>19</v>
      </c>
      <c r="H239">
        <v>28</v>
      </c>
      <c r="I239">
        <v>53</v>
      </c>
      <c r="J239">
        <v>-25</v>
      </c>
      <c r="K239">
        <v>33</v>
      </c>
      <c r="L239">
        <v>0.87</v>
      </c>
      <c r="M239" s="37">
        <v>19131</v>
      </c>
      <c r="N239" t="s">
        <v>3029</v>
      </c>
      <c r="O239" t="s">
        <v>3030</v>
      </c>
      <c r="P239" t="s">
        <v>894</v>
      </c>
    </row>
    <row r="240" spans="1:16" ht="15.75" customHeight="1">
      <c r="A240">
        <v>20</v>
      </c>
      <c r="B240" t="s">
        <v>3406</v>
      </c>
      <c r="C240" s="38">
        <v>2015</v>
      </c>
      <c r="D240">
        <v>38</v>
      </c>
      <c r="E240">
        <v>8</v>
      </c>
      <c r="F240">
        <v>6</v>
      </c>
      <c r="G240">
        <v>24</v>
      </c>
      <c r="H240">
        <v>42</v>
      </c>
      <c r="I240">
        <v>73</v>
      </c>
      <c r="J240">
        <v>-31</v>
      </c>
      <c r="K240">
        <v>30</v>
      </c>
      <c r="L240">
        <v>0.79</v>
      </c>
      <c r="M240" s="37">
        <v>17809</v>
      </c>
      <c r="N240" t="s">
        <v>3031</v>
      </c>
      <c r="O240" t="s">
        <v>3032</v>
      </c>
      <c r="P240" t="s">
        <v>894</v>
      </c>
    </row>
    <row r="242" spans="1:16" ht="15.75" customHeight="1">
      <c r="A242" s="31" t="s">
        <v>820</v>
      </c>
      <c r="B242" t="s">
        <v>821</v>
      </c>
      <c r="C242" s="31" t="s">
        <v>2</v>
      </c>
      <c r="D242" t="s">
        <v>822</v>
      </c>
      <c r="E242" t="s">
        <v>823</v>
      </c>
      <c r="F242" t="s">
        <v>824</v>
      </c>
      <c r="G242" t="s">
        <v>825</v>
      </c>
      <c r="H242" t="s">
        <v>826</v>
      </c>
      <c r="I242" t="s">
        <v>827</v>
      </c>
      <c r="J242" t="s">
        <v>828</v>
      </c>
      <c r="K242" t="s">
        <v>829</v>
      </c>
      <c r="L242" t="s">
        <v>830</v>
      </c>
      <c r="M242" t="s">
        <v>835</v>
      </c>
      <c r="N242" t="s">
        <v>836</v>
      </c>
      <c r="O242" t="s">
        <v>837</v>
      </c>
      <c r="P242" t="s">
        <v>838</v>
      </c>
    </row>
    <row r="243" spans="1:16" ht="15.75" customHeight="1">
      <c r="A243">
        <v>1</v>
      </c>
      <c r="B243" t="s">
        <v>3388</v>
      </c>
      <c r="C243" s="38">
        <v>2014</v>
      </c>
      <c r="D243">
        <v>38</v>
      </c>
      <c r="E243">
        <v>27</v>
      </c>
      <c r="F243">
        <v>5</v>
      </c>
      <c r="G243">
        <v>6</v>
      </c>
      <c r="H243">
        <v>102</v>
      </c>
      <c r="I243">
        <v>37</v>
      </c>
      <c r="J243">
        <v>65</v>
      </c>
      <c r="K243">
        <v>86</v>
      </c>
      <c r="L243">
        <v>2.2599999999999998</v>
      </c>
      <c r="M243" s="37">
        <v>47080</v>
      </c>
      <c r="N243" t="s">
        <v>3033</v>
      </c>
      <c r="O243" t="s">
        <v>2997</v>
      </c>
      <c r="P243" t="s">
        <v>842</v>
      </c>
    </row>
    <row r="244" spans="1:16" ht="15.75" customHeight="1">
      <c r="A244">
        <v>2</v>
      </c>
      <c r="B244" t="s">
        <v>3392</v>
      </c>
      <c r="C244" s="38">
        <v>2014</v>
      </c>
      <c r="D244">
        <v>38</v>
      </c>
      <c r="E244">
        <v>26</v>
      </c>
      <c r="F244">
        <v>6</v>
      </c>
      <c r="G244">
        <v>6</v>
      </c>
      <c r="H244">
        <v>101</v>
      </c>
      <c r="I244">
        <v>50</v>
      </c>
      <c r="J244">
        <v>51</v>
      </c>
      <c r="K244">
        <v>84</v>
      </c>
      <c r="L244">
        <v>2.21</v>
      </c>
      <c r="M244" s="37">
        <v>44671</v>
      </c>
      <c r="N244" t="s">
        <v>3034</v>
      </c>
      <c r="O244" t="s">
        <v>3003</v>
      </c>
      <c r="P244" t="s">
        <v>842</v>
      </c>
    </row>
    <row r="245" spans="1:16" ht="15.75" customHeight="1">
      <c r="A245">
        <v>3</v>
      </c>
      <c r="B245" t="s">
        <v>3387</v>
      </c>
      <c r="C245" s="38">
        <v>2014</v>
      </c>
      <c r="D245">
        <v>38</v>
      </c>
      <c r="E245">
        <v>25</v>
      </c>
      <c r="F245">
        <v>7</v>
      </c>
      <c r="G245">
        <v>6</v>
      </c>
      <c r="H245">
        <v>71</v>
      </c>
      <c r="I245">
        <v>27</v>
      </c>
      <c r="J245">
        <v>44</v>
      </c>
      <c r="K245">
        <v>82</v>
      </c>
      <c r="L245">
        <v>2.16</v>
      </c>
      <c r="M245" s="37">
        <v>41482</v>
      </c>
      <c r="N245" t="s">
        <v>3035</v>
      </c>
      <c r="O245" t="s">
        <v>2918</v>
      </c>
      <c r="P245" t="s">
        <v>842</v>
      </c>
    </row>
    <row r="246" spans="1:16" ht="15.75" customHeight="1">
      <c r="A246">
        <v>4</v>
      </c>
      <c r="B246" t="s">
        <v>3389</v>
      </c>
      <c r="C246" s="38">
        <v>2014</v>
      </c>
      <c r="D246">
        <v>38</v>
      </c>
      <c r="E246">
        <v>24</v>
      </c>
      <c r="F246">
        <v>7</v>
      </c>
      <c r="G246">
        <v>7</v>
      </c>
      <c r="H246">
        <v>68</v>
      </c>
      <c r="I246">
        <v>41</v>
      </c>
      <c r="J246">
        <v>27</v>
      </c>
      <c r="K246">
        <v>79</v>
      </c>
      <c r="L246">
        <v>2.08</v>
      </c>
      <c r="M246" s="37">
        <v>60013</v>
      </c>
      <c r="N246" t="s">
        <v>3036</v>
      </c>
      <c r="O246" t="s">
        <v>3037</v>
      </c>
      <c r="P246" t="s">
        <v>842</v>
      </c>
    </row>
    <row r="247" spans="1:16" ht="15.75" customHeight="1">
      <c r="A247">
        <v>5</v>
      </c>
      <c r="B247" t="s">
        <v>3397</v>
      </c>
      <c r="C247" s="38">
        <v>2014</v>
      </c>
      <c r="D247">
        <v>38</v>
      </c>
      <c r="E247">
        <v>21</v>
      </c>
      <c r="F247">
        <v>9</v>
      </c>
      <c r="G247">
        <v>8</v>
      </c>
      <c r="H247">
        <v>61</v>
      </c>
      <c r="I247">
        <v>39</v>
      </c>
      <c r="J247">
        <v>22</v>
      </c>
      <c r="K247">
        <v>72</v>
      </c>
      <c r="L247">
        <v>1.89</v>
      </c>
      <c r="M247" s="37">
        <v>37732</v>
      </c>
      <c r="N247" t="s">
        <v>3038</v>
      </c>
      <c r="O247" t="s">
        <v>3013</v>
      </c>
      <c r="P247" t="s">
        <v>2635</v>
      </c>
    </row>
    <row r="248" spans="1:16" ht="15.75" customHeight="1">
      <c r="A248">
        <v>6</v>
      </c>
      <c r="B248" t="s">
        <v>3391</v>
      </c>
      <c r="C248" s="38">
        <v>2014</v>
      </c>
      <c r="D248">
        <v>38</v>
      </c>
      <c r="E248">
        <v>21</v>
      </c>
      <c r="F248">
        <v>6</v>
      </c>
      <c r="G248">
        <v>11</v>
      </c>
      <c r="H248">
        <v>55</v>
      </c>
      <c r="I248">
        <v>51</v>
      </c>
      <c r="J248">
        <v>4</v>
      </c>
      <c r="K248">
        <v>69</v>
      </c>
      <c r="L248">
        <v>1.82</v>
      </c>
      <c r="M248" s="37">
        <v>35808</v>
      </c>
      <c r="N248" t="s">
        <v>3039</v>
      </c>
      <c r="O248" t="s">
        <v>2723</v>
      </c>
      <c r="P248" t="s">
        <v>855</v>
      </c>
    </row>
    <row r="249" spans="1:16" ht="15.75" customHeight="1">
      <c r="A249">
        <v>7</v>
      </c>
      <c r="B249" t="s">
        <v>3390</v>
      </c>
      <c r="C249" s="38">
        <v>2014</v>
      </c>
      <c r="D249">
        <v>38</v>
      </c>
      <c r="E249">
        <v>19</v>
      </c>
      <c r="F249">
        <v>7</v>
      </c>
      <c r="G249">
        <v>12</v>
      </c>
      <c r="H249">
        <v>64</v>
      </c>
      <c r="I249">
        <v>43</v>
      </c>
      <c r="J249">
        <v>21</v>
      </c>
      <c r="K249">
        <v>64</v>
      </c>
      <c r="L249">
        <v>1.68</v>
      </c>
      <c r="M249" s="37">
        <v>75207</v>
      </c>
      <c r="N249" t="s">
        <v>3040</v>
      </c>
      <c r="O249" t="s">
        <v>3000</v>
      </c>
    </row>
    <row r="250" spans="1:16" ht="15.75" customHeight="1">
      <c r="A250">
        <v>8</v>
      </c>
      <c r="B250" t="s">
        <v>3393</v>
      </c>
      <c r="C250" s="38">
        <v>2014</v>
      </c>
      <c r="D250">
        <v>38</v>
      </c>
      <c r="E250">
        <v>15</v>
      </c>
      <c r="F250">
        <v>11</v>
      </c>
      <c r="G250">
        <v>12</v>
      </c>
      <c r="H250">
        <v>54</v>
      </c>
      <c r="I250">
        <v>46</v>
      </c>
      <c r="J250">
        <v>8</v>
      </c>
      <c r="K250">
        <v>56</v>
      </c>
      <c r="L250">
        <v>1.47</v>
      </c>
      <c r="M250" s="37">
        <v>30212</v>
      </c>
      <c r="N250" t="s">
        <v>3041</v>
      </c>
      <c r="O250" t="s">
        <v>3042</v>
      </c>
    </row>
    <row r="251" spans="1:16" ht="15.75" customHeight="1">
      <c r="A251">
        <v>9</v>
      </c>
      <c r="B251" t="s">
        <v>3395</v>
      </c>
      <c r="C251" s="38">
        <v>2014</v>
      </c>
      <c r="D251">
        <v>38</v>
      </c>
      <c r="E251">
        <v>13</v>
      </c>
      <c r="F251">
        <v>11</v>
      </c>
      <c r="G251">
        <v>14</v>
      </c>
      <c r="H251">
        <v>45</v>
      </c>
      <c r="I251">
        <v>52</v>
      </c>
      <c r="J251">
        <v>-7</v>
      </c>
      <c r="K251">
        <v>50</v>
      </c>
      <c r="L251">
        <v>1.32</v>
      </c>
      <c r="M251" s="37">
        <v>26137</v>
      </c>
      <c r="N251" t="s">
        <v>3043</v>
      </c>
      <c r="O251" t="s">
        <v>3009</v>
      </c>
    </row>
    <row r="252" spans="1:16" ht="15.75" customHeight="1">
      <c r="A252">
        <v>10</v>
      </c>
      <c r="B252" t="s">
        <v>3401</v>
      </c>
      <c r="C252" s="38">
        <v>2014</v>
      </c>
      <c r="D252">
        <v>38</v>
      </c>
      <c r="E252">
        <v>15</v>
      </c>
      <c r="F252">
        <v>4</v>
      </c>
      <c r="G252">
        <v>19</v>
      </c>
      <c r="H252">
        <v>43</v>
      </c>
      <c r="I252">
        <v>59</v>
      </c>
      <c r="J252">
        <v>-16</v>
      </c>
      <c r="K252">
        <v>49</v>
      </c>
      <c r="L252">
        <v>1.29</v>
      </c>
      <c r="M252" s="37">
        <v>50395</v>
      </c>
      <c r="N252" t="s">
        <v>2784</v>
      </c>
      <c r="O252" t="s">
        <v>3022</v>
      </c>
    </row>
    <row r="253" spans="1:16" ht="15.75" customHeight="1">
      <c r="A253">
        <v>11</v>
      </c>
      <c r="B253" t="s">
        <v>3396</v>
      </c>
      <c r="C253" s="38">
        <v>2014</v>
      </c>
      <c r="D253">
        <v>38</v>
      </c>
      <c r="E253">
        <v>13</v>
      </c>
      <c r="F253">
        <v>6</v>
      </c>
      <c r="G253">
        <v>19</v>
      </c>
      <c r="H253">
        <v>33</v>
      </c>
      <c r="I253">
        <v>48</v>
      </c>
      <c r="J253">
        <v>-15</v>
      </c>
      <c r="K253">
        <v>45</v>
      </c>
      <c r="L253">
        <v>1.18</v>
      </c>
      <c r="M253" s="37">
        <v>24114</v>
      </c>
      <c r="N253" t="s">
        <v>3044</v>
      </c>
      <c r="O253" t="s">
        <v>3011</v>
      </c>
    </row>
    <row r="254" spans="1:16" ht="15.75" customHeight="1">
      <c r="A254">
        <v>12</v>
      </c>
      <c r="B254" t="s">
        <v>3394</v>
      </c>
      <c r="C254" s="38">
        <v>2014</v>
      </c>
      <c r="D254">
        <v>38</v>
      </c>
      <c r="E254">
        <v>11</v>
      </c>
      <c r="F254">
        <v>9</v>
      </c>
      <c r="G254">
        <v>18</v>
      </c>
      <c r="H254">
        <v>54</v>
      </c>
      <c r="I254">
        <v>54</v>
      </c>
      <c r="J254">
        <v>0</v>
      </c>
      <c r="K254">
        <v>42</v>
      </c>
      <c r="L254">
        <v>1.1100000000000001</v>
      </c>
      <c r="M254" s="37">
        <v>20407</v>
      </c>
      <c r="N254" t="s">
        <v>3045</v>
      </c>
      <c r="O254" t="s">
        <v>3046</v>
      </c>
    </row>
    <row r="255" spans="1:16" ht="15.75" customHeight="1">
      <c r="A255">
        <v>13</v>
      </c>
      <c r="B255" t="s">
        <v>3398</v>
      </c>
      <c r="C255" s="38">
        <v>2014</v>
      </c>
      <c r="D255">
        <v>38</v>
      </c>
      <c r="E255">
        <v>11</v>
      </c>
      <c r="F255">
        <v>7</v>
      </c>
      <c r="G255">
        <v>20</v>
      </c>
      <c r="H255">
        <v>40</v>
      </c>
      <c r="I255">
        <v>51</v>
      </c>
      <c r="J255">
        <v>-11</v>
      </c>
      <c r="K255">
        <v>40</v>
      </c>
      <c r="L255">
        <v>1.05</v>
      </c>
      <c r="M255" s="37">
        <v>34197</v>
      </c>
      <c r="N255" t="s">
        <v>3047</v>
      </c>
      <c r="O255" t="s">
        <v>3015</v>
      </c>
    </row>
    <row r="256" spans="1:16" ht="15.75" customHeight="1">
      <c r="A256">
        <v>14</v>
      </c>
      <c r="B256" t="s">
        <v>3402</v>
      </c>
      <c r="C256" s="38">
        <v>2014</v>
      </c>
      <c r="D256">
        <v>38</v>
      </c>
      <c r="E256">
        <v>10</v>
      </c>
      <c r="F256">
        <v>8</v>
      </c>
      <c r="G256">
        <v>20</v>
      </c>
      <c r="H256">
        <v>41</v>
      </c>
      <c r="I256">
        <v>60</v>
      </c>
      <c r="J256">
        <v>-19</v>
      </c>
      <c r="K256">
        <v>38</v>
      </c>
      <c r="L256">
        <v>1</v>
      </c>
      <c r="M256" s="37">
        <v>41090</v>
      </c>
      <c r="N256" t="s">
        <v>3048</v>
      </c>
      <c r="O256" t="s">
        <v>3049</v>
      </c>
    </row>
    <row r="257" spans="1:16" ht="15.75" customHeight="1">
      <c r="A257">
        <v>15</v>
      </c>
      <c r="B257" t="s">
        <v>3403</v>
      </c>
      <c r="C257" s="38">
        <v>2014</v>
      </c>
      <c r="D257">
        <v>38</v>
      </c>
      <c r="E257">
        <v>10</v>
      </c>
      <c r="F257">
        <v>8</v>
      </c>
      <c r="G257">
        <v>20</v>
      </c>
      <c r="H257">
        <v>39</v>
      </c>
      <c r="I257">
        <v>61</v>
      </c>
      <c r="J257">
        <v>-22</v>
      </c>
      <c r="K257">
        <v>38</v>
      </c>
      <c r="L257">
        <v>1</v>
      </c>
      <c r="M257" s="37">
        <v>36081</v>
      </c>
      <c r="N257" t="s">
        <v>3050</v>
      </c>
      <c r="O257" t="s">
        <v>3026</v>
      </c>
    </row>
    <row r="258" spans="1:16" ht="15.75" customHeight="1">
      <c r="A258">
        <v>16</v>
      </c>
      <c r="B258" t="s">
        <v>3404</v>
      </c>
      <c r="C258" s="38">
        <v>2014</v>
      </c>
      <c r="D258">
        <v>38</v>
      </c>
      <c r="E258">
        <v>10</v>
      </c>
      <c r="F258">
        <v>7</v>
      </c>
      <c r="G258">
        <v>21</v>
      </c>
      <c r="H258">
        <v>38</v>
      </c>
      <c r="I258">
        <v>53</v>
      </c>
      <c r="J258">
        <v>-15</v>
      </c>
      <c r="K258">
        <v>37</v>
      </c>
      <c r="L258">
        <v>0.97</v>
      </c>
      <c r="M258" s="37">
        <v>24117</v>
      </c>
      <c r="N258" t="s">
        <v>3051</v>
      </c>
      <c r="O258" t="s">
        <v>3028</v>
      </c>
      <c r="P258" t="s">
        <v>3052</v>
      </c>
    </row>
    <row r="259" spans="1:16" ht="15.75" customHeight="1">
      <c r="A259">
        <v>17</v>
      </c>
      <c r="B259" t="s">
        <v>3399</v>
      </c>
      <c r="C259" s="38">
        <v>2014</v>
      </c>
      <c r="D259">
        <v>38</v>
      </c>
      <c r="E259">
        <v>7</v>
      </c>
      <c r="F259">
        <v>15</v>
      </c>
      <c r="G259">
        <v>16</v>
      </c>
      <c r="H259">
        <v>43</v>
      </c>
      <c r="I259">
        <v>59</v>
      </c>
      <c r="J259">
        <v>-16</v>
      </c>
      <c r="K259">
        <v>36</v>
      </c>
      <c r="L259">
        <v>0.95</v>
      </c>
      <c r="M259" s="37">
        <v>25194</v>
      </c>
      <c r="N259" t="s">
        <v>3053</v>
      </c>
      <c r="O259" t="s">
        <v>3018</v>
      </c>
    </row>
    <row r="260" spans="1:16" ht="15.75" customHeight="1">
      <c r="A260">
        <v>18</v>
      </c>
      <c r="B260" t="s">
        <v>3407</v>
      </c>
      <c r="C260" s="38">
        <v>2014</v>
      </c>
      <c r="D260">
        <v>38</v>
      </c>
      <c r="E260">
        <v>8</v>
      </c>
      <c r="F260">
        <v>9</v>
      </c>
      <c r="G260">
        <v>21</v>
      </c>
      <c r="H260">
        <v>28</v>
      </c>
      <c r="I260">
        <v>62</v>
      </c>
      <c r="J260">
        <v>-34</v>
      </c>
      <c r="K260">
        <v>33</v>
      </c>
      <c r="L260">
        <v>0.87</v>
      </c>
      <c r="M260" s="37">
        <v>26805</v>
      </c>
      <c r="N260" t="s">
        <v>3054</v>
      </c>
      <c r="O260" t="s">
        <v>3055</v>
      </c>
      <c r="P260" t="s">
        <v>894</v>
      </c>
    </row>
    <row r="261" spans="1:16" ht="15.75" customHeight="1">
      <c r="A261">
        <v>19</v>
      </c>
      <c r="B261" t="s">
        <v>3408</v>
      </c>
      <c r="C261" s="38">
        <v>2014</v>
      </c>
      <c r="D261">
        <v>38</v>
      </c>
      <c r="E261">
        <v>9</v>
      </c>
      <c r="F261">
        <v>5</v>
      </c>
      <c r="G261">
        <v>24</v>
      </c>
      <c r="H261">
        <v>40</v>
      </c>
      <c r="I261">
        <v>85</v>
      </c>
      <c r="J261">
        <v>-45</v>
      </c>
      <c r="K261">
        <v>32</v>
      </c>
      <c r="L261">
        <v>0.84</v>
      </c>
      <c r="M261" s="37">
        <v>24977</v>
      </c>
      <c r="N261" t="s">
        <v>3056</v>
      </c>
      <c r="O261" t="s">
        <v>3057</v>
      </c>
      <c r="P261" t="s">
        <v>894</v>
      </c>
    </row>
    <row r="262" spans="1:16" ht="15.75" customHeight="1">
      <c r="A262">
        <v>20</v>
      </c>
      <c r="B262" t="s">
        <v>3409</v>
      </c>
      <c r="C262" s="38">
        <v>2014</v>
      </c>
      <c r="D262">
        <v>38</v>
      </c>
      <c r="E262">
        <v>7</v>
      </c>
      <c r="F262">
        <v>9</v>
      </c>
      <c r="G262">
        <v>22</v>
      </c>
      <c r="H262">
        <v>32</v>
      </c>
      <c r="I262">
        <v>74</v>
      </c>
      <c r="J262">
        <v>-42</v>
      </c>
      <c r="K262">
        <v>30</v>
      </c>
      <c r="L262">
        <v>0.79</v>
      </c>
      <c r="M262" s="37">
        <v>27430</v>
      </c>
      <c r="N262" t="s">
        <v>3058</v>
      </c>
      <c r="O262" t="s">
        <v>3059</v>
      </c>
      <c r="P262" t="s">
        <v>894</v>
      </c>
    </row>
    <row r="264" spans="1:16" ht="15.75" customHeight="1">
      <c r="A264" t="s">
        <v>820</v>
      </c>
      <c r="B264" t="s">
        <v>821</v>
      </c>
      <c r="C264" s="31" t="s">
        <v>2</v>
      </c>
      <c r="D264" t="s">
        <v>822</v>
      </c>
      <c r="E264" t="s">
        <v>823</v>
      </c>
      <c r="F264" t="s">
        <v>824</v>
      </c>
      <c r="G264" t="s">
        <v>825</v>
      </c>
      <c r="H264" t="s">
        <v>826</v>
      </c>
      <c r="I264" t="s">
        <v>827</v>
      </c>
      <c r="J264" t="s">
        <v>828</v>
      </c>
      <c r="K264" t="s">
        <v>829</v>
      </c>
      <c r="L264" t="s">
        <v>830</v>
      </c>
      <c r="M264" t="s">
        <v>835</v>
      </c>
      <c r="N264" t="s">
        <v>836</v>
      </c>
      <c r="O264" t="s">
        <v>837</v>
      </c>
      <c r="P264" t="s">
        <v>838</v>
      </c>
    </row>
    <row r="265" spans="1:16" ht="15.75" customHeight="1">
      <c r="A265">
        <v>1</v>
      </c>
      <c r="B265" t="s">
        <v>3390</v>
      </c>
      <c r="C265" s="38">
        <v>2013</v>
      </c>
      <c r="D265">
        <v>38</v>
      </c>
      <c r="E265">
        <v>28</v>
      </c>
      <c r="F265">
        <v>5</v>
      </c>
      <c r="G265">
        <v>5</v>
      </c>
      <c r="H265">
        <v>86</v>
      </c>
      <c r="I265">
        <v>43</v>
      </c>
      <c r="J265">
        <v>43</v>
      </c>
      <c r="K265">
        <v>89</v>
      </c>
      <c r="L265">
        <v>2.34</v>
      </c>
      <c r="M265" s="37">
        <v>75530</v>
      </c>
      <c r="N265" t="s">
        <v>3060</v>
      </c>
      <c r="O265" t="s">
        <v>3000</v>
      </c>
      <c r="P265" t="s">
        <v>842</v>
      </c>
    </row>
    <row r="266" spans="1:16" ht="15.75" customHeight="1">
      <c r="A266">
        <v>2</v>
      </c>
      <c r="B266" t="s">
        <v>3388</v>
      </c>
      <c r="C266" s="38">
        <v>2013</v>
      </c>
      <c r="D266">
        <v>38</v>
      </c>
      <c r="E266">
        <v>23</v>
      </c>
      <c r="F266">
        <v>9</v>
      </c>
      <c r="G266">
        <v>6</v>
      </c>
      <c r="H266">
        <v>66</v>
      </c>
      <c r="I266">
        <v>34</v>
      </c>
      <c r="J266">
        <v>32</v>
      </c>
      <c r="K266">
        <v>78</v>
      </c>
      <c r="L266">
        <v>2.0499999999999998</v>
      </c>
      <c r="M266" s="37">
        <v>46974</v>
      </c>
      <c r="N266" t="s">
        <v>3061</v>
      </c>
      <c r="O266" t="s">
        <v>2997</v>
      </c>
      <c r="P266" t="s">
        <v>842</v>
      </c>
    </row>
    <row r="267" spans="1:16" ht="15.75" customHeight="1">
      <c r="A267">
        <v>3</v>
      </c>
      <c r="B267" t="s">
        <v>3387</v>
      </c>
      <c r="C267" s="38">
        <v>2013</v>
      </c>
      <c r="D267">
        <v>38</v>
      </c>
      <c r="E267">
        <v>22</v>
      </c>
      <c r="F267">
        <v>9</v>
      </c>
      <c r="G267">
        <v>7</v>
      </c>
      <c r="H267">
        <v>75</v>
      </c>
      <c r="I267">
        <v>39</v>
      </c>
      <c r="J267">
        <v>36</v>
      </c>
      <c r="K267">
        <v>75</v>
      </c>
      <c r="L267">
        <v>1.97</v>
      </c>
      <c r="M267" s="37">
        <v>41462</v>
      </c>
      <c r="N267" t="s">
        <v>3062</v>
      </c>
      <c r="O267" t="s">
        <v>2918</v>
      </c>
      <c r="P267" t="s">
        <v>842</v>
      </c>
    </row>
    <row r="268" spans="1:16" ht="15.75" customHeight="1">
      <c r="A268">
        <v>4</v>
      </c>
      <c r="B268" t="s">
        <v>3389</v>
      </c>
      <c r="C268" s="38">
        <v>2013</v>
      </c>
      <c r="D268">
        <v>38</v>
      </c>
      <c r="E268">
        <v>21</v>
      </c>
      <c r="F268">
        <v>10</v>
      </c>
      <c r="G268">
        <v>7</v>
      </c>
      <c r="H268">
        <v>72</v>
      </c>
      <c r="I268">
        <v>37</v>
      </c>
      <c r="J268">
        <v>35</v>
      </c>
      <c r="K268">
        <v>73</v>
      </c>
      <c r="L268">
        <v>1.92</v>
      </c>
      <c r="M268" s="37">
        <v>60079</v>
      </c>
      <c r="N268" t="s">
        <v>3063</v>
      </c>
      <c r="O268" t="s">
        <v>3037</v>
      </c>
      <c r="P268" t="s">
        <v>842</v>
      </c>
    </row>
    <row r="269" spans="1:16" ht="15.75" customHeight="1">
      <c r="A269">
        <v>5</v>
      </c>
      <c r="B269" t="s">
        <v>3391</v>
      </c>
      <c r="C269" s="38">
        <v>2013</v>
      </c>
      <c r="D269">
        <v>38</v>
      </c>
      <c r="E269">
        <v>21</v>
      </c>
      <c r="F269">
        <v>9</v>
      </c>
      <c r="G269">
        <v>8</v>
      </c>
      <c r="H269">
        <v>66</v>
      </c>
      <c r="I269">
        <v>46</v>
      </c>
      <c r="J269">
        <v>20</v>
      </c>
      <c r="K269">
        <v>72</v>
      </c>
      <c r="L269">
        <v>1.89</v>
      </c>
      <c r="M269" s="37">
        <v>36030</v>
      </c>
      <c r="N269" t="s">
        <v>3064</v>
      </c>
      <c r="O269" t="s">
        <v>2723</v>
      </c>
      <c r="P269" t="s">
        <v>855</v>
      </c>
    </row>
    <row r="270" spans="1:16" ht="15.75" customHeight="1">
      <c r="A270">
        <v>6</v>
      </c>
      <c r="B270" t="s">
        <v>3397</v>
      </c>
      <c r="C270" s="38">
        <v>2013</v>
      </c>
      <c r="D270">
        <v>38</v>
      </c>
      <c r="E270">
        <v>16</v>
      </c>
      <c r="F270">
        <v>15</v>
      </c>
      <c r="G270">
        <v>7</v>
      </c>
      <c r="H270">
        <v>55</v>
      </c>
      <c r="I270">
        <v>40</v>
      </c>
      <c r="J270">
        <v>15</v>
      </c>
      <c r="K270">
        <v>63</v>
      </c>
      <c r="L270">
        <v>1.66</v>
      </c>
      <c r="M270" s="37">
        <v>36356</v>
      </c>
      <c r="N270" t="s">
        <v>3065</v>
      </c>
      <c r="O270" t="s">
        <v>3013</v>
      </c>
    </row>
    <row r="271" spans="1:16" ht="15.75" customHeight="1">
      <c r="A271">
        <v>7</v>
      </c>
      <c r="B271" t="s">
        <v>3392</v>
      </c>
      <c r="C271" s="38">
        <v>2013</v>
      </c>
      <c r="D271">
        <v>38</v>
      </c>
      <c r="E271">
        <v>16</v>
      </c>
      <c r="F271">
        <v>13</v>
      </c>
      <c r="G271">
        <v>9</v>
      </c>
      <c r="H271">
        <v>71</v>
      </c>
      <c r="I271">
        <v>43</v>
      </c>
      <c r="J271">
        <v>28</v>
      </c>
      <c r="K271">
        <v>61</v>
      </c>
      <c r="L271">
        <v>1.61</v>
      </c>
      <c r="M271" s="37">
        <v>44749</v>
      </c>
      <c r="N271" t="s">
        <v>3066</v>
      </c>
      <c r="O271" t="s">
        <v>3067</v>
      </c>
    </row>
    <row r="272" spans="1:16" ht="15.75" customHeight="1">
      <c r="A272">
        <v>8</v>
      </c>
      <c r="B272" t="s">
        <v>3399</v>
      </c>
      <c r="C272" s="38">
        <v>2013</v>
      </c>
      <c r="D272">
        <v>38</v>
      </c>
      <c r="E272">
        <v>14</v>
      </c>
      <c r="F272">
        <v>7</v>
      </c>
      <c r="G272">
        <v>17</v>
      </c>
      <c r="H272">
        <v>53</v>
      </c>
      <c r="I272">
        <v>57</v>
      </c>
      <c r="J272">
        <v>-4</v>
      </c>
      <c r="K272">
        <v>49</v>
      </c>
      <c r="L272">
        <v>1.29</v>
      </c>
      <c r="M272" s="37">
        <v>25360</v>
      </c>
      <c r="N272" t="s">
        <v>3068</v>
      </c>
      <c r="O272" t="s">
        <v>3018</v>
      </c>
    </row>
    <row r="273" spans="1:16" ht="15.75" customHeight="1">
      <c r="A273">
        <v>9</v>
      </c>
      <c r="B273" t="s">
        <v>3394</v>
      </c>
      <c r="C273" s="38">
        <v>2013</v>
      </c>
      <c r="D273">
        <v>38</v>
      </c>
      <c r="E273">
        <v>11</v>
      </c>
      <c r="F273">
        <v>13</v>
      </c>
      <c r="G273">
        <v>14</v>
      </c>
      <c r="H273">
        <v>47</v>
      </c>
      <c r="I273">
        <v>51</v>
      </c>
      <c r="J273">
        <v>-4</v>
      </c>
      <c r="K273">
        <v>46</v>
      </c>
      <c r="L273">
        <v>1.21</v>
      </c>
      <c r="M273" s="37">
        <v>20370</v>
      </c>
      <c r="N273" t="s">
        <v>3069</v>
      </c>
      <c r="O273" t="s">
        <v>3046</v>
      </c>
      <c r="P273" t="s">
        <v>2697</v>
      </c>
    </row>
    <row r="274" spans="1:16" ht="15.75" customHeight="1">
      <c r="A274">
        <v>10</v>
      </c>
      <c r="B274" t="s">
        <v>3398</v>
      </c>
      <c r="C274" s="38">
        <v>2013</v>
      </c>
      <c r="D274">
        <v>38</v>
      </c>
      <c r="E274">
        <v>12</v>
      </c>
      <c r="F274">
        <v>10</v>
      </c>
      <c r="G274">
        <v>16</v>
      </c>
      <c r="H274">
        <v>45</v>
      </c>
      <c r="I274">
        <v>53</v>
      </c>
      <c r="J274">
        <v>-8</v>
      </c>
      <c r="K274">
        <v>46</v>
      </c>
      <c r="L274">
        <v>1.21</v>
      </c>
      <c r="M274" s="37">
        <v>34720</v>
      </c>
      <c r="N274" t="s">
        <v>3070</v>
      </c>
      <c r="O274" t="s">
        <v>3071</v>
      </c>
    </row>
    <row r="275" spans="1:16" ht="15.75" customHeight="1">
      <c r="A275">
        <v>11</v>
      </c>
      <c r="B275" t="s">
        <v>3407</v>
      </c>
      <c r="C275" s="38">
        <v>2013</v>
      </c>
      <c r="D275">
        <v>38</v>
      </c>
      <c r="E275">
        <v>10</v>
      </c>
      <c r="F275">
        <v>14</v>
      </c>
      <c r="G275">
        <v>14</v>
      </c>
      <c r="H275">
        <v>41</v>
      </c>
      <c r="I275">
        <v>58</v>
      </c>
      <c r="J275">
        <v>-17</v>
      </c>
      <c r="K275">
        <v>44</v>
      </c>
      <c r="L275">
        <v>1.1599999999999999</v>
      </c>
      <c r="M275" s="37">
        <v>26672</v>
      </c>
      <c r="N275" t="s">
        <v>3072</v>
      </c>
      <c r="O275" t="s">
        <v>3073</v>
      </c>
    </row>
    <row r="276" spans="1:16" ht="15.75" customHeight="1">
      <c r="A276">
        <v>12</v>
      </c>
      <c r="B276" t="s">
        <v>3408</v>
      </c>
      <c r="C276" s="38">
        <v>2013</v>
      </c>
      <c r="D276">
        <v>38</v>
      </c>
      <c r="E276">
        <v>11</v>
      </c>
      <c r="F276">
        <v>10</v>
      </c>
      <c r="G276">
        <v>17</v>
      </c>
      <c r="H276">
        <v>50</v>
      </c>
      <c r="I276">
        <v>60</v>
      </c>
      <c r="J276">
        <v>-10</v>
      </c>
      <c r="K276">
        <v>43</v>
      </c>
      <c r="L276">
        <v>1.1299999999999999</v>
      </c>
      <c r="M276" s="37">
        <v>25394</v>
      </c>
      <c r="N276" t="s">
        <v>3074</v>
      </c>
      <c r="O276" t="s">
        <v>3075</v>
      </c>
    </row>
    <row r="277" spans="1:16" ht="15.75" customHeight="1">
      <c r="A277">
        <v>13</v>
      </c>
      <c r="B277" t="s">
        <v>3395</v>
      </c>
      <c r="C277" s="38">
        <v>2013</v>
      </c>
      <c r="D277">
        <v>38</v>
      </c>
      <c r="E277">
        <v>9</v>
      </c>
      <c r="F277">
        <v>15</v>
      </c>
      <c r="G277">
        <v>14</v>
      </c>
      <c r="H277">
        <v>34</v>
      </c>
      <c r="I277">
        <v>45</v>
      </c>
      <c r="J277">
        <v>-11</v>
      </c>
      <c r="K277">
        <v>42</v>
      </c>
      <c r="L277">
        <v>1.1100000000000001</v>
      </c>
      <c r="M277" s="37">
        <v>26732</v>
      </c>
      <c r="N277" t="s">
        <v>3076</v>
      </c>
      <c r="O277" t="s">
        <v>3009</v>
      </c>
    </row>
    <row r="278" spans="1:16" ht="15.75" customHeight="1">
      <c r="A278">
        <v>14</v>
      </c>
      <c r="B278" t="s">
        <v>3393</v>
      </c>
      <c r="C278" s="38">
        <v>2013</v>
      </c>
      <c r="D278">
        <v>38</v>
      </c>
      <c r="E278">
        <v>9</v>
      </c>
      <c r="F278">
        <v>14</v>
      </c>
      <c r="G278">
        <v>15</v>
      </c>
      <c r="H278">
        <v>49</v>
      </c>
      <c r="I278">
        <v>60</v>
      </c>
      <c r="J278">
        <v>-11</v>
      </c>
      <c r="K278">
        <v>41</v>
      </c>
      <c r="L278">
        <v>1.08</v>
      </c>
      <c r="M278" s="37">
        <v>30874</v>
      </c>
      <c r="N278" t="s">
        <v>3077</v>
      </c>
      <c r="O278" t="s">
        <v>3042</v>
      </c>
    </row>
    <row r="279" spans="1:16" ht="15.75" customHeight="1">
      <c r="A279">
        <v>15</v>
      </c>
      <c r="B279" t="s">
        <v>3403</v>
      </c>
      <c r="C279" s="38">
        <v>2013</v>
      </c>
      <c r="D279">
        <v>38</v>
      </c>
      <c r="E279">
        <v>10</v>
      </c>
      <c r="F279">
        <v>11</v>
      </c>
      <c r="G279">
        <v>17</v>
      </c>
      <c r="H279">
        <v>47</v>
      </c>
      <c r="I279">
        <v>69</v>
      </c>
      <c r="J279">
        <v>-22</v>
      </c>
      <c r="K279">
        <v>41</v>
      </c>
      <c r="L279">
        <v>1.08</v>
      </c>
      <c r="M279" s="37">
        <v>35060</v>
      </c>
      <c r="N279" t="s">
        <v>3078</v>
      </c>
      <c r="O279" t="s">
        <v>3026</v>
      </c>
    </row>
    <row r="280" spans="1:16" ht="15.75" customHeight="1">
      <c r="A280">
        <v>16</v>
      </c>
      <c r="B280" t="s">
        <v>3401</v>
      </c>
      <c r="C280" s="38">
        <v>2013</v>
      </c>
      <c r="D280">
        <v>38</v>
      </c>
      <c r="E280">
        <v>11</v>
      </c>
      <c r="F280">
        <v>8</v>
      </c>
      <c r="G280">
        <v>19</v>
      </c>
      <c r="H280">
        <v>45</v>
      </c>
      <c r="I280">
        <v>68</v>
      </c>
      <c r="J280">
        <v>-23</v>
      </c>
      <c r="K280">
        <v>41</v>
      </c>
      <c r="L280">
        <v>1.08</v>
      </c>
      <c r="M280" s="37">
        <v>50517</v>
      </c>
      <c r="N280" t="s">
        <v>3079</v>
      </c>
      <c r="O280" t="s">
        <v>3022</v>
      </c>
    </row>
    <row r="281" spans="1:16" ht="15.75" customHeight="1">
      <c r="A281">
        <v>17</v>
      </c>
      <c r="B281" t="s">
        <v>3402</v>
      </c>
      <c r="C281" s="38">
        <v>2013</v>
      </c>
      <c r="D281">
        <v>38</v>
      </c>
      <c r="E281">
        <v>9</v>
      </c>
      <c r="F281">
        <v>12</v>
      </c>
      <c r="G281">
        <v>17</v>
      </c>
      <c r="H281">
        <v>41</v>
      </c>
      <c r="I281">
        <v>54</v>
      </c>
      <c r="J281">
        <v>-13</v>
      </c>
      <c r="K281">
        <v>39</v>
      </c>
      <c r="L281">
        <v>1.03</v>
      </c>
      <c r="M281" s="37">
        <v>40544</v>
      </c>
      <c r="N281" t="s">
        <v>3080</v>
      </c>
      <c r="O281" t="s">
        <v>3003</v>
      </c>
    </row>
    <row r="282" spans="1:16" ht="15.75" customHeight="1">
      <c r="A282">
        <v>18</v>
      </c>
      <c r="B282" t="s">
        <v>3410</v>
      </c>
      <c r="C282" s="38">
        <v>2013</v>
      </c>
      <c r="D282">
        <v>38</v>
      </c>
      <c r="E282">
        <v>9</v>
      </c>
      <c r="F282">
        <v>9</v>
      </c>
      <c r="G282">
        <v>20</v>
      </c>
      <c r="H282">
        <v>47</v>
      </c>
      <c r="I282">
        <v>73</v>
      </c>
      <c r="J282">
        <v>-26</v>
      </c>
      <c r="K282">
        <v>36</v>
      </c>
      <c r="L282">
        <v>0.95</v>
      </c>
      <c r="M282" s="37">
        <v>19359</v>
      </c>
      <c r="N282" t="s">
        <v>3081</v>
      </c>
      <c r="O282" t="s">
        <v>3082</v>
      </c>
      <c r="P282" t="s">
        <v>3083</v>
      </c>
    </row>
    <row r="283" spans="1:16" ht="15.75" customHeight="1">
      <c r="A283">
        <v>19</v>
      </c>
      <c r="B283" t="s">
        <v>3411</v>
      </c>
      <c r="C283" s="38">
        <v>2013</v>
      </c>
      <c r="D283">
        <v>38</v>
      </c>
      <c r="E283">
        <v>6</v>
      </c>
      <c r="F283">
        <v>10</v>
      </c>
      <c r="G283">
        <v>22</v>
      </c>
      <c r="H283">
        <v>43</v>
      </c>
      <c r="I283">
        <v>73</v>
      </c>
      <c r="J283">
        <v>-30</v>
      </c>
      <c r="K283">
        <v>28</v>
      </c>
      <c r="L283">
        <v>0.74</v>
      </c>
      <c r="M283" s="37">
        <v>23862</v>
      </c>
      <c r="N283" t="s">
        <v>3084</v>
      </c>
      <c r="O283" t="s">
        <v>3085</v>
      </c>
      <c r="P283" t="s">
        <v>894</v>
      </c>
    </row>
    <row r="284" spans="1:16" ht="15.75" customHeight="1">
      <c r="A284">
        <v>20</v>
      </c>
      <c r="B284" t="s">
        <v>3406</v>
      </c>
      <c r="C284" s="38">
        <v>2013</v>
      </c>
      <c r="D284">
        <v>38</v>
      </c>
      <c r="E284">
        <v>4</v>
      </c>
      <c r="F284">
        <v>13</v>
      </c>
      <c r="G284">
        <v>21</v>
      </c>
      <c r="H284">
        <v>30</v>
      </c>
      <c r="I284">
        <v>60</v>
      </c>
      <c r="J284">
        <v>-30</v>
      </c>
      <c r="K284">
        <v>25</v>
      </c>
      <c r="L284">
        <v>0.66</v>
      </c>
      <c r="M284" s="37">
        <v>17779</v>
      </c>
      <c r="N284" t="s">
        <v>3086</v>
      </c>
      <c r="O284" t="s">
        <v>3087</v>
      </c>
      <c r="P284" t="s">
        <v>894</v>
      </c>
    </row>
    <row r="286" spans="1:16" ht="15.75" customHeight="1">
      <c r="A286" t="s">
        <v>820</v>
      </c>
      <c r="B286" t="s">
        <v>821</v>
      </c>
      <c r="C286" s="31" t="s">
        <v>2</v>
      </c>
      <c r="D286" t="s">
        <v>822</v>
      </c>
      <c r="E286" t="s">
        <v>823</v>
      </c>
      <c r="F286" t="s">
        <v>824</v>
      </c>
      <c r="G286" t="s">
        <v>825</v>
      </c>
      <c r="H286" t="s">
        <v>826</v>
      </c>
      <c r="I286" t="s">
        <v>827</v>
      </c>
      <c r="J286" t="s">
        <v>828</v>
      </c>
      <c r="K286" t="s">
        <v>829</v>
      </c>
      <c r="L286" t="s">
        <v>830</v>
      </c>
      <c r="M286" t="s">
        <v>835</v>
      </c>
      <c r="N286" t="s">
        <v>836</v>
      </c>
      <c r="O286" t="s">
        <v>837</v>
      </c>
      <c r="P286" t="s">
        <v>838</v>
      </c>
    </row>
    <row r="287" spans="1:16" ht="15.75" customHeight="1">
      <c r="A287">
        <v>1</v>
      </c>
      <c r="B287" t="s">
        <v>3388</v>
      </c>
      <c r="C287" s="38">
        <v>2012</v>
      </c>
      <c r="D287">
        <v>38</v>
      </c>
      <c r="E287">
        <v>28</v>
      </c>
      <c r="F287">
        <v>5</v>
      </c>
      <c r="G287">
        <v>5</v>
      </c>
      <c r="H287">
        <v>93</v>
      </c>
      <c r="I287">
        <v>29</v>
      </c>
      <c r="J287">
        <v>64</v>
      </c>
      <c r="K287">
        <v>89</v>
      </c>
      <c r="L287">
        <v>2.34</v>
      </c>
      <c r="M287" s="37">
        <v>47045</v>
      </c>
      <c r="N287" t="s">
        <v>3088</v>
      </c>
      <c r="O287" t="s">
        <v>2997</v>
      </c>
      <c r="P287" t="s">
        <v>842</v>
      </c>
    </row>
    <row r="288" spans="1:16" ht="15.75" customHeight="1">
      <c r="A288">
        <v>2</v>
      </c>
      <c r="B288" t="s">
        <v>3390</v>
      </c>
      <c r="C288" s="38">
        <v>2012</v>
      </c>
      <c r="D288">
        <v>38</v>
      </c>
      <c r="E288">
        <v>28</v>
      </c>
      <c r="F288">
        <v>5</v>
      </c>
      <c r="G288">
        <v>5</v>
      </c>
      <c r="H288">
        <v>89</v>
      </c>
      <c r="I288">
        <v>33</v>
      </c>
      <c r="J288">
        <v>56</v>
      </c>
      <c r="K288">
        <v>89</v>
      </c>
      <c r="L288">
        <v>2.34</v>
      </c>
      <c r="M288" s="37">
        <v>75387</v>
      </c>
      <c r="N288" t="s">
        <v>3089</v>
      </c>
      <c r="O288" t="s">
        <v>3000</v>
      </c>
      <c r="P288" t="s">
        <v>842</v>
      </c>
    </row>
    <row r="289" spans="1:16" ht="15.75" customHeight="1">
      <c r="A289">
        <v>3</v>
      </c>
      <c r="B289" t="s">
        <v>3389</v>
      </c>
      <c r="C289" s="38">
        <v>2012</v>
      </c>
      <c r="D289">
        <v>38</v>
      </c>
      <c r="E289">
        <v>21</v>
      </c>
      <c r="F289">
        <v>7</v>
      </c>
      <c r="G289">
        <v>10</v>
      </c>
      <c r="H289">
        <v>74</v>
      </c>
      <c r="I289">
        <v>49</v>
      </c>
      <c r="J289">
        <v>25</v>
      </c>
      <c r="K289">
        <v>70</v>
      </c>
      <c r="L289">
        <v>1.84</v>
      </c>
      <c r="M289" s="37">
        <v>60000</v>
      </c>
      <c r="N289" t="s">
        <v>3090</v>
      </c>
      <c r="O289" t="s">
        <v>3037</v>
      </c>
      <c r="P289" t="s">
        <v>842</v>
      </c>
    </row>
    <row r="290" spans="1:16" ht="15.75" customHeight="1">
      <c r="A290">
        <v>4</v>
      </c>
      <c r="B290" t="s">
        <v>3391</v>
      </c>
      <c r="C290" s="38">
        <v>2012</v>
      </c>
      <c r="D290">
        <v>38</v>
      </c>
      <c r="E290">
        <v>20</v>
      </c>
      <c r="F290">
        <v>9</v>
      </c>
      <c r="G290">
        <v>9</v>
      </c>
      <c r="H290">
        <v>66</v>
      </c>
      <c r="I290">
        <v>41</v>
      </c>
      <c r="J290">
        <v>25</v>
      </c>
      <c r="K290">
        <v>69</v>
      </c>
      <c r="L290">
        <v>1.82</v>
      </c>
      <c r="M290" s="37">
        <v>36026</v>
      </c>
      <c r="N290" t="s">
        <v>3091</v>
      </c>
      <c r="O290" t="s">
        <v>3092</v>
      </c>
      <c r="P290" t="s">
        <v>855</v>
      </c>
    </row>
    <row r="291" spans="1:16" ht="15.75" customHeight="1">
      <c r="A291">
        <v>5</v>
      </c>
      <c r="B291" t="s">
        <v>3401</v>
      </c>
      <c r="C291" s="38">
        <v>2012</v>
      </c>
      <c r="D291">
        <v>38</v>
      </c>
      <c r="E291">
        <v>19</v>
      </c>
      <c r="F291">
        <v>8</v>
      </c>
      <c r="G291">
        <v>11</v>
      </c>
      <c r="H291">
        <v>56</v>
      </c>
      <c r="I291">
        <v>51</v>
      </c>
      <c r="J291">
        <v>5</v>
      </c>
      <c r="K291">
        <v>65</v>
      </c>
      <c r="L291">
        <v>1.71</v>
      </c>
      <c r="M291" s="37">
        <v>49936</v>
      </c>
      <c r="N291" t="s">
        <v>3093</v>
      </c>
      <c r="O291" t="s">
        <v>3022</v>
      </c>
      <c r="P291" t="s">
        <v>855</v>
      </c>
    </row>
    <row r="292" spans="1:16" ht="15.75" customHeight="1">
      <c r="A292">
        <v>6</v>
      </c>
      <c r="B292" t="s">
        <v>3387</v>
      </c>
      <c r="C292" s="38">
        <v>2012</v>
      </c>
      <c r="D292">
        <v>38</v>
      </c>
      <c r="E292">
        <v>18</v>
      </c>
      <c r="F292">
        <v>10</v>
      </c>
      <c r="G292">
        <v>10</v>
      </c>
      <c r="H292">
        <v>65</v>
      </c>
      <c r="I292">
        <v>46</v>
      </c>
      <c r="J292">
        <v>19</v>
      </c>
      <c r="K292">
        <v>64</v>
      </c>
      <c r="L292">
        <v>1.68</v>
      </c>
      <c r="M292" s="37">
        <v>41478</v>
      </c>
      <c r="N292" t="s">
        <v>3094</v>
      </c>
      <c r="O292" t="s">
        <v>2918</v>
      </c>
      <c r="P292" t="s">
        <v>3095</v>
      </c>
    </row>
    <row r="293" spans="1:16" ht="15.75" customHeight="1">
      <c r="A293">
        <v>7</v>
      </c>
      <c r="B293" t="s">
        <v>3397</v>
      </c>
      <c r="C293" s="38">
        <v>2012</v>
      </c>
      <c r="D293">
        <v>38</v>
      </c>
      <c r="E293">
        <v>15</v>
      </c>
      <c r="F293">
        <v>11</v>
      </c>
      <c r="G293">
        <v>12</v>
      </c>
      <c r="H293">
        <v>50</v>
      </c>
      <c r="I293">
        <v>40</v>
      </c>
      <c r="J293">
        <v>10</v>
      </c>
      <c r="K293">
        <v>56</v>
      </c>
      <c r="L293">
        <v>1.47</v>
      </c>
      <c r="M293" s="37">
        <v>33228</v>
      </c>
      <c r="N293" t="s">
        <v>3096</v>
      </c>
      <c r="O293" t="s">
        <v>3013</v>
      </c>
    </row>
    <row r="294" spans="1:16" ht="15.75" customHeight="1">
      <c r="A294">
        <v>8</v>
      </c>
      <c r="B294" t="s">
        <v>3392</v>
      </c>
      <c r="C294" s="38">
        <v>2012</v>
      </c>
      <c r="D294">
        <v>38</v>
      </c>
      <c r="E294">
        <v>14</v>
      </c>
      <c r="F294">
        <v>10</v>
      </c>
      <c r="G294">
        <v>14</v>
      </c>
      <c r="H294">
        <v>47</v>
      </c>
      <c r="I294">
        <v>40</v>
      </c>
      <c r="J294">
        <v>7</v>
      </c>
      <c r="K294">
        <v>52</v>
      </c>
      <c r="L294">
        <v>1.37</v>
      </c>
      <c r="M294" s="37">
        <v>44253</v>
      </c>
      <c r="N294" t="s">
        <v>3097</v>
      </c>
      <c r="O294" t="s">
        <v>3067</v>
      </c>
      <c r="P294" t="s">
        <v>2697</v>
      </c>
    </row>
    <row r="295" spans="1:16" ht="15.75" customHeight="1">
      <c r="A295">
        <v>9</v>
      </c>
      <c r="B295" t="s">
        <v>3408</v>
      </c>
      <c r="C295" s="38">
        <v>2012</v>
      </c>
      <c r="D295">
        <v>38</v>
      </c>
      <c r="E295">
        <v>14</v>
      </c>
      <c r="F295">
        <v>10</v>
      </c>
      <c r="G295">
        <v>14</v>
      </c>
      <c r="H295">
        <v>48</v>
      </c>
      <c r="I295">
        <v>51</v>
      </c>
      <c r="J295">
        <v>-3</v>
      </c>
      <c r="K295">
        <v>52</v>
      </c>
      <c r="L295">
        <v>1.37</v>
      </c>
      <c r="M295" s="37">
        <v>25293</v>
      </c>
      <c r="N295" t="s">
        <v>3098</v>
      </c>
      <c r="O295" t="s">
        <v>3075</v>
      </c>
    </row>
    <row r="296" spans="1:16" ht="15.75" customHeight="1">
      <c r="A296">
        <v>10</v>
      </c>
      <c r="B296" t="s">
        <v>3399</v>
      </c>
      <c r="C296" s="38">
        <v>2012</v>
      </c>
      <c r="D296">
        <v>38</v>
      </c>
      <c r="E296">
        <v>13</v>
      </c>
      <c r="F296">
        <v>8</v>
      </c>
      <c r="G296">
        <v>17</v>
      </c>
      <c r="H296">
        <v>45</v>
      </c>
      <c r="I296">
        <v>52</v>
      </c>
      <c r="J296">
        <v>-7</v>
      </c>
      <c r="K296">
        <v>47</v>
      </c>
      <c r="L296">
        <v>1.24</v>
      </c>
      <c r="M296" s="37">
        <v>24798</v>
      </c>
      <c r="N296" t="s">
        <v>3099</v>
      </c>
      <c r="O296" t="s">
        <v>3018</v>
      </c>
    </row>
    <row r="297" spans="1:16" ht="15.75" customHeight="1">
      <c r="A297">
        <v>11</v>
      </c>
      <c r="B297" t="s">
        <v>3394</v>
      </c>
      <c r="C297" s="38">
        <v>2012</v>
      </c>
      <c r="D297">
        <v>38</v>
      </c>
      <c r="E297">
        <v>12</v>
      </c>
      <c r="F297">
        <v>11</v>
      </c>
      <c r="G297">
        <v>15</v>
      </c>
      <c r="H297">
        <v>44</v>
      </c>
      <c r="I297">
        <v>51</v>
      </c>
      <c r="J297">
        <v>-7</v>
      </c>
      <c r="K297">
        <v>47</v>
      </c>
      <c r="L297">
        <v>1.24</v>
      </c>
      <c r="M297" s="37">
        <v>19946</v>
      </c>
      <c r="N297" t="s">
        <v>3100</v>
      </c>
      <c r="O297" t="s">
        <v>3046</v>
      </c>
    </row>
    <row r="298" spans="1:16" ht="15.75" customHeight="1">
      <c r="A298">
        <v>12</v>
      </c>
      <c r="B298" t="s">
        <v>3407</v>
      </c>
      <c r="C298" s="38">
        <v>2012</v>
      </c>
      <c r="D298">
        <v>38</v>
      </c>
      <c r="E298">
        <v>12</v>
      </c>
      <c r="F298">
        <v>11</v>
      </c>
      <c r="G298">
        <v>15</v>
      </c>
      <c r="H298">
        <v>52</v>
      </c>
      <c r="I298">
        <v>66</v>
      </c>
      <c r="J298">
        <v>-14</v>
      </c>
      <c r="K298">
        <v>47</v>
      </c>
      <c r="L298">
        <v>1.24</v>
      </c>
      <c r="M298" s="37">
        <v>26606</v>
      </c>
      <c r="N298" t="s">
        <v>3101</v>
      </c>
      <c r="O298" t="s">
        <v>3055</v>
      </c>
    </row>
    <row r="299" spans="1:16" ht="15.75" customHeight="1">
      <c r="A299">
        <v>13</v>
      </c>
      <c r="B299" t="s">
        <v>3402</v>
      </c>
      <c r="C299" s="38">
        <v>2012</v>
      </c>
      <c r="D299">
        <v>38</v>
      </c>
      <c r="E299">
        <v>11</v>
      </c>
      <c r="F299">
        <v>12</v>
      </c>
      <c r="G299">
        <v>15</v>
      </c>
      <c r="H299">
        <v>45</v>
      </c>
      <c r="I299">
        <v>46</v>
      </c>
      <c r="J299">
        <v>-1</v>
      </c>
      <c r="K299">
        <v>45</v>
      </c>
      <c r="L299">
        <v>1.18</v>
      </c>
      <c r="M299" s="37">
        <v>39095</v>
      </c>
      <c r="N299" t="s">
        <v>3102</v>
      </c>
      <c r="O299" t="s">
        <v>3003</v>
      </c>
    </row>
    <row r="300" spans="1:16" ht="15.75" customHeight="1">
      <c r="A300">
        <v>14</v>
      </c>
      <c r="B300" t="s">
        <v>3395</v>
      </c>
      <c r="C300" s="38">
        <v>2012</v>
      </c>
      <c r="D300">
        <v>38</v>
      </c>
      <c r="E300">
        <v>11</v>
      </c>
      <c r="F300">
        <v>12</v>
      </c>
      <c r="G300">
        <v>15</v>
      </c>
      <c r="H300">
        <v>36</v>
      </c>
      <c r="I300">
        <v>53</v>
      </c>
      <c r="J300">
        <v>-17</v>
      </c>
      <c r="K300">
        <v>45</v>
      </c>
      <c r="L300">
        <v>1.18</v>
      </c>
      <c r="M300" s="37">
        <v>27226</v>
      </c>
      <c r="N300" t="s">
        <v>3103</v>
      </c>
      <c r="O300" t="s">
        <v>3009</v>
      </c>
    </row>
    <row r="301" spans="1:16" ht="15.75" customHeight="1">
      <c r="A301">
        <v>15</v>
      </c>
      <c r="B301" t="s">
        <v>3410</v>
      </c>
      <c r="C301" s="38">
        <v>2012</v>
      </c>
      <c r="D301">
        <v>38</v>
      </c>
      <c r="E301">
        <v>11</v>
      </c>
      <c r="F301">
        <v>10</v>
      </c>
      <c r="G301">
        <v>17</v>
      </c>
      <c r="H301">
        <v>42</v>
      </c>
      <c r="I301">
        <v>62</v>
      </c>
      <c r="J301">
        <v>-20</v>
      </c>
      <c r="K301">
        <v>43</v>
      </c>
      <c r="L301">
        <v>1.1299999999999999</v>
      </c>
      <c r="M301" s="37">
        <v>18634</v>
      </c>
      <c r="N301" t="s">
        <v>3104</v>
      </c>
      <c r="O301" t="s">
        <v>3082</v>
      </c>
    </row>
    <row r="302" spans="1:16" ht="15.75" customHeight="1">
      <c r="A302">
        <v>16</v>
      </c>
      <c r="B302" t="s">
        <v>3403</v>
      </c>
      <c r="C302" s="38">
        <v>2012</v>
      </c>
      <c r="D302">
        <v>38</v>
      </c>
      <c r="E302">
        <v>7</v>
      </c>
      <c r="F302">
        <v>17</v>
      </c>
      <c r="G302">
        <v>14</v>
      </c>
      <c r="H302">
        <v>37</v>
      </c>
      <c r="I302">
        <v>53</v>
      </c>
      <c r="J302">
        <v>-16</v>
      </c>
      <c r="K302">
        <v>38</v>
      </c>
      <c r="L302">
        <v>1</v>
      </c>
      <c r="M302" s="37">
        <v>33873</v>
      </c>
      <c r="N302" t="s">
        <v>3105</v>
      </c>
      <c r="O302" t="s">
        <v>3106</v>
      </c>
    </row>
    <row r="303" spans="1:16" ht="15.75" customHeight="1">
      <c r="A303">
        <v>17</v>
      </c>
      <c r="B303" t="s">
        <v>3406</v>
      </c>
      <c r="C303" s="38">
        <v>2012</v>
      </c>
      <c r="D303">
        <v>38</v>
      </c>
      <c r="E303">
        <v>10</v>
      </c>
      <c r="F303">
        <v>7</v>
      </c>
      <c r="G303">
        <v>21</v>
      </c>
      <c r="H303">
        <v>43</v>
      </c>
      <c r="I303">
        <v>66</v>
      </c>
      <c r="J303">
        <v>-23</v>
      </c>
      <c r="K303">
        <v>37</v>
      </c>
      <c r="L303">
        <v>0.97</v>
      </c>
      <c r="M303" s="37">
        <v>17295</v>
      </c>
      <c r="N303" t="s">
        <v>3107</v>
      </c>
      <c r="O303" t="s">
        <v>3108</v>
      </c>
    </row>
    <row r="304" spans="1:16" ht="15.75" customHeight="1">
      <c r="A304">
        <v>18</v>
      </c>
      <c r="B304" t="s">
        <v>3412</v>
      </c>
      <c r="C304" s="38">
        <v>2012</v>
      </c>
      <c r="D304">
        <v>38</v>
      </c>
      <c r="E304">
        <v>10</v>
      </c>
      <c r="F304">
        <v>6</v>
      </c>
      <c r="G304">
        <v>22</v>
      </c>
      <c r="H304">
        <v>46</v>
      </c>
      <c r="I304">
        <v>77</v>
      </c>
      <c r="J304">
        <v>-31</v>
      </c>
      <c r="K304">
        <v>36</v>
      </c>
      <c r="L304">
        <v>0.95</v>
      </c>
      <c r="M304" s="37">
        <v>23670</v>
      </c>
      <c r="N304" t="s">
        <v>3109</v>
      </c>
      <c r="O304" t="s">
        <v>3110</v>
      </c>
      <c r="P304" t="s">
        <v>894</v>
      </c>
    </row>
    <row r="305" spans="1:16" ht="15.75" customHeight="1">
      <c r="A305">
        <v>19</v>
      </c>
      <c r="B305" t="s">
        <v>3413</v>
      </c>
      <c r="C305" s="38">
        <v>2012</v>
      </c>
      <c r="D305">
        <v>38</v>
      </c>
      <c r="E305">
        <v>8</v>
      </c>
      <c r="F305">
        <v>7</v>
      </c>
      <c r="G305">
        <v>23</v>
      </c>
      <c r="H305">
        <v>48</v>
      </c>
      <c r="I305">
        <v>78</v>
      </c>
      <c r="J305">
        <v>-30</v>
      </c>
      <c r="K305">
        <v>31</v>
      </c>
      <c r="L305">
        <v>0.82</v>
      </c>
      <c r="M305" s="37">
        <v>22551</v>
      </c>
      <c r="N305" t="s">
        <v>3111</v>
      </c>
      <c r="O305" t="s">
        <v>3112</v>
      </c>
      <c r="P305" t="s">
        <v>894</v>
      </c>
    </row>
    <row r="306" spans="1:16" ht="15.75" customHeight="1">
      <c r="A306">
        <v>20</v>
      </c>
      <c r="B306" t="s">
        <v>3414</v>
      </c>
      <c r="C306" s="38">
        <v>2012</v>
      </c>
      <c r="D306">
        <v>38</v>
      </c>
      <c r="E306">
        <v>5</v>
      </c>
      <c r="F306">
        <v>10</v>
      </c>
      <c r="G306">
        <v>23</v>
      </c>
      <c r="H306">
        <v>40</v>
      </c>
      <c r="I306">
        <v>82</v>
      </c>
      <c r="J306">
        <v>-42</v>
      </c>
      <c r="K306">
        <v>25</v>
      </c>
      <c r="L306">
        <v>0.66</v>
      </c>
      <c r="M306" s="37">
        <v>25682</v>
      </c>
      <c r="N306" t="s">
        <v>3113</v>
      </c>
      <c r="O306" t="s">
        <v>3114</v>
      </c>
      <c r="P306" t="s">
        <v>894</v>
      </c>
    </row>
    <row r="308" spans="1:16" ht="15.75" customHeight="1">
      <c r="A308" t="s">
        <v>820</v>
      </c>
      <c r="B308" t="s">
        <v>821</v>
      </c>
      <c r="C308" s="31" t="s">
        <v>2</v>
      </c>
      <c r="D308" t="s">
        <v>822</v>
      </c>
      <c r="E308" t="s">
        <v>823</v>
      </c>
      <c r="F308" t="s">
        <v>824</v>
      </c>
      <c r="G308" t="s">
        <v>825</v>
      </c>
      <c r="H308" t="s">
        <v>826</v>
      </c>
      <c r="I308" t="s">
        <v>827</v>
      </c>
      <c r="J308" t="s">
        <v>828</v>
      </c>
      <c r="K308" t="s">
        <v>829</v>
      </c>
      <c r="L308" t="s">
        <v>830</v>
      </c>
      <c r="M308" t="s">
        <v>835</v>
      </c>
      <c r="N308" t="s">
        <v>836</v>
      </c>
      <c r="O308" t="s">
        <v>837</v>
      </c>
      <c r="P308" t="s">
        <v>838</v>
      </c>
    </row>
    <row r="309" spans="1:16" ht="15.75" customHeight="1">
      <c r="A309">
        <v>1</v>
      </c>
      <c r="B309" t="s">
        <v>3390</v>
      </c>
      <c r="C309" s="38">
        <v>2011</v>
      </c>
      <c r="D309">
        <v>38</v>
      </c>
      <c r="E309">
        <v>23</v>
      </c>
      <c r="F309">
        <v>11</v>
      </c>
      <c r="G309">
        <v>4</v>
      </c>
      <c r="H309">
        <v>78</v>
      </c>
      <c r="I309">
        <v>37</v>
      </c>
      <c r="J309">
        <v>41</v>
      </c>
      <c r="K309">
        <v>80</v>
      </c>
      <c r="L309">
        <v>2.11</v>
      </c>
      <c r="M309" s="37">
        <v>75109</v>
      </c>
      <c r="N309" t="s">
        <v>3115</v>
      </c>
      <c r="O309" t="s">
        <v>3116</v>
      </c>
      <c r="P309" t="s">
        <v>842</v>
      </c>
    </row>
    <row r="310" spans="1:16" ht="15.75" customHeight="1">
      <c r="A310">
        <v>2</v>
      </c>
      <c r="B310" t="s">
        <v>3387</v>
      </c>
      <c r="C310" s="38">
        <v>2011</v>
      </c>
      <c r="D310">
        <v>38</v>
      </c>
      <c r="E310">
        <v>21</v>
      </c>
      <c r="F310">
        <v>8</v>
      </c>
      <c r="G310">
        <v>9</v>
      </c>
      <c r="H310">
        <v>69</v>
      </c>
      <c r="I310">
        <v>33</v>
      </c>
      <c r="J310">
        <v>36</v>
      </c>
      <c r="K310">
        <v>71</v>
      </c>
      <c r="L310">
        <v>1.87</v>
      </c>
      <c r="M310" s="37">
        <v>41435</v>
      </c>
      <c r="N310" t="s">
        <v>3117</v>
      </c>
      <c r="O310" t="s">
        <v>2918</v>
      </c>
      <c r="P310" t="s">
        <v>842</v>
      </c>
    </row>
    <row r="311" spans="1:16" ht="15.75" customHeight="1">
      <c r="A311">
        <v>3</v>
      </c>
      <c r="B311" t="s">
        <v>3388</v>
      </c>
      <c r="C311" s="38">
        <v>2011</v>
      </c>
      <c r="D311">
        <v>38</v>
      </c>
      <c r="E311">
        <v>21</v>
      </c>
      <c r="F311">
        <v>8</v>
      </c>
      <c r="G311">
        <v>9</v>
      </c>
      <c r="H311">
        <v>60</v>
      </c>
      <c r="I311">
        <v>33</v>
      </c>
      <c r="J311">
        <v>27</v>
      </c>
      <c r="K311">
        <v>71</v>
      </c>
      <c r="L311">
        <v>1.87</v>
      </c>
      <c r="M311" s="37">
        <v>45880</v>
      </c>
      <c r="N311" t="s">
        <v>3118</v>
      </c>
      <c r="O311" t="s">
        <v>2997</v>
      </c>
      <c r="P311" t="s">
        <v>842</v>
      </c>
    </row>
    <row r="312" spans="1:16" ht="15.75" customHeight="1">
      <c r="A312">
        <v>4</v>
      </c>
      <c r="B312" t="s">
        <v>3389</v>
      </c>
      <c r="C312" s="38">
        <v>2011</v>
      </c>
      <c r="D312">
        <v>38</v>
      </c>
      <c r="E312">
        <v>19</v>
      </c>
      <c r="F312">
        <v>11</v>
      </c>
      <c r="G312">
        <v>8</v>
      </c>
      <c r="H312">
        <v>72</v>
      </c>
      <c r="I312">
        <v>43</v>
      </c>
      <c r="J312">
        <v>29</v>
      </c>
      <c r="K312">
        <v>68</v>
      </c>
      <c r="L312">
        <v>1.79</v>
      </c>
      <c r="M312" s="37">
        <v>60025</v>
      </c>
      <c r="N312" t="s">
        <v>3119</v>
      </c>
      <c r="O312" t="s">
        <v>3037</v>
      </c>
      <c r="P312" t="s">
        <v>842</v>
      </c>
    </row>
    <row r="313" spans="1:16" ht="15.75" customHeight="1">
      <c r="A313">
        <v>5</v>
      </c>
      <c r="B313" t="s">
        <v>3391</v>
      </c>
      <c r="C313" s="38">
        <v>2011</v>
      </c>
      <c r="D313">
        <v>38</v>
      </c>
      <c r="E313">
        <v>16</v>
      </c>
      <c r="F313">
        <v>14</v>
      </c>
      <c r="G313">
        <v>8</v>
      </c>
      <c r="H313">
        <v>55</v>
      </c>
      <c r="I313">
        <v>46</v>
      </c>
      <c r="J313">
        <v>9</v>
      </c>
      <c r="K313">
        <v>62</v>
      </c>
      <c r="L313">
        <v>1.63</v>
      </c>
      <c r="M313" s="37">
        <v>35704</v>
      </c>
      <c r="N313" t="s">
        <v>3120</v>
      </c>
      <c r="O313" t="s">
        <v>3121</v>
      </c>
      <c r="P313" t="s">
        <v>855</v>
      </c>
    </row>
    <row r="314" spans="1:16" ht="15.75" customHeight="1">
      <c r="A314">
        <v>6</v>
      </c>
      <c r="B314" t="s">
        <v>3392</v>
      </c>
      <c r="C314" s="38">
        <v>2011</v>
      </c>
      <c r="D314">
        <v>38</v>
      </c>
      <c r="E314">
        <v>17</v>
      </c>
      <c r="F314">
        <v>7</v>
      </c>
      <c r="G314">
        <v>14</v>
      </c>
      <c r="H314">
        <v>59</v>
      </c>
      <c r="I314">
        <v>44</v>
      </c>
      <c r="J314">
        <v>15</v>
      </c>
      <c r="K314">
        <v>58</v>
      </c>
      <c r="L314">
        <v>1.53</v>
      </c>
      <c r="M314" s="37">
        <v>42820</v>
      </c>
      <c r="N314" t="s">
        <v>3122</v>
      </c>
      <c r="O314" t="s">
        <v>3067</v>
      </c>
    </row>
    <row r="315" spans="1:16" ht="15.75" customHeight="1">
      <c r="A315">
        <v>7</v>
      </c>
      <c r="B315" t="s">
        <v>3397</v>
      </c>
      <c r="C315" s="38">
        <v>2011</v>
      </c>
      <c r="D315">
        <v>38</v>
      </c>
      <c r="E315">
        <v>13</v>
      </c>
      <c r="F315">
        <v>15</v>
      </c>
      <c r="G315">
        <v>10</v>
      </c>
      <c r="H315">
        <v>51</v>
      </c>
      <c r="I315">
        <v>45</v>
      </c>
      <c r="J315">
        <v>6</v>
      </c>
      <c r="K315">
        <v>54</v>
      </c>
      <c r="L315">
        <v>1.42</v>
      </c>
      <c r="M315" s="37">
        <v>36039</v>
      </c>
      <c r="N315" t="s">
        <v>3123</v>
      </c>
      <c r="O315" t="s">
        <v>3013</v>
      </c>
    </row>
    <row r="316" spans="1:16" ht="15.75" customHeight="1">
      <c r="A316">
        <v>8</v>
      </c>
      <c r="B316" t="s">
        <v>3408</v>
      </c>
      <c r="C316" s="38">
        <v>2011</v>
      </c>
      <c r="D316">
        <v>38</v>
      </c>
      <c r="E316">
        <v>11</v>
      </c>
      <c r="F316">
        <v>16</v>
      </c>
      <c r="G316">
        <v>11</v>
      </c>
      <c r="H316">
        <v>49</v>
      </c>
      <c r="I316">
        <v>43</v>
      </c>
      <c r="J316">
        <v>6</v>
      </c>
      <c r="K316">
        <v>49</v>
      </c>
      <c r="L316">
        <v>1.29</v>
      </c>
      <c r="M316" s="37">
        <v>25043</v>
      </c>
      <c r="N316" t="s">
        <v>3124</v>
      </c>
      <c r="O316" t="s">
        <v>3075</v>
      </c>
      <c r="P316" t="s">
        <v>3125</v>
      </c>
    </row>
    <row r="317" spans="1:16" ht="15.75" customHeight="1">
      <c r="A317">
        <v>9</v>
      </c>
      <c r="B317" t="s">
        <v>3403</v>
      </c>
      <c r="C317" s="38">
        <v>2011</v>
      </c>
      <c r="D317">
        <v>38</v>
      </c>
      <c r="E317">
        <v>12</v>
      </c>
      <c r="F317">
        <v>12</v>
      </c>
      <c r="G317">
        <v>14</v>
      </c>
      <c r="H317">
        <v>48</v>
      </c>
      <c r="I317">
        <v>59</v>
      </c>
      <c r="J317">
        <v>-11</v>
      </c>
      <c r="K317">
        <v>48</v>
      </c>
      <c r="L317">
        <v>1.26</v>
      </c>
      <c r="M317" s="37">
        <v>37194</v>
      </c>
      <c r="N317" t="s">
        <v>3105</v>
      </c>
      <c r="O317" t="s">
        <v>3092</v>
      </c>
    </row>
    <row r="318" spans="1:16" ht="15.75" customHeight="1">
      <c r="A318">
        <v>10</v>
      </c>
      <c r="B318" t="s">
        <v>3402</v>
      </c>
      <c r="C318" s="38">
        <v>2011</v>
      </c>
      <c r="D318">
        <v>38</v>
      </c>
      <c r="E318">
        <v>12</v>
      </c>
      <c r="F318">
        <v>11</v>
      </c>
      <c r="G318">
        <v>15</v>
      </c>
      <c r="H318">
        <v>45</v>
      </c>
      <c r="I318">
        <v>56</v>
      </c>
      <c r="J318">
        <v>-11</v>
      </c>
      <c r="K318">
        <v>47</v>
      </c>
      <c r="L318">
        <v>1.24</v>
      </c>
      <c r="M318" s="37">
        <v>40011</v>
      </c>
      <c r="N318" t="s">
        <v>3126</v>
      </c>
      <c r="O318" t="s">
        <v>3003</v>
      </c>
    </row>
    <row r="319" spans="1:16" ht="15.75" customHeight="1">
      <c r="A319">
        <v>11</v>
      </c>
      <c r="B319" t="s">
        <v>3399</v>
      </c>
      <c r="C319" s="38">
        <v>2011</v>
      </c>
      <c r="D319">
        <v>38</v>
      </c>
      <c r="E319">
        <v>12</v>
      </c>
      <c r="F319">
        <v>11</v>
      </c>
      <c r="G319">
        <v>15</v>
      </c>
      <c r="H319">
        <v>56</v>
      </c>
      <c r="I319">
        <v>71</v>
      </c>
      <c r="J319">
        <v>-15</v>
      </c>
      <c r="K319">
        <v>47</v>
      </c>
      <c r="L319">
        <v>1.24</v>
      </c>
      <c r="M319" s="37">
        <v>24683</v>
      </c>
      <c r="N319" t="s">
        <v>3127</v>
      </c>
      <c r="O319" t="s">
        <v>3128</v>
      </c>
    </row>
    <row r="320" spans="1:16" ht="15.75" customHeight="1">
      <c r="A320">
        <v>12</v>
      </c>
      <c r="B320" t="s">
        <v>3401</v>
      </c>
      <c r="C320" s="38">
        <v>2011</v>
      </c>
      <c r="D320">
        <v>38</v>
      </c>
      <c r="E320">
        <v>11</v>
      </c>
      <c r="F320">
        <v>13</v>
      </c>
      <c r="G320">
        <v>14</v>
      </c>
      <c r="H320">
        <v>56</v>
      </c>
      <c r="I320">
        <v>57</v>
      </c>
      <c r="J320">
        <v>-1</v>
      </c>
      <c r="K320">
        <v>46</v>
      </c>
      <c r="L320">
        <v>1.21</v>
      </c>
      <c r="M320" s="37">
        <v>47718</v>
      </c>
      <c r="N320" t="s">
        <v>3129</v>
      </c>
      <c r="O320" t="s">
        <v>3022</v>
      </c>
    </row>
    <row r="321" spans="1:16" ht="15.75" customHeight="1">
      <c r="A321">
        <v>13</v>
      </c>
      <c r="B321" t="s">
        <v>3395</v>
      </c>
      <c r="C321" s="38">
        <v>2011</v>
      </c>
      <c r="D321">
        <v>38</v>
      </c>
      <c r="E321">
        <v>13</v>
      </c>
      <c r="F321">
        <v>7</v>
      </c>
      <c r="G321">
        <v>18</v>
      </c>
      <c r="H321">
        <v>46</v>
      </c>
      <c r="I321">
        <v>48</v>
      </c>
      <c r="J321">
        <v>-2</v>
      </c>
      <c r="K321">
        <v>46</v>
      </c>
      <c r="L321">
        <v>1.21</v>
      </c>
      <c r="M321" s="37">
        <v>26858</v>
      </c>
      <c r="N321" t="s">
        <v>3130</v>
      </c>
      <c r="O321" t="s">
        <v>3009</v>
      </c>
      <c r="P321" t="s">
        <v>3052</v>
      </c>
    </row>
    <row r="322" spans="1:16" ht="15.75" customHeight="1">
      <c r="A322">
        <v>14</v>
      </c>
      <c r="B322" t="s">
        <v>3412</v>
      </c>
      <c r="C322" s="38">
        <v>2011</v>
      </c>
      <c r="D322">
        <v>38</v>
      </c>
      <c r="E322">
        <v>12</v>
      </c>
      <c r="F322">
        <v>10</v>
      </c>
      <c r="G322">
        <v>16</v>
      </c>
      <c r="H322">
        <v>52</v>
      </c>
      <c r="I322">
        <v>56</v>
      </c>
      <c r="J322">
        <v>-4</v>
      </c>
      <c r="K322">
        <v>46</v>
      </c>
      <c r="L322">
        <v>1.21</v>
      </c>
      <c r="M322" s="37">
        <v>22870</v>
      </c>
      <c r="N322" t="s">
        <v>3131</v>
      </c>
      <c r="O322" t="s">
        <v>3071</v>
      </c>
    </row>
    <row r="323" spans="1:16" ht="15.75" customHeight="1">
      <c r="A323">
        <v>15</v>
      </c>
      <c r="B323" t="s">
        <v>3413</v>
      </c>
      <c r="C323" s="38">
        <v>2011</v>
      </c>
      <c r="D323">
        <v>38</v>
      </c>
      <c r="E323">
        <v>11</v>
      </c>
      <c r="F323">
        <v>10</v>
      </c>
      <c r="G323">
        <v>17</v>
      </c>
      <c r="H323">
        <v>46</v>
      </c>
      <c r="I323">
        <v>59</v>
      </c>
      <c r="J323">
        <v>-13</v>
      </c>
      <c r="K323">
        <v>43</v>
      </c>
      <c r="L323">
        <v>1.1299999999999999</v>
      </c>
      <c r="M323" s="37">
        <v>25000</v>
      </c>
      <c r="N323" t="s">
        <v>3132</v>
      </c>
      <c r="O323" t="s">
        <v>3112</v>
      </c>
    </row>
    <row r="324" spans="1:16" ht="15.75" customHeight="1">
      <c r="A324">
        <v>16</v>
      </c>
      <c r="B324" t="s">
        <v>3410</v>
      </c>
      <c r="C324" s="38">
        <v>2011</v>
      </c>
      <c r="D324">
        <v>38</v>
      </c>
      <c r="E324">
        <v>9</v>
      </c>
      <c r="F324">
        <v>15</v>
      </c>
      <c r="G324">
        <v>14</v>
      </c>
      <c r="H324">
        <v>40</v>
      </c>
      <c r="I324">
        <v>61</v>
      </c>
      <c r="J324">
        <v>-21</v>
      </c>
      <c r="K324">
        <v>42</v>
      </c>
      <c r="L324">
        <v>1.1100000000000001</v>
      </c>
      <c r="M324" s="37">
        <v>16812</v>
      </c>
      <c r="N324" t="s">
        <v>3133</v>
      </c>
      <c r="O324" t="s">
        <v>3082</v>
      </c>
    </row>
    <row r="325" spans="1:16" ht="15.75" customHeight="1">
      <c r="A325">
        <v>17</v>
      </c>
      <c r="B325" t="s">
        <v>3414</v>
      </c>
      <c r="C325" s="38">
        <v>2011</v>
      </c>
      <c r="D325">
        <v>38</v>
      </c>
      <c r="E325">
        <v>11</v>
      </c>
      <c r="F325">
        <v>7</v>
      </c>
      <c r="G325">
        <v>20</v>
      </c>
      <c r="H325">
        <v>46</v>
      </c>
      <c r="I325">
        <v>66</v>
      </c>
      <c r="J325">
        <v>-20</v>
      </c>
      <c r="K325">
        <v>40</v>
      </c>
      <c r="L325">
        <v>1.05</v>
      </c>
      <c r="M325" s="37">
        <v>27696</v>
      </c>
      <c r="N325" t="s">
        <v>3134</v>
      </c>
      <c r="O325" t="s">
        <v>3114</v>
      </c>
    </row>
    <row r="326" spans="1:16" ht="15.75" customHeight="1">
      <c r="A326">
        <v>18</v>
      </c>
      <c r="B326" t="s">
        <v>3415</v>
      </c>
      <c r="C326" s="38">
        <v>2011</v>
      </c>
      <c r="D326">
        <v>38</v>
      </c>
      <c r="E326">
        <v>8</v>
      </c>
      <c r="F326">
        <v>15</v>
      </c>
      <c r="G326">
        <v>15</v>
      </c>
      <c r="H326">
        <v>37</v>
      </c>
      <c r="I326">
        <v>58</v>
      </c>
      <c r="J326">
        <v>-21</v>
      </c>
      <c r="K326">
        <v>39</v>
      </c>
      <c r="L326">
        <v>1.03</v>
      </c>
      <c r="M326" s="37">
        <v>25462</v>
      </c>
      <c r="N326" t="s">
        <v>3135</v>
      </c>
      <c r="O326" t="s">
        <v>3018</v>
      </c>
      <c r="P326" t="s">
        <v>3136</v>
      </c>
    </row>
    <row r="327" spans="1:16" ht="15.75" customHeight="1">
      <c r="A327">
        <v>19</v>
      </c>
      <c r="B327" t="s">
        <v>3416</v>
      </c>
      <c r="C327" s="38">
        <v>2011</v>
      </c>
      <c r="D327">
        <v>38</v>
      </c>
      <c r="E327">
        <v>10</v>
      </c>
      <c r="F327">
        <v>9</v>
      </c>
      <c r="G327">
        <v>19</v>
      </c>
      <c r="H327">
        <v>55</v>
      </c>
      <c r="I327">
        <v>78</v>
      </c>
      <c r="J327">
        <v>-23</v>
      </c>
      <c r="K327">
        <v>39</v>
      </c>
      <c r="L327">
        <v>1.03</v>
      </c>
      <c r="M327" s="37">
        <v>15780</v>
      </c>
      <c r="N327" t="s">
        <v>3137</v>
      </c>
      <c r="O327" t="s">
        <v>3138</v>
      </c>
      <c r="P327" t="s">
        <v>894</v>
      </c>
    </row>
    <row r="328" spans="1:16" ht="15.75" customHeight="1">
      <c r="A328">
        <v>20</v>
      </c>
      <c r="B328" t="s">
        <v>3398</v>
      </c>
      <c r="C328" s="38">
        <v>2011</v>
      </c>
      <c r="D328">
        <v>38</v>
      </c>
      <c r="E328">
        <v>7</v>
      </c>
      <c r="F328">
        <v>12</v>
      </c>
      <c r="G328">
        <v>19</v>
      </c>
      <c r="H328">
        <v>43</v>
      </c>
      <c r="I328">
        <v>70</v>
      </c>
      <c r="J328">
        <v>-27</v>
      </c>
      <c r="K328">
        <v>33</v>
      </c>
      <c r="L328">
        <v>0.87</v>
      </c>
      <c r="M328" s="37">
        <v>35353</v>
      </c>
      <c r="N328" t="s">
        <v>3139</v>
      </c>
      <c r="O328" t="s">
        <v>3032</v>
      </c>
      <c r="P328" t="s">
        <v>894</v>
      </c>
    </row>
    <row r="330" spans="1:16" ht="15.75" customHeight="1">
      <c r="A330" t="s">
        <v>820</v>
      </c>
      <c r="B330" t="s">
        <v>821</v>
      </c>
      <c r="C330" s="31" t="s">
        <v>2</v>
      </c>
      <c r="D330" t="s">
        <v>822</v>
      </c>
      <c r="E330" t="s">
        <v>823</v>
      </c>
      <c r="F330" t="s">
        <v>824</v>
      </c>
      <c r="G330" t="s">
        <v>825</v>
      </c>
      <c r="H330" t="s">
        <v>826</v>
      </c>
      <c r="I330" t="s">
        <v>827</v>
      </c>
      <c r="J330" t="s">
        <v>828</v>
      </c>
      <c r="K330" t="s">
        <v>829</v>
      </c>
      <c r="L330" t="s">
        <v>830</v>
      </c>
      <c r="M330" t="s">
        <v>835</v>
      </c>
      <c r="N330" t="s">
        <v>836</v>
      </c>
      <c r="O330" t="s">
        <v>837</v>
      </c>
      <c r="P330" t="s">
        <v>838</v>
      </c>
    </row>
    <row r="331" spans="1:16" ht="15.75" customHeight="1">
      <c r="A331">
        <v>1</v>
      </c>
      <c r="B331" t="s">
        <v>3387</v>
      </c>
      <c r="C331" s="38">
        <v>2010</v>
      </c>
      <c r="D331">
        <v>38</v>
      </c>
      <c r="E331">
        <v>27</v>
      </c>
      <c r="F331">
        <v>5</v>
      </c>
      <c r="G331">
        <v>6</v>
      </c>
      <c r="H331">
        <v>103</v>
      </c>
      <c r="I331">
        <v>32</v>
      </c>
      <c r="J331">
        <v>71</v>
      </c>
      <c r="K331">
        <v>86</v>
      </c>
      <c r="L331">
        <v>2.2599999999999998</v>
      </c>
      <c r="M331" s="37">
        <v>41423</v>
      </c>
      <c r="N331" t="s">
        <v>3140</v>
      </c>
      <c r="O331" t="s">
        <v>2918</v>
      </c>
      <c r="P331" t="s">
        <v>842</v>
      </c>
    </row>
    <row r="332" spans="1:16" ht="15.75" customHeight="1">
      <c r="A332">
        <v>2</v>
      </c>
      <c r="B332" t="s">
        <v>3390</v>
      </c>
      <c r="C332" s="38">
        <v>2010</v>
      </c>
      <c r="D332">
        <v>38</v>
      </c>
      <c r="E332">
        <v>27</v>
      </c>
      <c r="F332">
        <v>4</v>
      </c>
      <c r="G332">
        <v>7</v>
      </c>
      <c r="H332">
        <v>86</v>
      </c>
      <c r="I332">
        <v>28</v>
      </c>
      <c r="J332">
        <v>58</v>
      </c>
      <c r="K332">
        <v>85</v>
      </c>
      <c r="L332">
        <v>2.2400000000000002</v>
      </c>
      <c r="M332" s="37">
        <v>74864</v>
      </c>
      <c r="N332" t="s">
        <v>3141</v>
      </c>
      <c r="O332" t="s">
        <v>3116</v>
      </c>
      <c r="P332" t="s">
        <v>842</v>
      </c>
    </row>
    <row r="333" spans="1:16" ht="15.75" customHeight="1">
      <c r="A333">
        <v>3</v>
      </c>
      <c r="B333" t="s">
        <v>3389</v>
      </c>
      <c r="C333" s="38">
        <v>2010</v>
      </c>
      <c r="D333">
        <v>38</v>
      </c>
      <c r="E333">
        <v>23</v>
      </c>
      <c r="F333">
        <v>6</v>
      </c>
      <c r="G333">
        <v>9</v>
      </c>
      <c r="H333">
        <v>83</v>
      </c>
      <c r="I333">
        <v>41</v>
      </c>
      <c r="J333">
        <v>42</v>
      </c>
      <c r="K333">
        <v>75</v>
      </c>
      <c r="L333">
        <v>1.97</v>
      </c>
      <c r="M333" s="37">
        <v>63256</v>
      </c>
      <c r="N333" t="s">
        <v>3142</v>
      </c>
      <c r="O333" t="s">
        <v>3143</v>
      </c>
      <c r="P333" t="s">
        <v>842</v>
      </c>
    </row>
    <row r="334" spans="1:16" ht="15.75" customHeight="1">
      <c r="A334">
        <v>4</v>
      </c>
      <c r="B334" t="s">
        <v>3391</v>
      </c>
      <c r="C334" s="38">
        <v>2010</v>
      </c>
      <c r="D334">
        <v>38</v>
      </c>
      <c r="E334">
        <v>21</v>
      </c>
      <c r="F334">
        <v>7</v>
      </c>
      <c r="G334">
        <v>10</v>
      </c>
      <c r="H334">
        <v>67</v>
      </c>
      <c r="I334">
        <v>41</v>
      </c>
      <c r="J334">
        <v>26</v>
      </c>
      <c r="K334">
        <v>70</v>
      </c>
      <c r="L334">
        <v>1.84</v>
      </c>
      <c r="M334" s="37">
        <v>35794</v>
      </c>
      <c r="N334" t="s">
        <v>3144</v>
      </c>
      <c r="O334" t="s">
        <v>3121</v>
      </c>
      <c r="P334" t="s">
        <v>842</v>
      </c>
    </row>
    <row r="335" spans="1:16" ht="15.75" customHeight="1">
      <c r="A335">
        <v>5</v>
      </c>
      <c r="B335" t="s">
        <v>3388</v>
      </c>
      <c r="C335" s="38">
        <v>2010</v>
      </c>
      <c r="D335">
        <v>38</v>
      </c>
      <c r="E335">
        <v>18</v>
      </c>
      <c r="F335">
        <v>13</v>
      </c>
      <c r="G335">
        <v>7</v>
      </c>
      <c r="H335">
        <v>73</v>
      </c>
      <c r="I335">
        <v>45</v>
      </c>
      <c r="J335">
        <v>28</v>
      </c>
      <c r="K335">
        <v>67</v>
      </c>
      <c r="L335">
        <v>1.76</v>
      </c>
      <c r="M335" s="37">
        <v>45513</v>
      </c>
      <c r="N335" t="s">
        <v>3145</v>
      </c>
      <c r="O335" t="s">
        <v>3106</v>
      </c>
      <c r="P335" t="s">
        <v>855</v>
      </c>
    </row>
    <row r="336" spans="1:16" ht="15.75" customHeight="1">
      <c r="A336">
        <v>6</v>
      </c>
      <c r="B336" t="s">
        <v>3403</v>
      </c>
      <c r="C336" s="38">
        <v>2010</v>
      </c>
      <c r="D336">
        <v>38</v>
      </c>
      <c r="E336">
        <v>17</v>
      </c>
      <c r="F336">
        <v>13</v>
      </c>
      <c r="G336">
        <v>8</v>
      </c>
      <c r="H336">
        <v>52</v>
      </c>
      <c r="I336">
        <v>39</v>
      </c>
      <c r="J336">
        <v>13</v>
      </c>
      <c r="K336">
        <v>64</v>
      </c>
      <c r="L336">
        <v>1.68</v>
      </c>
      <c r="M336" s="37">
        <v>38573</v>
      </c>
      <c r="N336" t="s">
        <v>3146</v>
      </c>
      <c r="O336" t="s">
        <v>3092</v>
      </c>
      <c r="P336" t="s">
        <v>2635</v>
      </c>
    </row>
    <row r="337" spans="1:16" ht="15.75" customHeight="1">
      <c r="A337">
        <v>7</v>
      </c>
      <c r="B337" t="s">
        <v>3392</v>
      </c>
      <c r="C337" s="38">
        <v>2010</v>
      </c>
      <c r="D337">
        <v>38</v>
      </c>
      <c r="E337">
        <v>18</v>
      </c>
      <c r="F337">
        <v>9</v>
      </c>
      <c r="G337">
        <v>11</v>
      </c>
      <c r="H337">
        <v>61</v>
      </c>
      <c r="I337">
        <v>35</v>
      </c>
      <c r="J337">
        <v>26</v>
      </c>
      <c r="K337">
        <v>63</v>
      </c>
      <c r="L337">
        <v>1.66</v>
      </c>
      <c r="M337" s="37">
        <v>42864</v>
      </c>
      <c r="N337" t="s">
        <v>3147</v>
      </c>
      <c r="O337" t="s">
        <v>3067</v>
      </c>
      <c r="P337" t="s">
        <v>2638</v>
      </c>
    </row>
    <row r="338" spans="1:16" ht="15.75" customHeight="1">
      <c r="A338">
        <v>8</v>
      </c>
      <c r="B338" t="s">
        <v>3397</v>
      </c>
      <c r="C338" s="38">
        <v>2010</v>
      </c>
      <c r="D338">
        <v>38</v>
      </c>
      <c r="E338">
        <v>16</v>
      </c>
      <c r="F338">
        <v>13</v>
      </c>
      <c r="G338">
        <v>9</v>
      </c>
      <c r="H338">
        <v>60</v>
      </c>
      <c r="I338">
        <v>49</v>
      </c>
      <c r="J338">
        <v>11</v>
      </c>
      <c r="K338">
        <v>61</v>
      </c>
      <c r="L338">
        <v>1.61</v>
      </c>
      <c r="M338" s="37">
        <v>38765</v>
      </c>
      <c r="N338" t="s">
        <v>3148</v>
      </c>
      <c r="O338" t="s">
        <v>3013</v>
      </c>
    </row>
    <row r="339" spans="1:16" ht="15.75" customHeight="1">
      <c r="A339">
        <v>9</v>
      </c>
      <c r="B339" t="s">
        <v>3415</v>
      </c>
      <c r="C339" s="38">
        <v>2010</v>
      </c>
      <c r="D339">
        <v>38</v>
      </c>
      <c r="E339">
        <v>13</v>
      </c>
      <c r="F339">
        <v>11</v>
      </c>
      <c r="G339">
        <v>14</v>
      </c>
      <c r="H339">
        <v>38</v>
      </c>
      <c r="I339">
        <v>47</v>
      </c>
      <c r="J339">
        <v>-9</v>
      </c>
      <c r="K339">
        <v>50</v>
      </c>
      <c r="L339">
        <v>1.32</v>
      </c>
      <c r="M339" s="37">
        <v>25246</v>
      </c>
      <c r="N339" t="s">
        <v>3149</v>
      </c>
      <c r="O339" t="s">
        <v>2997</v>
      </c>
    </row>
    <row r="340" spans="1:16" ht="15.75" customHeight="1">
      <c r="A340">
        <v>10</v>
      </c>
      <c r="B340" t="s">
        <v>3413</v>
      </c>
      <c r="C340" s="38">
        <v>2010</v>
      </c>
      <c r="D340">
        <v>38</v>
      </c>
      <c r="E340">
        <v>13</v>
      </c>
      <c r="F340">
        <v>11</v>
      </c>
      <c r="G340">
        <v>14</v>
      </c>
      <c r="H340">
        <v>41</v>
      </c>
      <c r="I340">
        <v>55</v>
      </c>
      <c r="J340">
        <v>-14</v>
      </c>
      <c r="K340">
        <v>50</v>
      </c>
      <c r="L340">
        <v>1.32</v>
      </c>
      <c r="M340" s="37">
        <v>25428</v>
      </c>
      <c r="N340" t="s">
        <v>3150</v>
      </c>
      <c r="O340" t="s">
        <v>3112</v>
      </c>
    </row>
    <row r="341" spans="1:16" ht="15.75" customHeight="1">
      <c r="A341">
        <v>11</v>
      </c>
      <c r="B341" t="s">
        <v>3395</v>
      </c>
      <c r="C341" s="38">
        <v>2010</v>
      </c>
      <c r="D341">
        <v>38</v>
      </c>
      <c r="E341">
        <v>11</v>
      </c>
      <c r="F341">
        <v>14</v>
      </c>
      <c r="G341">
        <v>13</v>
      </c>
      <c r="H341">
        <v>34</v>
      </c>
      <c r="I341">
        <v>48</v>
      </c>
      <c r="J341">
        <v>-14</v>
      </c>
      <c r="K341">
        <v>47</v>
      </c>
      <c r="L341">
        <v>1.24</v>
      </c>
      <c r="M341" s="37">
        <v>30358</v>
      </c>
      <c r="N341" t="s">
        <v>3151</v>
      </c>
      <c r="O341" t="s">
        <v>3152</v>
      </c>
    </row>
    <row r="342" spans="1:16" ht="15.75" customHeight="1">
      <c r="A342">
        <v>12</v>
      </c>
      <c r="B342" t="s">
        <v>3408</v>
      </c>
      <c r="C342" s="38">
        <v>2010</v>
      </c>
      <c r="D342">
        <v>38</v>
      </c>
      <c r="E342">
        <v>12</v>
      </c>
      <c r="F342">
        <v>10</v>
      </c>
      <c r="G342">
        <v>16</v>
      </c>
      <c r="H342">
        <v>39</v>
      </c>
      <c r="I342">
        <v>46</v>
      </c>
      <c r="J342">
        <v>-7</v>
      </c>
      <c r="K342">
        <v>46</v>
      </c>
      <c r="L342">
        <v>1.21</v>
      </c>
      <c r="M342" s="37">
        <v>23909</v>
      </c>
      <c r="N342" t="s">
        <v>3153</v>
      </c>
      <c r="O342" t="s">
        <v>3075</v>
      </c>
    </row>
    <row r="343" spans="1:16" ht="15.75" customHeight="1">
      <c r="A343">
        <v>13</v>
      </c>
      <c r="B343" t="s">
        <v>3402</v>
      </c>
      <c r="C343" s="38">
        <v>2010</v>
      </c>
      <c r="D343">
        <v>38</v>
      </c>
      <c r="E343">
        <v>11</v>
      </c>
      <c r="F343">
        <v>11</v>
      </c>
      <c r="G343">
        <v>16</v>
      </c>
      <c r="H343">
        <v>48</v>
      </c>
      <c r="I343">
        <v>56</v>
      </c>
      <c r="J343">
        <v>-8</v>
      </c>
      <c r="K343">
        <v>44</v>
      </c>
      <c r="L343">
        <v>1.1599999999999999</v>
      </c>
      <c r="M343" s="37">
        <v>40510</v>
      </c>
      <c r="N343" t="s">
        <v>3154</v>
      </c>
      <c r="O343" t="s">
        <v>3155</v>
      </c>
    </row>
    <row r="344" spans="1:16" ht="15.75" customHeight="1">
      <c r="A344">
        <v>14</v>
      </c>
      <c r="B344" t="s">
        <v>3412</v>
      </c>
      <c r="C344" s="38">
        <v>2010</v>
      </c>
      <c r="D344">
        <v>38</v>
      </c>
      <c r="E344">
        <v>10</v>
      </c>
      <c r="F344">
        <v>9</v>
      </c>
      <c r="G344">
        <v>19</v>
      </c>
      <c r="H344">
        <v>42</v>
      </c>
      <c r="I344">
        <v>67</v>
      </c>
      <c r="J344">
        <v>-25</v>
      </c>
      <c r="K344">
        <v>39</v>
      </c>
      <c r="L344">
        <v>1.03</v>
      </c>
      <c r="M344" s="37">
        <v>21881</v>
      </c>
      <c r="N344" t="s">
        <v>3156</v>
      </c>
      <c r="O344" t="s">
        <v>3071</v>
      </c>
    </row>
    <row r="345" spans="1:16" ht="15.75" customHeight="1">
      <c r="A345">
        <v>15</v>
      </c>
      <c r="B345" t="s">
        <v>3414</v>
      </c>
      <c r="C345" s="38">
        <v>2010</v>
      </c>
      <c r="D345">
        <v>38</v>
      </c>
      <c r="E345">
        <v>9</v>
      </c>
      <c r="F345">
        <v>11</v>
      </c>
      <c r="G345">
        <v>18</v>
      </c>
      <c r="H345">
        <v>32</v>
      </c>
      <c r="I345">
        <v>56</v>
      </c>
      <c r="J345">
        <v>-24</v>
      </c>
      <c r="K345">
        <v>38</v>
      </c>
      <c r="L345">
        <v>1</v>
      </c>
      <c r="M345" s="37">
        <v>28366</v>
      </c>
      <c r="N345" t="s">
        <v>3157</v>
      </c>
      <c r="O345" t="s">
        <v>3158</v>
      </c>
    </row>
    <row r="346" spans="1:16" ht="15.75" customHeight="1">
      <c r="A346">
        <v>16</v>
      </c>
      <c r="B346" t="s">
        <v>3410</v>
      </c>
      <c r="C346" s="38">
        <v>2010</v>
      </c>
      <c r="D346">
        <v>38</v>
      </c>
      <c r="E346">
        <v>9</v>
      </c>
      <c r="F346">
        <v>9</v>
      </c>
      <c r="G346">
        <v>20</v>
      </c>
      <c r="H346">
        <v>37</v>
      </c>
      <c r="I346">
        <v>79</v>
      </c>
      <c r="J346">
        <v>-42</v>
      </c>
      <c r="K346">
        <v>36</v>
      </c>
      <c r="L346">
        <v>0.95</v>
      </c>
      <c r="M346" s="37">
        <v>18006</v>
      </c>
      <c r="N346" t="s">
        <v>3159</v>
      </c>
      <c r="O346" t="s">
        <v>3160</v>
      </c>
    </row>
    <row r="347" spans="1:16" ht="15.75" customHeight="1">
      <c r="A347">
        <v>17</v>
      </c>
      <c r="B347" t="s">
        <v>3398</v>
      </c>
      <c r="C347" s="38">
        <v>2010</v>
      </c>
      <c r="D347">
        <v>38</v>
      </c>
      <c r="E347">
        <v>8</v>
      </c>
      <c r="F347">
        <v>11</v>
      </c>
      <c r="G347">
        <v>19</v>
      </c>
      <c r="H347">
        <v>47</v>
      </c>
      <c r="I347">
        <v>66</v>
      </c>
      <c r="J347">
        <v>-19</v>
      </c>
      <c r="K347">
        <v>35</v>
      </c>
      <c r="L347">
        <v>0.92</v>
      </c>
      <c r="M347" s="37">
        <v>33683</v>
      </c>
      <c r="N347" t="s">
        <v>3161</v>
      </c>
      <c r="O347" t="s">
        <v>3032</v>
      </c>
    </row>
    <row r="348" spans="1:16" ht="15.75" customHeight="1">
      <c r="A348">
        <v>18</v>
      </c>
      <c r="B348" t="s">
        <v>3405</v>
      </c>
      <c r="C348" s="38">
        <v>2010</v>
      </c>
      <c r="D348">
        <v>38</v>
      </c>
      <c r="E348">
        <v>8</v>
      </c>
      <c r="F348">
        <v>6</v>
      </c>
      <c r="G348">
        <v>24</v>
      </c>
      <c r="H348">
        <v>42</v>
      </c>
      <c r="I348">
        <v>82</v>
      </c>
      <c r="J348">
        <v>-40</v>
      </c>
      <c r="K348">
        <v>30</v>
      </c>
      <c r="L348">
        <v>0.79</v>
      </c>
      <c r="M348" s="37">
        <v>21801</v>
      </c>
      <c r="N348" t="s">
        <v>3162</v>
      </c>
      <c r="O348" t="s">
        <v>3163</v>
      </c>
      <c r="P348" t="s">
        <v>894</v>
      </c>
    </row>
    <row r="349" spans="1:16" ht="15.75" customHeight="1">
      <c r="A349">
        <v>19</v>
      </c>
      <c r="B349" t="s">
        <v>3404</v>
      </c>
      <c r="C349" s="38">
        <v>2010</v>
      </c>
      <c r="D349">
        <v>38</v>
      </c>
      <c r="E349">
        <v>6</v>
      </c>
      <c r="F349">
        <v>12</v>
      </c>
      <c r="G349">
        <v>20</v>
      </c>
      <c r="H349">
        <v>34</v>
      </c>
      <c r="I349">
        <v>75</v>
      </c>
      <c r="J349">
        <v>-41</v>
      </c>
      <c r="K349">
        <v>30</v>
      </c>
      <c r="L349">
        <v>0.79</v>
      </c>
      <c r="M349" s="37">
        <v>25745</v>
      </c>
      <c r="N349" t="s">
        <v>3164</v>
      </c>
      <c r="O349" t="s">
        <v>3165</v>
      </c>
      <c r="P349" t="s">
        <v>894</v>
      </c>
    </row>
    <row r="350" spans="1:16" ht="15.75" customHeight="1">
      <c r="A350">
        <v>20</v>
      </c>
      <c r="B350" t="s">
        <v>3417</v>
      </c>
      <c r="C350" s="38">
        <v>2010</v>
      </c>
      <c r="D350">
        <v>38</v>
      </c>
      <c r="E350">
        <v>7</v>
      </c>
      <c r="F350">
        <v>7</v>
      </c>
      <c r="G350">
        <v>24</v>
      </c>
      <c r="H350">
        <v>34</v>
      </c>
      <c r="I350">
        <v>66</v>
      </c>
      <c r="J350">
        <v>-32</v>
      </c>
      <c r="K350">
        <v>19</v>
      </c>
      <c r="L350">
        <v>0.5</v>
      </c>
      <c r="M350" s="37">
        <v>18249</v>
      </c>
      <c r="N350" t="s">
        <v>3166</v>
      </c>
      <c r="O350" t="s">
        <v>3167</v>
      </c>
      <c r="P350" t="s">
        <v>3168</v>
      </c>
    </row>
    <row r="352" spans="1:16" ht="15.75" customHeight="1">
      <c r="A352" t="s">
        <v>820</v>
      </c>
      <c r="B352" t="s">
        <v>821</v>
      </c>
      <c r="C352" s="31" t="s">
        <v>2</v>
      </c>
      <c r="D352" t="s">
        <v>822</v>
      </c>
      <c r="E352" t="s">
        <v>823</v>
      </c>
      <c r="F352" t="s">
        <v>824</v>
      </c>
      <c r="G352" t="s">
        <v>825</v>
      </c>
      <c r="H352" t="s">
        <v>826</v>
      </c>
      <c r="I352" t="s">
        <v>827</v>
      </c>
      <c r="J352" t="s">
        <v>828</v>
      </c>
      <c r="K352" t="s">
        <v>829</v>
      </c>
      <c r="L352" t="s">
        <v>830</v>
      </c>
      <c r="M352" t="s">
        <v>835</v>
      </c>
      <c r="N352" t="s">
        <v>836</v>
      </c>
      <c r="O352" t="s">
        <v>837</v>
      </c>
      <c r="P352" t="s">
        <v>838</v>
      </c>
    </row>
    <row r="353" spans="1:16" ht="15.75" customHeight="1">
      <c r="A353">
        <v>1</v>
      </c>
      <c r="B353" t="s">
        <v>3390</v>
      </c>
      <c r="C353" s="38">
        <v>2009</v>
      </c>
      <c r="D353">
        <v>38</v>
      </c>
      <c r="E353">
        <v>28</v>
      </c>
      <c r="F353">
        <v>6</v>
      </c>
      <c r="G353">
        <v>4</v>
      </c>
      <c r="H353">
        <v>68</v>
      </c>
      <c r="I353">
        <v>24</v>
      </c>
      <c r="J353">
        <v>44</v>
      </c>
      <c r="K353">
        <v>90</v>
      </c>
      <c r="L353">
        <v>2.37</v>
      </c>
      <c r="M353" s="37">
        <v>95385</v>
      </c>
      <c r="N353" t="s">
        <v>3169</v>
      </c>
      <c r="O353" t="s">
        <v>3116</v>
      </c>
      <c r="P353" t="s">
        <v>842</v>
      </c>
    </row>
    <row r="354" spans="1:16" ht="15.75" customHeight="1">
      <c r="A354">
        <v>2</v>
      </c>
      <c r="B354" t="s">
        <v>3392</v>
      </c>
      <c r="C354" s="38">
        <v>2009</v>
      </c>
      <c r="D354">
        <v>38</v>
      </c>
      <c r="E354">
        <v>25</v>
      </c>
      <c r="F354">
        <v>11</v>
      </c>
      <c r="G354">
        <v>2</v>
      </c>
      <c r="H354">
        <v>77</v>
      </c>
      <c r="I354">
        <v>27</v>
      </c>
      <c r="J354">
        <v>50</v>
      </c>
      <c r="K354">
        <v>86</v>
      </c>
      <c r="L354">
        <v>2.2599999999999998</v>
      </c>
      <c r="M354" s="37">
        <v>75328</v>
      </c>
      <c r="N354" t="s">
        <v>3170</v>
      </c>
      <c r="O354" t="s">
        <v>3067</v>
      </c>
      <c r="P354" t="s">
        <v>842</v>
      </c>
    </row>
    <row r="355" spans="1:16" ht="15.75" customHeight="1">
      <c r="A355">
        <v>3</v>
      </c>
      <c r="B355" t="s">
        <v>3387</v>
      </c>
      <c r="C355" s="38">
        <v>2009</v>
      </c>
      <c r="D355">
        <v>38</v>
      </c>
      <c r="E355">
        <v>25</v>
      </c>
      <c r="F355">
        <v>8</v>
      </c>
      <c r="G355">
        <v>5</v>
      </c>
      <c r="H355">
        <v>68</v>
      </c>
      <c r="I355">
        <v>24</v>
      </c>
      <c r="J355">
        <v>44</v>
      </c>
      <c r="K355">
        <v>83</v>
      </c>
      <c r="L355">
        <v>2.1800000000000002</v>
      </c>
      <c r="M355" s="37">
        <v>79017</v>
      </c>
      <c r="N355" t="s">
        <v>3171</v>
      </c>
      <c r="O355" t="s">
        <v>2918</v>
      </c>
      <c r="P355" t="s">
        <v>842</v>
      </c>
    </row>
    <row r="356" spans="1:16" ht="15.75" customHeight="1">
      <c r="A356">
        <v>4</v>
      </c>
      <c r="B356" t="s">
        <v>3389</v>
      </c>
      <c r="C356" s="38">
        <v>2009</v>
      </c>
      <c r="D356">
        <v>38</v>
      </c>
      <c r="E356">
        <v>20</v>
      </c>
      <c r="F356">
        <v>12</v>
      </c>
      <c r="G356">
        <v>6</v>
      </c>
      <c r="H356">
        <v>68</v>
      </c>
      <c r="I356">
        <v>37</v>
      </c>
      <c r="J356">
        <v>31</v>
      </c>
      <c r="K356">
        <v>72</v>
      </c>
      <c r="L356">
        <v>1.89</v>
      </c>
      <c r="M356" s="37">
        <v>95063</v>
      </c>
      <c r="N356" t="s">
        <v>3172</v>
      </c>
      <c r="O356" t="s">
        <v>3143</v>
      </c>
      <c r="P356" t="s">
        <v>842</v>
      </c>
    </row>
    <row r="357" spans="1:16" ht="15.75" customHeight="1">
      <c r="A357">
        <v>5</v>
      </c>
      <c r="B357" t="s">
        <v>3397</v>
      </c>
      <c r="C357" s="38">
        <v>2009</v>
      </c>
      <c r="D357">
        <v>38</v>
      </c>
      <c r="E357">
        <v>17</v>
      </c>
      <c r="F357">
        <v>12</v>
      </c>
      <c r="G357">
        <v>9</v>
      </c>
      <c r="H357">
        <v>55</v>
      </c>
      <c r="I357">
        <v>37</v>
      </c>
      <c r="J357">
        <v>18</v>
      </c>
      <c r="K357">
        <v>63</v>
      </c>
      <c r="L357">
        <v>1.66</v>
      </c>
      <c r="M357" s="37">
        <v>56473</v>
      </c>
      <c r="N357" t="s">
        <v>3173</v>
      </c>
      <c r="O357" t="s">
        <v>3013</v>
      </c>
      <c r="P357" t="s">
        <v>855</v>
      </c>
    </row>
    <row r="358" spans="1:16" ht="15.75" customHeight="1">
      <c r="A358">
        <v>6</v>
      </c>
      <c r="B358" t="s">
        <v>3403</v>
      </c>
      <c r="C358" s="38">
        <v>2009</v>
      </c>
      <c r="D358">
        <v>38</v>
      </c>
      <c r="E358">
        <v>17</v>
      </c>
      <c r="F358">
        <v>11</v>
      </c>
      <c r="G358">
        <v>10</v>
      </c>
      <c r="H358">
        <v>54</v>
      </c>
      <c r="I358">
        <v>48</v>
      </c>
      <c r="J358">
        <v>6</v>
      </c>
      <c r="K358">
        <v>62</v>
      </c>
      <c r="L358">
        <v>1.63</v>
      </c>
      <c r="M358" s="37">
        <v>68766</v>
      </c>
      <c r="N358" t="s">
        <v>3174</v>
      </c>
      <c r="O358" t="s">
        <v>3092</v>
      </c>
      <c r="P358" t="s">
        <v>2635</v>
      </c>
    </row>
    <row r="359" spans="1:16" ht="15.75" customHeight="1">
      <c r="A359">
        <v>7</v>
      </c>
      <c r="B359" t="s">
        <v>3408</v>
      </c>
      <c r="C359" s="38">
        <v>2009</v>
      </c>
      <c r="D359">
        <v>38</v>
      </c>
      <c r="E359">
        <v>14</v>
      </c>
      <c r="F359">
        <v>11</v>
      </c>
      <c r="G359">
        <v>13</v>
      </c>
      <c r="H359">
        <v>39</v>
      </c>
      <c r="I359">
        <v>34</v>
      </c>
      <c r="J359">
        <v>5</v>
      </c>
      <c r="K359">
        <v>53</v>
      </c>
      <c r="L359">
        <v>1.39</v>
      </c>
      <c r="M359" s="37">
        <v>42042</v>
      </c>
      <c r="N359" t="s">
        <v>3175</v>
      </c>
      <c r="O359" t="s">
        <v>3075</v>
      </c>
      <c r="P359" t="s">
        <v>2638</v>
      </c>
    </row>
    <row r="360" spans="1:16" ht="15.75" customHeight="1">
      <c r="A360">
        <v>8</v>
      </c>
      <c r="B360" t="s">
        <v>3391</v>
      </c>
      <c r="C360" s="38">
        <v>2009</v>
      </c>
      <c r="D360">
        <v>38</v>
      </c>
      <c r="E360">
        <v>14</v>
      </c>
      <c r="F360">
        <v>9</v>
      </c>
      <c r="G360">
        <v>15</v>
      </c>
      <c r="H360">
        <v>45</v>
      </c>
      <c r="I360">
        <v>45</v>
      </c>
      <c r="J360">
        <v>0</v>
      </c>
      <c r="K360">
        <v>51</v>
      </c>
      <c r="L360">
        <v>1.34</v>
      </c>
      <c r="M360" s="37">
        <v>68265</v>
      </c>
      <c r="N360" t="s">
        <v>3176</v>
      </c>
      <c r="O360" t="s">
        <v>3121</v>
      </c>
    </row>
    <row r="361" spans="1:16" ht="15.75" customHeight="1">
      <c r="A361">
        <v>9</v>
      </c>
      <c r="B361" t="s">
        <v>3398</v>
      </c>
      <c r="C361" s="38">
        <v>2009</v>
      </c>
      <c r="D361">
        <v>38</v>
      </c>
      <c r="E361">
        <v>14</v>
      </c>
      <c r="F361">
        <v>9</v>
      </c>
      <c r="G361">
        <v>15</v>
      </c>
      <c r="H361">
        <v>42</v>
      </c>
      <c r="I361">
        <v>45</v>
      </c>
      <c r="J361">
        <v>-3</v>
      </c>
      <c r="K361">
        <v>51</v>
      </c>
      <c r="L361">
        <v>1.34</v>
      </c>
      <c r="M361" s="37">
        <v>50024</v>
      </c>
      <c r="N361" t="s">
        <v>3161</v>
      </c>
      <c r="O361" t="s">
        <v>3032</v>
      </c>
    </row>
    <row r="362" spans="1:16" ht="15.75" customHeight="1">
      <c r="A362">
        <v>10</v>
      </c>
      <c r="B362" t="s">
        <v>3388</v>
      </c>
      <c r="C362" s="38">
        <v>2009</v>
      </c>
      <c r="D362">
        <v>38</v>
      </c>
      <c r="E362">
        <v>15</v>
      </c>
      <c r="F362">
        <v>5</v>
      </c>
      <c r="G362">
        <v>18</v>
      </c>
      <c r="H362">
        <v>58</v>
      </c>
      <c r="I362">
        <v>50</v>
      </c>
      <c r="J362">
        <v>8</v>
      </c>
      <c r="K362">
        <v>50</v>
      </c>
      <c r="L362">
        <v>1.32</v>
      </c>
      <c r="M362" s="37">
        <v>68340</v>
      </c>
      <c r="N362" t="s">
        <v>3177</v>
      </c>
      <c r="O362" t="s">
        <v>2997</v>
      </c>
    </row>
    <row r="363" spans="1:16" ht="15.75" customHeight="1">
      <c r="A363">
        <v>11</v>
      </c>
      <c r="B363" t="s">
        <v>3410</v>
      </c>
      <c r="C363" s="38">
        <v>2009</v>
      </c>
      <c r="D363">
        <v>38</v>
      </c>
      <c r="E363">
        <v>12</v>
      </c>
      <c r="F363">
        <v>9</v>
      </c>
      <c r="G363">
        <v>17</v>
      </c>
      <c r="H363">
        <v>34</v>
      </c>
      <c r="I363">
        <v>45</v>
      </c>
      <c r="J363">
        <v>-11</v>
      </c>
      <c r="K363">
        <v>45</v>
      </c>
      <c r="L363">
        <v>1.18</v>
      </c>
      <c r="M363" s="37">
        <v>29054</v>
      </c>
      <c r="N363" t="s">
        <v>3178</v>
      </c>
      <c r="O363" t="s">
        <v>3160</v>
      </c>
    </row>
    <row r="364" spans="1:16" ht="15.75" customHeight="1">
      <c r="A364">
        <v>12</v>
      </c>
      <c r="B364" t="s">
        <v>3395</v>
      </c>
      <c r="C364" s="38">
        <v>2009</v>
      </c>
      <c r="D364">
        <v>38</v>
      </c>
      <c r="E364">
        <v>12</v>
      </c>
      <c r="F364">
        <v>9</v>
      </c>
      <c r="G364">
        <v>17</v>
      </c>
      <c r="H364">
        <v>38</v>
      </c>
      <c r="I364">
        <v>55</v>
      </c>
      <c r="J364">
        <v>-17</v>
      </c>
      <c r="K364">
        <v>45</v>
      </c>
      <c r="L364">
        <v>1.18</v>
      </c>
      <c r="M364" s="37">
        <v>42687</v>
      </c>
      <c r="N364" t="s">
        <v>3179</v>
      </c>
      <c r="O364" t="s">
        <v>3152</v>
      </c>
    </row>
    <row r="365" spans="1:16" ht="15.75" customHeight="1">
      <c r="A365">
        <v>13</v>
      </c>
      <c r="B365" t="s">
        <v>3412</v>
      </c>
      <c r="C365" s="38">
        <v>2009</v>
      </c>
      <c r="D365">
        <v>38</v>
      </c>
      <c r="E365">
        <v>11</v>
      </c>
      <c r="F365">
        <v>8</v>
      </c>
      <c r="G365">
        <v>19</v>
      </c>
      <c r="H365">
        <v>41</v>
      </c>
      <c r="I365">
        <v>53</v>
      </c>
      <c r="J365">
        <v>-12</v>
      </c>
      <c r="K365">
        <v>41</v>
      </c>
      <c r="L365">
        <v>1.08</v>
      </c>
      <c r="M365" s="37">
        <v>28482</v>
      </c>
      <c r="N365" t="s">
        <v>3180</v>
      </c>
      <c r="O365" t="s">
        <v>3071</v>
      </c>
    </row>
    <row r="366" spans="1:16" ht="15.75" customHeight="1">
      <c r="A366">
        <v>14</v>
      </c>
      <c r="B366" t="s">
        <v>3417</v>
      </c>
      <c r="C366" s="38">
        <v>2009</v>
      </c>
      <c r="D366">
        <v>38</v>
      </c>
      <c r="E366">
        <v>10</v>
      </c>
      <c r="F366">
        <v>11</v>
      </c>
      <c r="G366">
        <v>17</v>
      </c>
      <c r="H366">
        <v>38</v>
      </c>
      <c r="I366">
        <v>57</v>
      </c>
      <c r="J366">
        <v>-19</v>
      </c>
      <c r="K366">
        <v>41</v>
      </c>
      <c r="L366">
        <v>1.08</v>
      </c>
      <c r="M366" s="37">
        <v>37677</v>
      </c>
      <c r="N366" t="s">
        <v>3103</v>
      </c>
      <c r="O366" t="s">
        <v>3167</v>
      </c>
    </row>
    <row r="367" spans="1:16" ht="15.75" customHeight="1">
      <c r="A367">
        <v>15</v>
      </c>
      <c r="B367" t="s">
        <v>3413</v>
      </c>
      <c r="C367" s="38">
        <v>2009</v>
      </c>
      <c r="D367">
        <v>38</v>
      </c>
      <c r="E367">
        <v>10</v>
      </c>
      <c r="F367">
        <v>11</v>
      </c>
      <c r="G367">
        <v>17</v>
      </c>
      <c r="H367">
        <v>40</v>
      </c>
      <c r="I367">
        <v>60</v>
      </c>
      <c r="J367">
        <v>-20</v>
      </c>
      <c r="K367">
        <v>41</v>
      </c>
      <c r="L367">
        <v>1.08</v>
      </c>
      <c r="M367" s="37">
        <v>27884</v>
      </c>
      <c r="N367" t="s">
        <v>3181</v>
      </c>
      <c r="O367" t="s">
        <v>3112</v>
      </c>
    </row>
    <row r="368" spans="1:16" ht="15.75" customHeight="1">
      <c r="A368">
        <v>16</v>
      </c>
      <c r="B368" t="s">
        <v>3402</v>
      </c>
      <c r="C368" s="38">
        <v>2009</v>
      </c>
      <c r="D368">
        <v>38</v>
      </c>
      <c r="E368">
        <v>9</v>
      </c>
      <c r="F368">
        <v>9</v>
      </c>
      <c r="G368">
        <v>20</v>
      </c>
      <c r="H368">
        <v>34</v>
      </c>
      <c r="I368">
        <v>54</v>
      </c>
      <c r="J368">
        <v>-20</v>
      </c>
      <c r="K368">
        <v>36</v>
      </c>
      <c r="L368">
        <v>0.95</v>
      </c>
      <c r="M368" s="37">
        <v>69372</v>
      </c>
      <c r="N368" t="s">
        <v>3182</v>
      </c>
      <c r="O368" t="s">
        <v>3183</v>
      </c>
    </row>
    <row r="369" spans="1:16" ht="15.75" customHeight="1">
      <c r="A369">
        <v>17</v>
      </c>
      <c r="B369" t="s">
        <v>3404</v>
      </c>
      <c r="C369" s="38">
        <v>2009</v>
      </c>
      <c r="D369">
        <v>38</v>
      </c>
      <c r="E369">
        <v>8</v>
      </c>
      <c r="F369">
        <v>11</v>
      </c>
      <c r="G369">
        <v>19</v>
      </c>
      <c r="H369">
        <v>39</v>
      </c>
      <c r="I369">
        <v>64</v>
      </c>
      <c r="J369">
        <v>-25</v>
      </c>
      <c r="K369">
        <v>35</v>
      </c>
      <c r="L369">
        <v>0.92</v>
      </c>
      <c r="M369" s="37">
        <v>39292</v>
      </c>
      <c r="N369" t="s">
        <v>3184</v>
      </c>
      <c r="O369" t="s">
        <v>3165</v>
      </c>
    </row>
    <row r="370" spans="1:16" ht="15.75" customHeight="1">
      <c r="A370">
        <v>18</v>
      </c>
      <c r="B370" t="s">
        <v>3401</v>
      </c>
      <c r="C370" s="38">
        <v>2009</v>
      </c>
      <c r="D370">
        <v>38</v>
      </c>
      <c r="E370">
        <v>7</v>
      </c>
      <c r="F370">
        <v>13</v>
      </c>
      <c r="G370">
        <v>18</v>
      </c>
      <c r="H370">
        <v>40</v>
      </c>
      <c r="I370">
        <v>59</v>
      </c>
      <c r="J370">
        <v>-19</v>
      </c>
      <c r="K370">
        <v>34</v>
      </c>
      <c r="L370">
        <v>0.89</v>
      </c>
      <c r="M370" s="37">
        <v>84205</v>
      </c>
      <c r="N370" t="s">
        <v>3185</v>
      </c>
      <c r="O370" t="s">
        <v>3106</v>
      </c>
      <c r="P370" t="s">
        <v>894</v>
      </c>
    </row>
    <row r="371" spans="1:16" ht="15.75" customHeight="1">
      <c r="A371">
        <v>19</v>
      </c>
      <c r="B371" t="s">
        <v>3418</v>
      </c>
      <c r="C371" s="38">
        <v>2009</v>
      </c>
      <c r="D371">
        <v>38</v>
      </c>
      <c r="E371">
        <v>7</v>
      </c>
      <c r="F371">
        <v>11</v>
      </c>
      <c r="G371">
        <v>20</v>
      </c>
      <c r="H371">
        <v>28</v>
      </c>
      <c r="I371">
        <v>57</v>
      </c>
      <c r="J371">
        <v>-29</v>
      </c>
      <c r="K371">
        <v>32</v>
      </c>
      <c r="L371">
        <v>0.84</v>
      </c>
      <c r="M371" s="37">
        <v>45013</v>
      </c>
      <c r="N371" t="s">
        <v>3186</v>
      </c>
      <c r="O371" t="s">
        <v>3187</v>
      </c>
      <c r="P371" t="s">
        <v>894</v>
      </c>
    </row>
    <row r="372" spans="1:16" ht="15.75" customHeight="1">
      <c r="A372">
        <v>20</v>
      </c>
      <c r="B372" t="s">
        <v>3399</v>
      </c>
      <c r="C372" s="38">
        <v>2009</v>
      </c>
      <c r="D372">
        <v>38</v>
      </c>
      <c r="E372">
        <v>8</v>
      </c>
      <c r="F372">
        <v>8</v>
      </c>
      <c r="G372">
        <v>22</v>
      </c>
      <c r="H372">
        <v>36</v>
      </c>
      <c r="I372">
        <v>67</v>
      </c>
      <c r="J372">
        <v>-31</v>
      </c>
      <c r="K372">
        <v>32</v>
      </c>
      <c r="L372">
        <v>0.84</v>
      </c>
      <c r="M372" s="37">
        <v>44612</v>
      </c>
      <c r="N372" t="s">
        <v>3188</v>
      </c>
      <c r="O372" t="s">
        <v>3128</v>
      </c>
      <c r="P372" t="s">
        <v>894</v>
      </c>
    </row>
    <row r="374" spans="1:16" ht="15.75" customHeight="1">
      <c r="A374" s="31" t="s">
        <v>820</v>
      </c>
      <c r="B374" t="s">
        <v>821</v>
      </c>
      <c r="C374" s="31" t="s">
        <v>2</v>
      </c>
      <c r="D374" t="s">
        <v>822</v>
      </c>
      <c r="E374" t="s">
        <v>823</v>
      </c>
      <c r="F374" t="s">
        <v>824</v>
      </c>
      <c r="G374" t="s">
        <v>825</v>
      </c>
      <c r="H374" t="s">
        <v>826</v>
      </c>
      <c r="I374" t="s">
        <v>827</v>
      </c>
      <c r="J374" t="s">
        <v>828</v>
      </c>
      <c r="K374" t="s">
        <v>829</v>
      </c>
      <c r="L374" t="s">
        <v>830</v>
      </c>
      <c r="M374" t="s">
        <v>835</v>
      </c>
      <c r="N374" t="s">
        <v>836</v>
      </c>
      <c r="O374" t="s">
        <v>837</v>
      </c>
      <c r="P374" t="s">
        <v>838</v>
      </c>
    </row>
    <row r="375" spans="1:16" ht="15.75" customHeight="1">
      <c r="A375">
        <v>1</v>
      </c>
      <c r="B375" t="s">
        <v>3390</v>
      </c>
      <c r="C375" s="38">
        <v>2008</v>
      </c>
      <c r="D375">
        <v>38</v>
      </c>
      <c r="E375">
        <v>27</v>
      </c>
      <c r="F375">
        <v>6</v>
      </c>
      <c r="G375">
        <v>5</v>
      </c>
      <c r="H375">
        <v>80</v>
      </c>
      <c r="I375">
        <v>22</v>
      </c>
      <c r="J375">
        <v>58</v>
      </c>
      <c r="K375">
        <v>87</v>
      </c>
      <c r="L375">
        <v>2.29</v>
      </c>
      <c r="M375" s="37">
        <v>719065</v>
      </c>
      <c r="N375" t="s">
        <v>3189</v>
      </c>
      <c r="O375" t="s">
        <v>3116</v>
      </c>
      <c r="P375" t="s">
        <v>3095</v>
      </c>
    </row>
    <row r="376" spans="1:16" ht="15.75" customHeight="1">
      <c r="A376">
        <v>2</v>
      </c>
      <c r="B376" t="s">
        <v>3387</v>
      </c>
      <c r="C376" s="38">
        <v>2008</v>
      </c>
      <c r="D376">
        <v>38</v>
      </c>
      <c r="E376">
        <v>25</v>
      </c>
      <c r="F376">
        <v>10</v>
      </c>
      <c r="G376">
        <v>3</v>
      </c>
      <c r="H376">
        <v>65</v>
      </c>
      <c r="I376">
        <v>26</v>
      </c>
      <c r="J376">
        <v>39</v>
      </c>
      <c r="K376">
        <v>85</v>
      </c>
      <c r="L376">
        <v>2.2400000000000002</v>
      </c>
      <c r="M376" s="37">
        <v>786543</v>
      </c>
      <c r="N376" t="s">
        <v>3190</v>
      </c>
      <c r="O376" t="s">
        <v>2918</v>
      </c>
      <c r="P376" t="s">
        <v>842</v>
      </c>
    </row>
    <row r="377" spans="1:16" ht="15.75" customHeight="1">
      <c r="A377">
        <v>3</v>
      </c>
      <c r="B377" t="s">
        <v>3389</v>
      </c>
      <c r="C377" s="38">
        <v>2008</v>
      </c>
      <c r="D377">
        <v>38</v>
      </c>
      <c r="E377">
        <v>24</v>
      </c>
      <c r="F377">
        <v>11</v>
      </c>
      <c r="G377">
        <v>3</v>
      </c>
      <c r="H377">
        <v>74</v>
      </c>
      <c r="I377">
        <v>31</v>
      </c>
      <c r="J377">
        <v>43</v>
      </c>
      <c r="K377">
        <v>83</v>
      </c>
      <c r="L377">
        <v>2.1800000000000002</v>
      </c>
      <c r="N377" t="s">
        <v>3191</v>
      </c>
      <c r="O377" t="s">
        <v>3143</v>
      </c>
      <c r="P377" t="s">
        <v>842</v>
      </c>
    </row>
    <row r="378" spans="1:16" ht="15.75" customHeight="1">
      <c r="A378">
        <v>4</v>
      </c>
      <c r="B378" t="s">
        <v>3392</v>
      </c>
      <c r="C378" s="38">
        <v>2008</v>
      </c>
      <c r="D378">
        <v>38</v>
      </c>
      <c r="E378">
        <v>21</v>
      </c>
      <c r="F378">
        <v>13</v>
      </c>
      <c r="G378">
        <v>4</v>
      </c>
      <c r="H378">
        <v>67</v>
      </c>
      <c r="I378">
        <v>28</v>
      </c>
      <c r="J378">
        <v>39</v>
      </c>
      <c r="K378">
        <v>76</v>
      </c>
      <c r="L378">
        <v>2</v>
      </c>
      <c r="N378" t="s">
        <v>3192</v>
      </c>
      <c r="O378" t="s">
        <v>3067</v>
      </c>
      <c r="P378" t="s">
        <v>842</v>
      </c>
    </row>
    <row r="379" spans="1:16" ht="15.75" customHeight="1">
      <c r="A379">
        <v>5</v>
      </c>
      <c r="B379" t="s">
        <v>3397</v>
      </c>
      <c r="C379" s="38">
        <v>2008</v>
      </c>
      <c r="D379">
        <v>38</v>
      </c>
      <c r="E379">
        <v>19</v>
      </c>
      <c r="F379">
        <v>8</v>
      </c>
      <c r="G379">
        <v>11</v>
      </c>
      <c r="H379">
        <v>55</v>
      </c>
      <c r="I379">
        <v>33</v>
      </c>
      <c r="J379">
        <v>22</v>
      </c>
      <c r="K379">
        <v>65</v>
      </c>
      <c r="L379">
        <v>1.71</v>
      </c>
      <c r="N379" t="s">
        <v>3193</v>
      </c>
      <c r="O379" t="s">
        <v>3013</v>
      </c>
      <c r="P379" t="s">
        <v>2820</v>
      </c>
    </row>
    <row r="380" spans="1:16" ht="15.75" customHeight="1">
      <c r="A380">
        <v>6</v>
      </c>
      <c r="B380" t="s">
        <v>3403</v>
      </c>
      <c r="C380" s="38">
        <v>2008</v>
      </c>
      <c r="D380">
        <v>38</v>
      </c>
      <c r="E380">
        <v>16</v>
      </c>
      <c r="F380">
        <v>12</v>
      </c>
      <c r="G380">
        <v>10</v>
      </c>
      <c r="H380">
        <v>71</v>
      </c>
      <c r="I380">
        <v>51</v>
      </c>
      <c r="J380">
        <v>20</v>
      </c>
      <c r="K380">
        <v>60</v>
      </c>
      <c r="L380">
        <v>1.58</v>
      </c>
      <c r="N380" t="s">
        <v>3194</v>
      </c>
      <c r="O380" t="s">
        <v>3128</v>
      </c>
      <c r="P380" t="s">
        <v>2824</v>
      </c>
    </row>
    <row r="381" spans="1:16" ht="15.75" customHeight="1">
      <c r="A381">
        <v>7</v>
      </c>
      <c r="B381" t="s">
        <v>3413</v>
      </c>
      <c r="C381" s="38">
        <v>2008</v>
      </c>
      <c r="D381">
        <v>38</v>
      </c>
      <c r="E381">
        <v>15</v>
      </c>
      <c r="F381">
        <v>13</v>
      </c>
      <c r="G381">
        <v>10</v>
      </c>
      <c r="H381">
        <v>50</v>
      </c>
      <c r="I381">
        <v>48</v>
      </c>
      <c r="J381">
        <v>2</v>
      </c>
      <c r="K381">
        <v>58</v>
      </c>
      <c r="L381">
        <v>1.53</v>
      </c>
      <c r="M381" s="37">
        <v>454936</v>
      </c>
      <c r="N381" t="s">
        <v>3195</v>
      </c>
      <c r="O381" t="s">
        <v>3092</v>
      </c>
    </row>
    <row r="382" spans="1:16" ht="15.75" customHeight="1">
      <c r="A382">
        <v>8</v>
      </c>
      <c r="B382" t="s">
        <v>3417</v>
      </c>
      <c r="C382" s="38">
        <v>2008</v>
      </c>
      <c r="D382">
        <v>38</v>
      </c>
      <c r="E382">
        <v>16</v>
      </c>
      <c r="F382">
        <v>9</v>
      </c>
      <c r="G382">
        <v>13</v>
      </c>
      <c r="H382">
        <v>48</v>
      </c>
      <c r="I382">
        <v>40</v>
      </c>
      <c r="J382">
        <v>8</v>
      </c>
      <c r="K382">
        <v>57</v>
      </c>
      <c r="L382">
        <v>1.5</v>
      </c>
      <c r="N382" t="s">
        <v>3196</v>
      </c>
      <c r="O382" t="s">
        <v>3167</v>
      </c>
      <c r="P382" t="s">
        <v>2851</v>
      </c>
    </row>
    <row r="383" spans="1:16" ht="15.75" customHeight="1">
      <c r="A383">
        <v>9</v>
      </c>
      <c r="B383" t="s">
        <v>3388</v>
      </c>
      <c r="C383" s="38">
        <v>2008</v>
      </c>
      <c r="D383">
        <v>38</v>
      </c>
      <c r="E383">
        <v>15</v>
      </c>
      <c r="F383">
        <v>10</v>
      </c>
      <c r="G383">
        <v>13</v>
      </c>
      <c r="H383">
        <v>45</v>
      </c>
      <c r="I383">
        <v>53</v>
      </c>
      <c r="J383">
        <v>-8</v>
      </c>
      <c r="K383">
        <v>55</v>
      </c>
      <c r="L383">
        <v>1.45</v>
      </c>
      <c r="N383" t="s">
        <v>3197</v>
      </c>
      <c r="O383" t="s">
        <v>2997</v>
      </c>
      <c r="P383" t="s">
        <v>3198</v>
      </c>
    </row>
    <row r="384" spans="1:16" ht="15.75" customHeight="1">
      <c r="A384">
        <v>10</v>
      </c>
      <c r="B384" t="s">
        <v>3398</v>
      </c>
      <c r="C384" s="38">
        <v>2008</v>
      </c>
      <c r="D384">
        <v>38</v>
      </c>
      <c r="E384">
        <v>13</v>
      </c>
      <c r="F384">
        <v>10</v>
      </c>
      <c r="G384">
        <v>15</v>
      </c>
      <c r="H384">
        <v>42</v>
      </c>
      <c r="I384">
        <v>50</v>
      </c>
      <c r="J384">
        <v>-8</v>
      </c>
      <c r="K384">
        <v>49</v>
      </c>
      <c r="L384">
        <v>1.29</v>
      </c>
      <c r="N384" t="s">
        <v>3199</v>
      </c>
      <c r="O384" t="s">
        <v>3032</v>
      </c>
    </row>
    <row r="385" spans="1:16" ht="15.75" customHeight="1">
      <c r="A385">
        <v>11</v>
      </c>
      <c r="B385" t="s">
        <v>3391</v>
      </c>
      <c r="C385" s="38">
        <v>2008</v>
      </c>
      <c r="D385">
        <v>38</v>
      </c>
      <c r="E385">
        <v>11</v>
      </c>
      <c r="F385">
        <v>13</v>
      </c>
      <c r="G385">
        <v>14</v>
      </c>
      <c r="H385">
        <v>66</v>
      </c>
      <c r="I385">
        <v>61</v>
      </c>
      <c r="J385">
        <v>5</v>
      </c>
      <c r="K385">
        <v>46</v>
      </c>
      <c r="L385">
        <v>1.21</v>
      </c>
      <c r="N385" t="s">
        <v>3200</v>
      </c>
      <c r="O385" t="s">
        <v>3112</v>
      </c>
      <c r="P385" t="s">
        <v>3201</v>
      </c>
    </row>
    <row r="386" spans="1:16" ht="15.75" customHeight="1">
      <c r="A386">
        <v>12</v>
      </c>
      <c r="B386" t="s">
        <v>3401</v>
      </c>
      <c r="C386" s="38">
        <v>2008</v>
      </c>
      <c r="D386">
        <v>38</v>
      </c>
      <c r="E386">
        <v>11</v>
      </c>
      <c r="F386">
        <v>10</v>
      </c>
      <c r="G386">
        <v>17</v>
      </c>
      <c r="H386">
        <v>45</v>
      </c>
      <c r="I386">
        <v>65</v>
      </c>
      <c r="J386">
        <v>-20</v>
      </c>
      <c r="K386">
        <v>43</v>
      </c>
      <c r="L386">
        <v>1.1299999999999999</v>
      </c>
      <c r="N386" t="s">
        <v>3202</v>
      </c>
      <c r="O386" t="s">
        <v>3203</v>
      </c>
    </row>
    <row r="387" spans="1:16" ht="15.75" customHeight="1">
      <c r="A387">
        <v>13</v>
      </c>
      <c r="B387" t="s">
        <v>3418</v>
      </c>
      <c r="C387" s="38">
        <v>2008</v>
      </c>
      <c r="D387">
        <v>38</v>
      </c>
      <c r="E387">
        <v>10</v>
      </c>
      <c r="F387">
        <v>12</v>
      </c>
      <c r="G387">
        <v>16</v>
      </c>
      <c r="H387">
        <v>43</v>
      </c>
      <c r="I387">
        <v>53</v>
      </c>
      <c r="J387">
        <v>-10</v>
      </c>
      <c r="K387">
        <v>42</v>
      </c>
      <c r="L387">
        <v>1.1100000000000001</v>
      </c>
      <c r="N387" t="s">
        <v>3204</v>
      </c>
      <c r="O387" t="s">
        <v>3075</v>
      </c>
    </row>
    <row r="388" spans="1:16" ht="15.75" customHeight="1">
      <c r="A388">
        <v>14</v>
      </c>
      <c r="B388" t="s">
        <v>3410</v>
      </c>
      <c r="C388" s="38">
        <v>2008</v>
      </c>
      <c r="D388">
        <v>38</v>
      </c>
      <c r="E388">
        <v>10</v>
      </c>
      <c r="F388">
        <v>10</v>
      </c>
      <c r="G388">
        <v>18</v>
      </c>
      <c r="H388">
        <v>34</v>
      </c>
      <c r="I388">
        <v>51</v>
      </c>
      <c r="J388">
        <v>-17</v>
      </c>
      <c r="K388">
        <v>40</v>
      </c>
      <c r="L388">
        <v>1.05</v>
      </c>
      <c r="N388" t="s">
        <v>3205</v>
      </c>
      <c r="O388" t="s">
        <v>3160</v>
      </c>
    </row>
    <row r="389" spans="1:16" ht="15.75" customHeight="1">
      <c r="A389">
        <v>15</v>
      </c>
      <c r="B389" t="s">
        <v>3402</v>
      </c>
      <c r="C389" s="38">
        <v>2008</v>
      </c>
      <c r="D389">
        <v>38</v>
      </c>
      <c r="E389">
        <v>11</v>
      </c>
      <c r="F389">
        <v>6</v>
      </c>
      <c r="G389">
        <v>21</v>
      </c>
      <c r="H389">
        <v>36</v>
      </c>
      <c r="I389">
        <v>59</v>
      </c>
      <c r="J389">
        <v>-23</v>
      </c>
      <c r="K389">
        <v>39</v>
      </c>
      <c r="L389">
        <v>1.03</v>
      </c>
      <c r="N389" t="s">
        <v>3206</v>
      </c>
      <c r="O389" t="s">
        <v>3155</v>
      </c>
    </row>
    <row r="390" spans="1:16" ht="15.75" customHeight="1">
      <c r="A390">
        <v>16</v>
      </c>
      <c r="B390" t="s">
        <v>3412</v>
      </c>
      <c r="C390" s="38">
        <v>2008</v>
      </c>
      <c r="D390">
        <v>38</v>
      </c>
      <c r="E390">
        <v>9</v>
      </c>
      <c r="F390">
        <v>10</v>
      </c>
      <c r="G390">
        <v>19</v>
      </c>
      <c r="H390">
        <v>36</v>
      </c>
      <c r="I390">
        <v>54</v>
      </c>
      <c r="J390">
        <v>-18</v>
      </c>
      <c r="K390">
        <v>37</v>
      </c>
      <c r="L390">
        <v>0.97</v>
      </c>
      <c r="N390" t="s">
        <v>3207</v>
      </c>
      <c r="O390" t="s">
        <v>3071</v>
      </c>
    </row>
    <row r="391" spans="1:16" ht="15.75" customHeight="1">
      <c r="A391">
        <v>17</v>
      </c>
      <c r="B391" t="s">
        <v>3408</v>
      </c>
      <c r="C391" s="38">
        <v>2008</v>
      </c>
      <c r="D391">
        <v>38</v>
      </c>
      <c r="E391">
        <v>8</v>
      </c>
      <c r="F391">
        <v>12</v>
      </c>
      <c r="G391">
        <v>18</v>
      </c>
      <c r="H391">
        <v>38</v>
      </c>
      <c r="I391">
        <v>60</v>
      </c>
      <c r="J391">
        <v>-22</v>
      </c>
      <c r="K391">
        <v>36</v>
      </c>
      <c r="L391">
        <v>0.95</v>
      </c>
      <c r="M391" s="37">
        <v>451687</v>
      </c>
      <c r="N391" t="s">
        <v>3208</v>
      </c>
      <c r="O391" t="s">
        <v>3209</v>
      </c>
    </row>
    <row r="392" spans="1:16" ht="15.75" customHeight="1">
      <c r="A392">
        <v>18</v>
      </c>
      <c r="B392" t="s">
        <v>3411</v>
      </c>
      <c r="C392" s="38">
        <v>2008</v>
      </c>
      <c r="D392">
        <v>38</v>
      </c>
      <c r="E392">
        <v>10</v>
      </c>
      <c r="F392">
        <v>6</v>
      </c>
      <c r="G392">
        <v>22</v>
      </c>
      <c r="H392">
        <v>41</v>
      </c>
      <c r="I392">
        <v>66</v>
      </c>
      <c r="J392">
        <v>-25</v>
      </c>
      <c r="K392">
        <v>36</v>
      </c>
      <c r="L392">
        <v>0.95</v>
      </c>
      <c r="M392" s="37">
        <v>224058</v>
      </c>
      <c r="N392" t="s">
        <v>3210</v>
      </c>
      <c r="O392" t="s">
        <v>3158</v>
      </c>
      <c r="P392" t="s">
        <v>894</v>
      </c>
    </row>
    <row r="393" spans="1:16" ht="15.75" customHeight="1">
      <c r="A393">
        <v>19</v>
      </c>
      <c r="B393" t="s">
        <v>3415</v>
      </c>
      <c r="C393" s="38">
        <v>2008</v>
      </c>
      <c r="D393">
        <v>38</v>
      </c>
      <c r="E393">
        <v>8</v>
      </c>
      <c r="F393">
        <v>11</v>
      </c>
      <c r="G393">
        <v>19</v>
      </c>
      <c r="H393">
        <v>46</v>
      </c>
      <c r="I393">
        <v>62</v>
      </c>
      <c r="J393">
        <v>-16</v>
      </c>
      <c r="K393">
        <v>35</v>
      </c>
      <c r="L393">
        <v>0.92</v>
      </c>
      <c r="N393" t="s">
        <v>3211</v>
      </c>
      <c r="O393" t="s">
        <v>3212</v>
      </c>
      <c r="P393" t="s">
        <v>894</v>
      </c>
    </row>
    <row r="394" spans="1:16" ht="15.75" customHeight="1">
      <c r="A394">
        <v>20</v>
      </c>
      <c r="B394" t="s">
        <v>3419</v>
      </c>
      <c r="C394" s="38">
        <v>2008</v>
      </c>
      <c r="D394">
        <v>38</v>
      </c>
      <c r="E394">
        <v>1</v>
      </c>
      <c r="F394">
        <v>8</v>
      </c>
      <c r="G394">
        <v>29</v>
      </c>
      <c r="H394">
        <v>20</v>
      </c>
      <c r="I394">
        <v>89</v>
      </c>
      <c r="J394">
        <v>-69</v>
      </c>
      <c r="K394">
        <v>11</v>
      </c>
      <c r="L394">
        <v>0.28999999999999998</v>
      </c>
      <c r="M394" s="37">
        <v>205403</v>
      </c>
      <c r="N394" t="s">
        <v>3213</v>
      </c>
      <c r="O394" t="s">
        <v>3214</v>
      </c>
      <c r="P394" t="s">
        <v>894</v>
      </c>
    </row>
    <row r="396" spans="1:16" ht="15.75" customHeight="1">
      <c r="A396" t="s">
        <v>820</v>
      </c>
      <c r="B396" t="s">
        <v>821</v>
      </c>
      <c r="C396" s="31" t="s">
        <v>2</v>
      </c>
      <c r="D396" t="s">
        <v>822</v>
      </c>
      <c r="E396" t="s">
        <v>823</v>
      </c>
      <c r="F396" t="s">
        <v>824</v>
      </c>
      <c r="G396" t="s">
        <v>825</v>
      </c>
      <c r="H396" t="s">
        <v>826</v>
      </c>
      <c r="I396" t="s">
        <v>827</v>
      </c>
      <c r="J396" t="s">
        <v>828</v>
      </c>
      <c r="K396" t="s">
        <v>829</v>
      </c>
      <c r="L396" t="s">
        <v>830</v>
      </c>
      <c r="M396" t="s">
        <v>835</v>
      </c>
      <c r="N396" t="s">
        <v>836</v>
      </c>
      <c r="O396" t="s">
        <v>837</v>
      </c>
      <c r="P396" t="s">
        <v>838</v>
      </c>
    </row>
    <row r="397" spans="1:16" ht="15.75" customHeight="1">
      <c r="A397">
        <v>1</v>
      </c>
      <c r="B397" t="s">
        <v>3390</v>
      </c>
      <c r="C397" s="38">
        <v>2007</v>
      </c>
      <c r="D397">
        <v>38</v>
      </c>
      <c r="E397">
        <v>28</v>
      </c>
      <c r="F397">
        <v>5</v>
      </c>
      <c r="G397">
        <v>5</v>
      </c>
      <c r="H397">
        <v>83</v>
      </c>
      <c r="I397">
        <v>27</v>
      </c>
      <c r="J397">
        <v>56</v>
      </c>
      <c r="K397">
        <v>89</v>
      </c>
      <c r="L397">
        <v>2.34</v>
      </c>
      <c r="M397" s="37">
        <v>75821</v>
      </c>
      <c r="N397" t="s">
        <v>3215</v>
      </c>
      <c r="O397" t="s">
        <v>3116</v>
      </c>
      <c r="P397" t="s">
        <v>842</v>
      </c>
    </row>
    <row r="398" spans="1:16" ht="15.75" customHeight="1">
      <c r="A398">
        <v>2</v>
      </c>
      <c r="B398" t="s">
        <v>3387</v>
      </c>
      <c r="C398" s="38">
        <v>2007</v>
      </c>
      <c r="D398">
        <v>38</v>
      </c>
      <c r="E398">
        <v>24</v>
      </c>
      <c r="F398">
        <v>11</v>
      </c>
      <c r="G398">
        <v>3</v>
      </c>
      <c r="H398">
        <v>64</v>
      </c>
      <c r="I398">
        <v>24</v>
      </c>
      <c r="J398">
        <v>40</v>
      </c>
      <c r="K398">
        <v>83</v>
      </c>
      <c r="L398">
        <v>2.1800000000000002</v>
      </c>
      <c r="M398" s="37">
        <v>41551</v>
      </c>
      <c r="N398" t="s">
        <v>3216</v>
      </c>
      <c r="O398" t="s">
        <v>2918</v>
      </c>
      <c r="P398" t="s">
        <v>842</v>
      </c>
    </row>
    <row r="399" spans="1:16" ht="15.75" customHeight="1">
      <c r="A399">
        <v>3</v>
      </c>
      <c r="B399" t="s">
        <v>3392</v>
      </c>
      <c r="C399" s="38">
        <v>2007</v>
      </c>
      <c r="D399">
        <v>38</v>
      </c>
      <c r="E399">
        <v>20</v>
      </c>
      <c r="F399">
        <v>8</v>
      </c>
      <c r="G399">
        <v>10</v>
      </c>
      <c r="H399">
        <v>57</v>
      </c>
      <c r="I399">
        <v>27</v>
      </c>
      <c r="J399">
        <v>30</v>
      </c>
      <c r="K399">
        <v>68</v>
      </c>
      <c r="L399">
        <v>1.79</v>
      </c>
      <c r="M399" s="37">
        <v>44801</v>
      </c>
      <c r="N399" t="s">
        <v>3217</v>
      </c>
      <c r="O399" t="s">
        <v>3067</v>
      </c>
      <c r="P399" t="s">
        <v>842</v>
      </c>
    </row>
    <row r="400" spans="1:16" ht="15.75" customHeight="1">
      <c r="A400">
        <v>4</v>
      </c>
      <c r="B400" t="s">
        <v>3389</v>
      </c>
      <c r="C400" s="38">
        <v>2007</v>
      </c>
      <c r="D400">
        <v>38</v>
      </c>
      <c r="E400">
        <v>19</v>
      </c>
      <c r="F400">
        <v>11</v>
      </c>
      <c r="G400">
        <v>8</v>
      </c>
      <c r="H400">
        <v>63</v>
      </c>
      <c r="I400">
        <v>35</v>
      </c>
      <c r="J400">
        <v>28</v>
      </c>
      <c r="K400">
        <v>68</v>
      </c>
      <c r="L400">
        <v>1.79</v>
      </c>
      <c r="M400" s="37">
        <v>60046</v>
      </c>
      <c r="N400" t="s">
        <v>3172</v>
      </c>
      <c r="O400" t="s">
        <v>3218</v>
      </c>
      <c r="P400" t="s">
        <v>842</v>
      </c>
    </row>
    <row r="401" spans="1:16" ht="15.75" customHeight="1">
      <c r="A401">
        <v>5</v>
      </c>
      <c r="B401" t="s">
        <v>3391</v>
      </c>
      <c r="C401" s="38">
        <v>2007</v>
      </c>
      <c r="D401">
        <v>38</v>
      </c>
      <c r="E401">
        <v>17</v>
      </c>
      <c r="F401">
        <v>9</v>
      </c>
      <c r="G401">
        <v>12</v>
      </c>
      <c r="H401">
        <v>57</v>
      </c>
      <c r="I401">
        <v>54</v>
      </c>
      <c r="J401">
        <v>3</v>
      </c>
      <c r="K401">
        <v>60</v>
      </c>
      <c r="L401">
        <v>1.58</v>
      </c>
      <c r="M401" s="37">
        <v>35803</v>
      </c>
      <c r="N401" t="s">
        <v>3219</v>
      </c>
      <c r="O401" t="s">
        <v>3112</v>
      </c>
      <c r="P401" t="s">
        <v>2820</v>
      </c>
    </row>
    <row r="402" spans="1:16" ht="15.75" customHeight="1">
      <c r="A402">
        <v>6</v>
      </c>
      <c r="B402" t="s">
        <v>3397</v>
      </c>
      <c r="C402" s="38">
        <v>2007</v>
      </c>
      <c r="D402">
        <v>38</v>
      </c>
      <c r="E402">
        <v>15</v>
      </c>
      <c r="F402">
        <v>13</v>
      </c>
      <c r="G402">
        <v>10</v>
      </c>
      <c r="H402">
        <v>52</v>
      </c>
      <c r="I402">
        <v>36</v>
      </c>
      <c r="J402">
        <v>16</v>
      </c>
      <c r="K402">
        <v>58</v>
      </c>
      <c r="L402">
        <v>1.53</v>
      </c>
      <c r="M402" s="37">
        <v>36739</v>
      </c>
      <c r="N402" t="s">
        <v>3220</v>
      </c>
      <c r="O402" t="s">
        <v>3013</v>
      </c>
      <c r="P402" t="s">
        <v>2821</v>
      </c>
    </row>
    <row r="403" spans="1:16" ht="15.75" customHeight="1">
      <c r="A403">
        <v>7</v>
      </c>
      <c r="B403" t="s">
        <v>3412</v>
      </c>
      <c r="C403" s="38">
        <v>2007</v>
      </c>
      <c r="D403">
        <v>38</v>
      </c>
      <c r="E403">
        <v>16</v>
      </c>
      <c r="F403">
        <v>8</v>
      </c>
      <c r="G403">
        <v>14</v>
      </c>
      <c r="H403">
        <v>47</v>
      </c>
      <c r="I403">
        <v>52</v>
      </c>
      <c r="J403">
        <v>-5</v>
      </c>
      <c r="K403">
        <v>56</v>
      </c>
      <c r="L403">
        <v>1.47</v>
      </c>
      <c r="M403" s="37">
        <v>23586</v>
      </c>
      <c r="N403" t="s">
        <v>3221</v>
      </c>
      <c r="O403" t="s">
        <v>3071</v>
      </c>
      <c r="P403" t="s">
        <v>3222</v>
      </c>
    </row>
    <row r="404" spans="1:16" ht="15.75" customHeight="1">
      <c r="A404">
        <v>8</v>
      </c>
      <c r="B404" t="s">
        <v>3411</v>
      </c>
      <c r="C404" s="38">
        <v>2007</v>
      </c>
      <c r="D404">
        <v>38</v>
      </c>
      <c r="E404">
        <v>16</v>
      </c>
      <c r="F404">
        <v>7</v>
      </c>
      <c r="G404">
        <v>15</v>
      </c>
      <c r="H404">
        <v>52</v>
      </c>
      <c r="I404">
        <v>47</v>
      </c>
      <c r="J404">
        <v>5</v>
      </c>
      <c r="K404">
        <v>55</v>
      </c>
      <c r="L404">
        <v>1.45</v>
      </c>
      <c r="M404" s="37">
        <v>23764</v>
      </c>
      <c r="N404" t="s">
        <v>3223</v>
      </c>
      <c r="O404" t="s">
        <v>3158</v>
      </c>
    </row>
    <row r="405" spans="1:16" ht="15.75" customHeight="1">
      <c r="A405">
        <v>9</v>
      </c>
      <c r="B405" t="s">
        <v>3417</v>
      </c>
      <c r="C405" s="38">
        <v>2007</v>
      </c>
      <c r="D405">
        <v>38</v>
      </c>
      <c r="E405">
        <v>14</v>
      </c>
      <c r="F405">
        <v>12</v>
      </c>
      <c r="G405">
        <v>12</v>
      </c>
      <c r="H405">
        <v>45</v>
      </c>
      <c r="I405">
        <v>42</v>
      </c>
      <c r="J405">
        <v>3</v>
      </c>
      <c r="K405">
        <v>54</v>
      </c>
      <c r="L405">
        <v>1.42</v>
      </c>
      <c r="M405" s="37">
        <v>19843</v>
      </c>
      <c r="N405" t="s">
        <v>3224</v>
      </c>
      <c r="O405" t="s">
        <v>3167</v>
      </c>
    </row>
    <row r="406" spans="1:16" ht="15.75" customHeight="1">
      <c r="A406">
        <v>10</v>
      </c>
      <c r="B406" t="s">
        <v>3413</v>
      </c>
      <c r="C406" s="38">
        <v>2007</v>
      </c>
      <c r="D406">
        <v>38</v>
      </c>
      <c r="E406">
        <v>15</v>
      </c>
      <c r="F406">
        <v>7</v>
      </c>
      <c r="G406">
        <v>16</v>
      </c>
      <c r="H406">
        <v>52</v>
      </c>
      <c r="I406">
        <v>54</v>
      </c>
      <c r="J406">
        <v>-2</v>
      </c>
      <c r="K406">
        <v>52</v>
      </c>
      <c r="L406">
        <v>1.37</v>
      </c>
      <c r="M406" s="37">
        <v>21262</v>
      </c>
      <c r="N406" t="s">
        <v>3225</v>
      </c>
      <c r="O406" t="s">
        <v>3092</v>
      </c>
      <c r="P406" t="s">
        <v>2824</v>
      </c>
    </row>
    <row r="407" spans="1:16" ht="15.75" customHeight="1">
      <c r="A407">
        <v>11</v>
      </c>
      <c r="B407" t="s">
        <v>3403</v>
      </c>
      <c r="C407" s="38">
        <v>2007</v>
      </c>
      <c r="D407">
        <v>38</v>
      </c>
      <c r="E407">
        <v>11</v>
      </c>
      <c r="F407">
        <v>17</v>
      </c>
      <c r="G407">
        <v>10</v>
      </c>
      <c r="H407">
        <v>43</v>
      </c>
      <c r="I407">
        <v>41</v>
      </c>
      <c r="J407">
        <v>2</v>
      </c>
      <c r="K407">
        <v>50</v>
      </c>
      <c r="L407">
        <v>1.32</v>
      </c>
      <c r="M407" s="37">
        <v>36238</v>
      </c>
      <c r="N407" t="s">
        <v>3226</v>
      </c>
      <c r="O407" t="s">
        <v>3152</v>
      </c>
    </row>
    <row r="408" spans="1:16" ht="15.75" customHeight="1">
      <c r="A408">
        <v>12</v>
      </c>
      <c r="B408" t="s">
        <v>3418</v>
      </c>
      <c r="C408" s="38">
        <v>2007</v>
      </c>
      <c r="D408">
        <v>38</v>
      </c>
      <c r="E408">
        <v>12</v>
      </c>
      <c r="F408">
        <v>10</v>
      </c>
      <c r="G408">
        <v>16</v>
      </c>
      <c r="H408">
        <v>44</v>
      </c>
      <c r="I408">
        <v>49</v>
      </c>
      <c r="J408">
        <v>-5</v>
      </c>
      <c r="K408">
        <v>46</v>
      </c>
      <c r="L408">
        <v>1.21</v>
      </c>
      <c r="M408" s="37">
        <v>27729</v>
      </c>
      <c r="N408" t="s">
        <v>3227</v>
      </c>
      <c r="O408" t="s">
        <v>3075</v>
      </c>
    </row>
    <row r="409" spans="1:16" ht="15.75" customHeight="1">
      <c r="A409">
        <v>13</v>
      </c>
      <c r="B409" t="s">
        <v>3401</v>
      </c>
      <c r="C409" s="38">
        <v>2007</v>
      </c>
      <c r="D409">
        <v>38</v>
      </c>
      <c r="E409">
        <v>11</v>
      </c>
      <c r="F409">
        <v>10</v>
      </c>
      <c r="G409">
        <v>17</v>
      </c>
      <c r="H409">
        <v>38</v>
      </c>
      <c r="I409">
        <v>47</v>
      </c>
      <c r="J409">
        <v>-9</v>
      </c>
      <c r="K409">
        <v>43</v>
      </c>
      <c r="L409">
        <v>1.1299999999999999</v>
      </c>
      <c r="M409" s="37">
        <v>50974</v>
      </c>
      <c r="N409" t="s">
        <v>3228</v>
      </c>
      <c r="O409" t="s">
        <v>3106</v>
      </c>
    </row>
    <row r="410" spans="1:16" ht="15.75" customHeight="1">
      <c r="A410">
        <v>14</v>
      </c>
      <c r="B410" t="s">
        <v>3388</v>
      </c>
      <c r="C410" s="38">
        <v>2007</v>
      </c>
      <c r="D410">
        <v>38</v>
      </c>
      <c r="E410">
        <v>11</v>
      </c>
      <c r="F410">
        <v>9</v>
      </c>
      <c r="G410">
        <v>18</v>
      </c>
      <c r="H410">
        <v>29</v>
      </c>
      <c r="I410">
        <v>44</v>
      </c>
      <c r="J410">
        <v>-15</v>
      </c>
      <c r="K410">
        <v>42</v>
      </c>
      <c r="L410">
        <v>1.1100000000000001</v>
      </c>
      <c r="M410" s="37">
        <v>39988</v>
      </c>
      <c r="N410" t="s">
        <v>3229</v>
      </c>
      <c r="O410" t="s">
        <v>3230</v>
      </c>
    </row>
    <row r="411" spans="1:16" ht="15.75" customHeight="1">
      <c r="A411">
        <v>15</v>
      </c>
      <c r="B411" t="s">
        <v>3398</v>
      </c>
      <c r="C411" s="38">
        <v>2007</v>
      </c>
      <c r="D411">
        <v>38</v>
      </c>
      <c r="E411">
        <v>12</v>
      </c>
      <c r="F411">
        <v>5</v>
      </c>
      <c r="G411">
        <v>21</v>
      </c>
      <c r="H411">
        <v>35</v>
      </c>
      <c r="I411">
        <v>59</v>
      </c>
      <c r="J411">
        <v>-24</v>
      </c>
      <c r="K411">
        <v>41</v>
      </c>
      <c r="L411">
        <v>1.08</v>
      </c>
      <c r="M411" s="37">
        <v>34586</v>
      </c>
      <c r="N411" t="s">
        <v>3231</v>
      </c>
      <c r="O411" t="s">
        <v>3032</v>
      </c>
    </row>
    <row r="412" spans="1:16" ht="15.75" customHeight="1">
      <c r="A412">
        <v>16</v>
      </c>
      <c r="B412" t="s">
        <v>3408</v>
      </c>
      <c r="C412" s="38">
        <v>2007</v>
      </c>
      <c r="D412">
        <v>38</v>
      </c>
      <c r="E412">
        <v>8</v>
      </c>
      <c r="F412">
        <v>15</v>
      </c>
      <c r="G412">
        <v>15</v>
      </c>
      <c r="H412">
        <v>38</v>
      </c>
      <c r="I412">
        <v>60</v>
      </c>
      <c r="J412">
        <v>-22</v>
      </c>
      <c r="K412">
        <v>39</v>
      </c>
      <c r="L412">
        <v>1.03</v>
      </c>
      <c r="M412" s="37">
        <v>22241</v>
      </c>
      <c r="N412" t="s">
        <v>3232</v>
      </c>
      <c r="O412" t="s">
        <v>3209</v>
      </c>
    </row>
    <row r="413" spans="1:16" ht="15.75" customHeight="1">
      <c r="A413">
        <v>17</v>
      </c>
      <c r="B413" t="s">
        <v>3410</v>
      </c>
      <c r="C413" s="38">
        <v>2007</v>
      </c>
      <c r="D413">
        <v>38</v>
      </c>
      <c r="E413">
        <v>10</v>
      </c>
      <c r="F413">
        <v>8</v>
      </c>
      <c r="G413">
        <v>20</v>
      </c>
      <c r="H413">
        <v>37</v>
      </c>
      <c r="I413">
        <v>59</v>
      </c>
      <c r="J413">
        <v>-22</v>
      </c>
      <c r="K413">
        <v>38</v>
      </c>
      <c r="L413">
        <v>1</v>
      </c>
      <c r="M413" s="37">
        <v>18437</v>
      </c>
      <c r="N413" t="s">
        <v>3233</v>
      </c>
      <c r="O413" t="s">
        <v>3160</v>
      </c>
    </row>
    <row r="414" spans="1:16" ht="15.75" customHeight="1">
      <c r="A414">
        <v>18</v>
      </c>
      <c r="B414" t="s">
        <v>3420</v>
      </c>
      <c r="C414" s="38">
        <v>2007</v>
      </c>
      <c r="D414">
        <v>38</v>
      </c>
      <c r="E414">
        <v>10</v>
      </c>
      <c r="F414">
        <v>8</v>
      </c>
      <c r="G414">
        <v>20</v>
      </c>
      <c r="H414">
        <v>32</v>
      </c>
      <c r="I414">
        <v>55</v>
      </c>
      <c r="J414">
        <v>-23</v>
      </c>
      <c r="K414">
        <v>38</v>
      </c>
      <c r="L414">
        <v>1</v>
      </c>
      <c r="M414" s="37">
        <v>30680</v>
      </c>
      <c r="N414" t="s">
        <v>3234</v>
      </c>
      <c r="O414" t="s">
        <v>3108</v>
      </c>
      <c r="P414" t="s">
        <v>894</v>
      </c>
    </row>
    <row r="415" spans="1:16" ht="15.75" customHeight="1">
      <c r="A415">
        <v>19</v>
      </c>
      <c r="B415" t="s">
        <v>3421</v>
      </c>
      <c r="C415" s="38">
        <v>2007</v>
      </c>
      <c r="D415">
        <v>38</v>
      </c>
      <c r="E415">
        <v>8</v>
      </c>
      <c r="F415">
        <v>10</v>
      </c>
      <c r="G415">
        <v>20</v>
      </c>
      <c r="H415">
        <v>34</v>
      </c>
      <c r="I415">
        <v>60</v>
      </c>
      <c r="J415">
        <v>-26</v>
      </c>
      <c r="K415">
        <v>34</v>
      </c>
      <c r="L415">
        <v>0.89</v>
      </c>
      <c r="M415" s="37">
        <v>26195</v>
      </c>
      <c r="N415" t="s">
        <v>3235</v>
      </c>
      <c r="O415" t="s">
        <v>3128</v>
      </c>
      <c r="P415" t="s">
        <v>894</v>
      </c>
    </row>
    <row r="416" spans="1:16" ht="15.75" customHeight="1">
      <c r="A416">
        <v>20</v>
      </c>
      <c r="B416" t="s">
        <v>3422</v>
      </c>
      <c r="C416" s="38">
        <v>2007</v>
      </c>
      <c r="D416">
        <v>38</v>
      </c>
      <c r="E416">
        <v>5</v>
      </c>
      <c r="F416">
        <v>13</v>
      </c>
      <c r="G416">
        <v>20</v>
      </c>
      <c r="H416">
        <v>29</v>
      </c>
      <c r="I416">
        <v>59</v>
      </c>
      <c r="J416">
        <v>-30</v>
      </c>
      <c r="K416">
        <v>28</v>
      </c>
      <c r="L416">
        <v>0.74</v>
      </c>
      <c r="M416" s="37">
        <v>18892</v>
      </c>
      <c r="N416" t="s">
        <v>3236</v>
      </c>
      <c r="O416" t="s">
        <v>3018</v>
      </c>
      <c r="P416" t="s">
        <v>894</v>
      </c>
    </row>
    <row r="418" spans="1:16" ht="15.75" customHeight="1">
      <c r="A418" t="s">
        <v>820</v>
      </c>
      <c r="B418" t="s">
        <v>821</v>
      </c>
      <c r="C418" s="31" t="s">
        <v>2</v>
      </c>
      <c r="D418" t="s">
        <v>822</v>
      </c>
      <c r="E418" t="s">
        <v>823</v>
      </c>
      <c r="F418" t="s">
        <v>824</v>
      </c>
      <c r="G418" t="s">
        <v>825</v>
      </c>
      <c r="H418" t="s">
        <v>826</v>
      </c>
      <c r="I418" t="s">
        <v>827</v>
      </c>
      <c r="J418" t="s">
        <v>828</v>
      </c>
      <c r="K418" t="s">
        <v>829</v>
      </c>
      <c r="L418" t="s">
        <v>830</v>
      </c>
      <c r="M418" t="s">
        <v>835</v>
      </c>
      <c r="N418" t="s">
        <v>836</v>
      </c>
      <c r="O418" t="s">
        <v>837</v>
      </c>
      <c r="P418" t="s">
        <v>838</v>
      </c>
    </row>
    <row r="419" spans="1:16" ht="15.75" customHeight="1">
      <c r="A419">
        <v>1</v>
      </c>
      <c r="B419" t="s">
        <v>3387</v>
      </c>
      <c r="C419" s="38">
        <v>2006</v>
      </c>
      <c r="D419">
        <v>38</v>
      </c>
      <c r="E419">
        <v>29</v>
      </c>
      <c r="F419">
        <v>4</v>
      </c>
      <c r="G419">
        <v>5</v>
      </c>
      <c r="H419">
        <v>72</v>
      </c>
      <c r="I419">
        <v>22</v>
      </c>
      <c r="J419">
        <v>50</v>
      </c>
      <c r="K419">
        <v>91</v>
      </c>
      <c r="L419">
        <v>2.39</v>
      </c>
      <c r="M419" s="37">
        <v>41859</v>
      </c>
      <c r="N419" t="s">
        <v>3237</v>
      </c>
      <c r="O419" t="s">
        <v>2918</v>
      </c>
      <c r="P419" t="s">
        <v>842</v>
      </c>
    </row>
    <row r="420" spans="1:16" ht="15.75" customHeight="1">
      <c r="A420">
        <v>2</v>
      </c>
      <c r="B420" t="s">
        <v>3390</v>
      </c>
      <c r="C420" s="38">
        <v>2006</v>
      </c>
      <c r="D420">
        <v>38</v>
      </c>
      <c r="E420">
        <v>25</v>
      </c>
      <c r="F420">
        <v>8</v>
      </c>
      <c r="G420">
        <v>5</v>
      </c>
      <c r="H420">
        <v>72</v>
      </c>
      <c r="I420">
        <v>34</v>
      </c>
      <c r="J420">
        <v>38</v>
      </c>
      <c r="K420">
        <v>83</v>
      </c>
      <c r="L420">
        <v>2.1800000000000002</v>
      </c>
      <c r="M420" s="37">
        <v>68765</v>
      </c>
      <c r="N420" t="s">
        <v>3238</v>
      </c>
      <c r="O420" t="s">
        <v>3116</v>
      </c>
      <c r="P420" t="s">
        <v>842</v>
      </c>
    </row>
    <row r="421" spans="1:16" ht="15.75" customHeight="1">
      <c r="A421">
        <v>3</v>
      </c>
      <c r="B421" t="s">
        <v>3392</v>
      </c>
      <c r="C421" s="38">
        <v>2006</v>
      </c>
      <c r="D421">
        <v>38</v>
      </c>
      <c r="E421">
        <v>25</v>
      </c>
      <c r="F421">
        <v>7</v>
      </c>
      <c r="G421">
        <v>6</v>
      </c>
      <c r="H421">
        <v>57</v>
      </c>
      <c r="I421">
        <v>25</v>
      </c>
      <c r="J421">
        <v>32</v>
      </c>
      <c r="K421">
        <v>82</v>
      </c>
      <c r="L421">
        <v>2.16</v>
      </c>
      <c r="M421" s="37">
        <v>44897</v>
      </c>
      <c r="N421" t="s">
        <v>3239</v>
      </c>
      <c r="O421" t="s">
        <v>3067</v>
      </c>
      <c r="P421" t="s">
        <v>842</v>
      </c>
    </row>
    <row r="422" spans="1:16" ht="15.75" customHeight="1">
      <c r="A422">
        <v>4</v>
      </c>
      <c r="B422" t="s">
        <v>3389</v>
      </c>
      <c r="C422" s="38">
        <v>2006</v>
      </c>
      <c r="D422">
        <v>38</v>
      </c>
      <c r="E422">
        <v>20</v>
      </c>
      <c r="F422">
        <v>7</v>
      </c>
      <c r="G422">
        <v>11</v>
      </c>
      <c r="H422">
        <v>68</v>
      </c>
      <c r="I422">
        <v>31</v>
      </c>
      <c r="J422">
        <v>37</v>
      </c>
      <c r="K422">
        <v>67</v>
      </c>
      <c r="L422">
        <v>1.76</v>
      </c>
      <c r="M422" s="37">
        <v>38184</v>
      </c>
      <c r="N422" t="s">
        <v>3240</v>
      </c>
      <c r="O422" t="s">
        <v>3218</v>
      </c>
      <c r="P422" t="s">
        <v>842</v>
      </c>
    </row>
    <row r="423" spans="1:16" ht="15.75" customHeight="1">
      <c r="A423">
        <v>5</v>
      </c>
      <c r="B423" t="s">
        <v>3391</v>
      </c>
      <c r="C423" s="38">
        <v>2006</v>
      </c>
      <c r="D423">
        <v>38</v>
      </c>
      <c r="E423">
        <v>18</v>
      </c>
      <c r="F423">
        <v>11</v>
      </c>
      <c r="G423">
        <v>9</v>
      </c>
      <c r="H423">
        <v>53</v>
      </c>
      <c r="I423">
        <v>38</v>
      </c>
      <c r="J423">
        <v>15</v>
      </c>
      <c r="K423">
        <v>65</v>
      </c>
      <c r="L423">
        <v>1.71</v>
      </c>
      <c r="M423" s="37">
        <v>36036</v>
      </c>
      <c r="N423" t="s">
        <v>3241</v>
      </c>
      <c r="O423" t="s">
        <v>3112</v>
      </c>
      <c r="P423" t="s">
        <v>2820</v>
      </c>
    </row>
    <row r="424" spans="1:16" ht="15.75" customHeight="1">
      <c r="A424">
        <v>6</v>
      </c>
      <c r="B424" t="s">
        <v>3413</v>
      </c>
      <c r="C424" s="38">
        <v>2006</v>
      </c>
      <c r="D424">
        <v>38</v>
      </c>
      <c r="E424">
        <v>19</v>
      </c>
      <c r="F424">
        <v>6</v>
      </c>
      <c r="G424">
        <v>13</v>
      </c>
      <c r="H424">
        <v>51</v>
      </c>
      <c r="I424">
        <v>42</v>
      </c>
      <c r="J424">
        <v>9</v>
      </c>
      <c r="K424">
        <v>63</v>
      </c>
      <c r="L424">
        <v>1.66</v>
      </c>
      <c r="M424" s="37">
        <v>21015</v>
      </c>
      <c r="N424" t="s">
        <v>3242</v>
      </c>
      <c r="O424" t="s">
        <v>3092</v>
      </c>
      <c r="P424" t="s">
        <v>2821</v>
      </c>
    </row>
    <row r="425" spans="1:16" ht="15.75" customHeight="1">
      <c r="A425">
        <v>7</v>
      </c>
      <c r="B425" t="s">
        <v>3401</v>
      </c>
      <c r="C425" s="38">
        <v>2006</v>
      </c>
      <c r="D425">
        <v>38</v>
      </c>
      <c r="E425">
        <v>17</v>
      </c>
      <c r="F425">
        <v>7</v>
      </c>
      <c r="G425">
        <v>14</v>
      </c>
      <c r="H425">
        <v>47</v>
      </c>
      <c r="I425">
        <v>42</v>
      </c>
      <c r="J425">
        <v>5</v>
      </c>
      <c r="K425">
        <v>58</v>
      </c>
      <c r="L425">
        <v>1.53</v>
      </c>
      <c r="M425" s="37">
        <v>52134</v>
      </c>
      <c r="N425" t="s">
        <v>3243</v>
      </c>
      <c r="O425" t="s">
        <v>3106</v>
      </c>
      <c r="P425" t="s">
        <v>2824</v>
      </c>
    </row>
    <row r="426" spans="1:16" ht="15.75" customHeight="1">
      <c r="A426">
        <v>8</v>
      </c>
      <c r="B426" t="s">
        <v>3412</v>
      </c>
      <c r="C426" s="38">
        <v>2006</v>
      </c>
      <c r="D426">
        <v>38</v>
      </c>
      <c r="E426">
        <v>15</v>
      </c>
      <c r="F426">
        <v>11</v>
      </c>
      <c r="G426">
        <v>12</v>
      </c>
      <c r="H426">
        <v>49</v>
      </c>
      <c r="I426">
        <v>41</v>
      </c>
      <c r="J426">
        <v>8</v>
      </c>
      <c r="K426">
        <v>56</v>
      </c>
      <c r="L426">
        <v>1.47</v>
      </c>
      <c r="M426" s="37">
        <v>25201</v>
      </c>
      <c r="N426" t="s">
        <v>3244</v>
      </c>
      <c r="O426" t="s">
        <v>3071</v>
      </c>
    </row>
    <row r="427" spans="1:16" ht="15.75" customHeight="1">
      <c r="A427">
        <v>9</v>
      </c>
      <c r="B427" t="s">
        <v>3398</v>
      </c>
      <c r="C427" s="38">
        <v>2006</v>
      </c>
      <c r="D427">
        <v>38</v>
      </c>
      <c r="E427">
        <v>16</v>
      </c>
      <c r="F427">
        <v>7</v>
      </c>
      <c r="G427">
        <v>15</v>
      </c>
      <c r="H427">
        <v>52</v>
      </c>
      <c r="I427">
        <v>55</v>
      </c>
      <c r="J427">
        <v>-3</v>
      </c>
      <c r="K427">
        <v>55</v>
      </c>
      <c r="L427">
        <v>1.45</v>
      </c>
      <c r="M427" s="37">
        <v>33225</v>
      </c>
      <c r="N427" t="s">
        <v>3245</v>
      </c>
      <c r="O427" t="s">
        <v>3246</v>
      </c>
      <c r="P427" t="s">
        <v>3247</v>
      </c>
    </row>
    <row r="428" spans="1:16" ht="15.75" customHeight="1">
      <c r="A428">
        <v>10</v>
      </c>
      <c r="B428" t="s">
        <v>3410</v>
      </c>
      <c r="C428" s="38">
        <v>2006</v>
      </c>
      <c r="D428">
        <v>38</v>
      </c>
      <c r="E428">
        <v>15</v>
      </c>
      <c r="F428">
        <v>6</v>
      </c>
      <c r="G428">
        <v>17</v>
      </c>
      <c r="H428">
        <v>45</v>
      </c>
      <c r="I428">
        <v>52</v>
      </c>
      <c r="J428">
        <v>-7</v>
      </c>
      <c r="K428">
        <v>51</v>
      </c>
      <c r="L428">
        <v>1.34</v>
      </c>
      <c r="M428" s="37">
        <v>20886</v>
      </c>
      <c r="N428" t="s">
        <v>3248</v>
      </c>
      <c r="O428" t="s">
        <v>3249</v>
      </c>
    </row>
    <row r="429" spans="1:16" ht="15.75" customHeight="1">
      <c r="A429">
        <v>11</v>
      </c>
      <c r="B429" t="s">
        <v>3397</v>
      </c>
      <c r="C429" s="38">
        <v>2006</v>
      </c>
      <c r="D429">
        <v>38</v>
      </c>
      <c r="E429">
        <v>14</v>
      </c>
      <c r="F429">
        <v>8</v>
      </c>
      <c r="G429">
        <v>16</v>
      </c>
      <c r="H429">
        <v>34</v>
      </c>
      <c r="I429">
        <v>49</v>
      </c>
      <c r="J429">
        <v>-15</v>
      </c>
      <c r="K429">
        <v>50</v>
      </c>
      <c r="L429">
        <v>1.32</v>
      </c>
      <c r="M429" s="37">
        <v>36857</v>
      </c>
      <c r="N429" t="s">
        <v>3250</v>
      </c>
      <c r="O429" t="s">
        <v>3251</v>
      </c>
    </row>
    <row r="430" spans="1:16" ht="15.75" customHeight="1">
      <c r="A430">
        <v>12</v>
      </c>
      <c r="B430" t="s">
        <v>3408</v>
      </c>
      <c r="C430" s="38">
        <v>2006</v>
      </c>
      <c r="D430">
        <v>38</v>
      </c>
      <c r="E430">
        <v>14</v>
      </c>
      <c r="F430">
        <v>6</v>
      </c>
      <c r="G430">
        <v>18</v>
      </c>
      <c r="H430">
        <v>48</v>
      </c>
      <c r="I430">
        <v>58</v>
      </c>
      <c r="J430">
        <v>-10</v>
      </c>
      <c r="K430">
        <v>48</v>
      </c>
      <c r="L430">
        <v>1.26</v>
      </c>
      <c r="M430" s="37">
        <v>20662</v>
      </c>
      <c r="N430" t="s">
        <v>3252</v>
      </c>
      <c r="O430" t="s">
        <v>3253</v>
      </c>
    </row>
    <row r="431" spans="1:16" ht="15.75" customHeight="1">
      <c r="A431">
        <v>13</v>
      </c>
      <c r="B431" t="s">
        <v>3421</v>
      </c>
      <c r="C431" s="38">
        <v>2006</v>
      </c>
      <c r="D431">
        <v>38</v>
      </c>
      <c r="E431">
        <v>13</v>
      </c>
      <c r="F431">
        <v>8</v>
      </c>
      <c r="G431">
        <v>17</v>
      </c>
      <c r="H431">
        <v>41</v>
      </c>
      <c r="I431">
        <v>55</v>
      </c>
      <c r="J431">
        <v>-14</v>
      </c>
      <c r="K431">
        <v>47</v>
      </c>
      <c r="L431">
        <v>1.24</v>
      </c>
      <c r="M431" s="37">
        <v>26171</v>
      </c>
      <c r="N431" t="s">
        <v>3254</v>
      </c>
      <c r="O431" t="s">
        <v>3255</v>
      </c>
    </row>
    <row r="432" spans="1:16" ht="15.75" customHeight="1">
      <c r="A432">
        <v>14</v>
      </c>
      <c r="B432" t="s">
        <v>3418</v>
      </c>
      <c r="C432" s="38">
        <v>2006</v>
      </c>
      <c r="D432">
        <v>38</v>
      </c>
      <c r="E432">
        <v>12</v>
      </c>
      <c r="F432">
        <v>9</v>
      </c>
      <c r="G432">
        <v>17</v>
      </c>
      <c r="H432">
        <v>48</v>
      </c>
      <c r="I432">
        <v>58</v>
      </c>
      <c r="J432">
        <v>-10</v>
      </c>
      <c r="K432">
        <v>45</v>
      </c>
      <c r="L432">
        <v>1.18</v>
      </c>
      <c r="M432" s="37">
        <v>28467</v>
      </c>
      <c r="N432" t="s">
        <v>3256</v>
      </c>
      <c r="O432" t="s">
        <v>3075</v>
      </c>
    </row>
    <row r="433" spans="1:16" ht="15.75" customHeight="1">
      <c r="A433">
        <v>15</v>
      </c>
      <c r="B433" t="s">
        <v>3388</v>
      </c>
      <c r="C433" s="38">
        <v>2006</v>
      </c>
      <c r="D433">
        <v>38</v>
      </c>
      <c r="E433">
        <v>13</v>
      </c>
      <c r="F433">
        <v>4</v>
      </c>
      <c r="G433">
        <v>21</v>
      </c>
      <c r="H433">
        <v>43</v>
      </c>
      <c r="I433">
        <v>48</v>
      </c>
      <c r="J433">
        <v>-5</v>
      </c>
      <c r="K433">
        <v>43</v>
      </c>
      <c r="L433">
        <v>1.1299999999999999</v>
      </c>
      <c r="M433" s="37">
        <v>42856</v>
      </c>
      <c r="N433" t="s">
        <v>3257</v>
      </c>
      <c r="O433" t="s">
        <v>3167</v>
      </c>
    </row>
    <row r="434" spans="1:16" ht="15.75" customHeight="1">
      <c r="A434">
        <v>16</v>
      </c>
      <c r="B434" t="s">
        <v>3403</v>
      </c>
      <c r="C434" s="38">
        <v>2006</v>
      </c>
      <c r="D434">
        <v>38</v>
      </c>
      <c r="E434">
        <v>10</v>
      </c>
      <c r="F434">
        <v>12</v>
      </c>
      <c r="G434">
        <v>16</v>
      </c>
      <c r="H434">
        <v>42</v>
      </c>
      <c r="I434">
        <v>55</v>
      </c>
      <c r="J434">
        <v>-13</v>
      </c>
      <c r="K434">
        <v>42</v>
      </c>
      <c r="L434">
        <v>1.1100000000000001</v>
      </c>
      <c r="M434" s="37">
        <v>34112</v>
      </c>
      <c r="N434" t="s">
        <v>3258</v>
      </c>
      <c r="O434" t="s">
        <v>3152</v>
      </c>
    </row>
    <row r="435" spans="1:16" ht="15.75" customHeight="1">
      <c r="A435">
        <v>17</v>
      </c>
      <c r="B435" t="s">
        <v>3417</v>
      </c>
      <c r="C435" s="38">
        <v>2006</v>
      </c>
      <c r="D435">
        <v>38</v>
      </c>
      <c r="E435">
        <v>10</v>
      </c>
      <c r="F435">
        <v>8</v>
      </c>
      <c r="G435">
        <v>20</v>
      </c>
      <c r="H435">
        <v>37</v>
      </c>
      <c r="I435">
        <v>62</v>
      </c>
      <c r="J435">
        <v>-25</v>
      </c>
      <c r="K435">
        <v>38</v>
      </c>
      <c r="L435">
        <v>1</v>
      </c>
      <c r="M435" s="37">
        <v>19868</v>
      </c>
      <c r="N435" t="s">
        <v>3259</v>
      </c>
      <c r="O435" t="s">
        <v>3260</v>
      </c>
    </row>
    <row r="436" spans="1:16" ht="15.75" customHeight="1">
      <c r="A436">
        <v>18</v>
      </c>
      <c r="B436" t="s">
        <v>3415</v>
      </c>
      <c r="C436" s="38">
        <v>2006</v>
      </c>
      <c r="D436">
        <v>38</v>
      </c>
      <c r="E436">
        <v>8</v>
      </c>
      <c r="F436">
        <v>10</v>
      </c>
      <c r="G436">
        <v>20</v>
      </c>
      <c r="H436">
        <v>28</v>
      </c>
      <c r="I436">
        <v>50</v>
      </c>
      <c r="J436">
        <v>-22</v>
      </c>
      <c r="K436">
        <v>34</v>
      </c>
      <c r="L436">
        <v>0.89</v>
      </c>
      <c r="M436" s="37">
        <v>27390</v>
      </c>
      <c r="N436" t="s">
        <v>3261</v>
      </c>
      <c r="O436" t="s">
        <v>3212</v>
      </c>
      <c r="P436" t="s">
        <v>894</v>
      </c>
    </row>
    <row r="437" spans="1:16" ht="15.75" customHeight="1">
      <c r="A437">
        <v>19</v>
      </c>
      <c r="B437" t="s">
        <v>3399</v>
      </c>
      <c r="C437" s="38">
        <v>2006</v>
      </c>
      <c r="D437">
        <v>38</v>
      </c>
      <c r="E437">
        <v>7</v>
      </c>
      <c r="F437">
        <v>9</v>
      </c>
      <c r="G437">
        <v>22</v>
      </c>
      <c r="H437">
        <v>31</v>
      </c>
      <c r="I437">
        <v>58</v>
      </c>
      <c r="J437">
        <v>-27</v>
      </c>
      <c r="K437">
        <v>30</v>
      </c>
      <c r="L437">
        <v>0.79</v>
      </c>
      <c r="M437" s="37">
        <v>25203</v>
      </c>
      <c r="N437" t="s">
        <v>3262</v>
      </c>
      <c r="O437" t="s">
        <v>3263</v>
      </c>
      <c r="P437" t="s">
        <v>894</v>
      </c>
    </row>
    <row r="438" spans="1:16" ht="15.75" customHeight="1">
      <c r="A438">
        <v>20</v>
      </c>
      <c r="B438" t="s">
        <v>3402</v>
      </c>
      <c r="C438" s="38">
        <v>2006</v>
      </c>
      <c r="D438">
        <v>38</v>
      </c>
      <c r="E438">
        <v>3</v>
      </c>
      <c r="F438">
        <v>6</v>
      </c>
      <c r="G438">
        <v>29</v>
      </c>
      <c r="H438">
        <v>26</v>
      </c>
      <c r="I438">
        <v>69</v>
      </c>
      <c r="J438">
        <v>-43</v>
      </c>
      <c r="K438">
        <v>15</v>
      </c>
      <c r="L438">
        <v>0.39</v>
      </c>
      <c r="M438" s="37">
        <v>33904</v>
      </c>
      <c r="N438" t="s">
        <v>3264</v>
      </c>
      <c r="O438" t="s">
        <v>3265</v>
      </c>
      <c r="P438" t="s">
        <v>894</v>
      </c>
    </row>
    <row r="440" spans="1:16" ht="15.75" customHeight="1">
      <c r="A440" t="s">
        <v>820</v>
      </c>
      <c r="B440" t="s">
        <v>821</v>
      </c>
      <c r="C440" s="31" t="s">
        <v>2</v>
      </c>
      <c r="D440" t="s">
        <v>822</v>
      </c>
      <c r="E440" t="s">
        <v>823</v>
      </c>
      <c r="F440" t="s">
        <v>824</v>
      </c>
      <c r="G440" t="s">
        <v>825</v>
      </c>
      <c r="H440" t="s">
        <v>826</v>
      </c>
      <c r="I440" t="s">
        <v>827</v>
      </c>
      <c r="J440" t="s">
        <v>828</v>
      </c>
      <c r="K440" t="s">
        <v>829</v>
      </c>
      <c r="L440" t="s">
        <v>830</v>
      </c>
      <c r="M440" t="s">
        <v>835</v>
      </c>
      <c r="N440" t="s">
        <v>836</v>
      </c>
      <c r="O440" t="s">
        <v>837</v>
      </c>
      <c r="P440" t="s">
        <v>838</v>
      </c>
    </row>
    <row r="441" spans="1:16" ht="15.75" customHeight="1">
      <c r="A441">
        <v>1</v>
      </c>
      <c r="B441" t="s">
        <v>3387</v>
      </c>
      <c r="C441" s="38">
        <v>2005</v>
      </c>
      <c r="D441">
        <v>38</v>
      </c>
      <c r="E441">
        <v>29</v>
      </c>
      <c r="F441">
        <v>8</v>
      </c>
      <c r="G441">
        <v>1</v>
      </c>
      <c r="H441">
        <v>72</v>
      </c>
      <c r="I441">
        <v>15</v>
      </c>
      <c r="J441">
        <v>57</v>
      </c>
      <c r="K441">
        <v>95</v>
      </c>
      <c r="L441">
        <v>2.5</v>
      </c>
      <c r="M441" s="37">
        <v>41907</v>
      </c>
      <c r="N441" t="s">
        <v>3266</v>
      </c>
      <c r="O441" t="s">
        <v>2918</v>
      </c>
      <c r="P441" t="s">
        <v>842</v>
      </c>
    </row>
    <row r="442" spans="1:16" ht="15.75" customHeight="1">
      <c r="A442">
        <v>2</v>
      </c>
      <c r="B442" t="s">
        <v>3389</v>
      </c>
      <c r="C442" s="38">
        <v>2005</v>
      </c>
      <c r="D442">
        <v>38</v>
      </c>
      <c r="E442">
        <v>25</v>
      </c>
      <c r="F442">
        <v>8</v>
      </c>
      <c r="G442">
        <v>5</v>
      </c>
      <c r="H442">
        <v>87</v>
      </c>
      <c r="I442">
        <v>36</v>
      </c>
      <c r="J442">
        <v>51</v>
      </c>
      <c r="K442">
        <v>83</v>
      </c>
      <c r="L442">
        <v>2.1800000000000002</v>
      </c>
      <c r="M442" s="37">
        <v>37979</v>
      </c>
      <c r="N442" t="s">
        <v>3267</v>
      </c>
      <c r="O442" t="s">
        <v>3218</v>
      </c>
      <c r="P442" t="s">
        <v>842</v>
      </c>
    </row>
    <row r="443" spans="1:16" ht="15.75" customHeight="1">
      <c r="A443">
        <v>3</v>
      </c>
      <c r="B443" t="s">
        <v>3390</v>
      </c>
      <c r="C443" s="38">
        <v>2005</v>
      </c>
      <c r="D443">
        <v>38</v>
      </c>
      <c r="E443">
        <v>22</v>
      </c>
      <c r="F443">
        <v>11</v>
      </c>
      <c r="G443">
        <v>5</v>
      </c>
      <c r="H443">
        <v>58</v>
      </c>
      <c r="I443">
        <v>26</v>
      </c>
      <c r="J443">
        <v>32</v>
      </c>
      <c r="K443">
        <v>77</v>
      </c>
      <c r="L443">
        <v>2.0299999999999998</v>
      </c>
      <c r="M443" s="37">
        <v>67871</v>
      </c>
      <c r="N443" t="s">
        <v>3268</v>
      </c>
      <c r="O443" t="s">
        <v>3246</v>
      </c>
      <c r="P443" t="s">
        <v>842</v>
      </c>
    </row>
    <row r="444" spans="1:16" ht="15.75" customHeight="1">
      <c r="A444">
        <v>4</v>
      </c>
      <c r="B444" t="s">
        <v>3397</v>
      </c>
      <c r="C444" s="38">
        <v>2005</v>
      </c>
      <c r="D444">
        <v>38</v>
      </c>
      <c r="E444">
        <v>18</v>
      </c>
      <c r="F444">
        <v>7</v>
      </c>
      <c r="G444">
        <v>13</v>
      </c>
      <c r="H444">
        <v>45</v>
      </c>
      <c r="I444">
        <v>46</v>
      </c>
      <c r="J444">
        <v>-1</v>
      </c>
      <c r="K444">
        <v>61</v>
      </c>
      <c r="L444">
        <v>1.61</v>
      </c>
      <c r="M444" s="37">
        <v>36819</v>
      </c>
      <c r="N444" t="s">
        <v>3269</v>
      </c>
      <c r="O444" t="s">
        <v>3251</v>
      </c>
      <c r="P444" t="s">
        <v>842</v>
      </c>
    </row>
    <row r="445" spans="1:16" ht="15.75" customHeight="1">
      <c r="A445">
        <v>5</v>
      </c>
      <c r="B445" t="s">
        <v>3392</v>
      </c>
      <c r="C445" s="38">
        <v>2005</v>
      </c>
      <c r="D445">
        <v>38</v>
      </c>
      <c r="E445">
        <v>17</v>
      </c>
      <c r="F445">
        <v>7</v>
      </c>
      <c r="G445">
        <v>14</v>
      </c>
      <c r="H445">
        <v>52</v>
      </c>
      <c r="I445">
        <v>41</v>
      </c>
      <c r="J445">
        <v>11</v>
      </c>
      <c r="K445">
        <v>58</v>
      </c>
      <c r="L445">
        <v>1.53</v>
      </c>
      <c r="M445" s="37">
        <v>42550</v>
      </c>
      <c r="N445" t="s">
        <v>3270</v>
      </c>
      <c r="O445" t="s">
        <v>3271</v>
      </c>
      <c r="P445" t="s">
        <v>3272</v>
      </c>
    </row>
    <row r="446" spans="1:16" ht="15.75" customHeight="1">
      <c r="A446">
        <v>6</v>
      </c>
      <c r="B446" t="s">
        <v>3412</v>
      </c>
      <c r="C446" s="38">
        <v>2005</v>
      </c>
      <c r="D446">
        <v>38</v>
      </c>
      <c r="E446">
        <v>16</v>
      </c>
      <c r="F446">
        <v>10</v>
      </c>
      <c r="G446">
        <v>12</v>
      </c>
      <c r="H446">
        <v>49</v>
      </c>
      <c r="I446">
        <v>44</v>
      </c>
      <c r="J446">
        <v>5</v>
      </c>
      <c r="K446">
        <v>58</v>
      </c>
      <c r="L446">
        <v>1.53</v>
      </c>
      <c r="M446" s="37">
        <v>25953</v>
      </c>
      <c r="N446" t="s">
        <v>3273</v>
      </c>
      <c r="O446" t="s">
        <v>3071</v>
      </c>
      <c r="P446" t="s">
        <v>3222</v>
      </c>
    </row>
    <row r="447" spans="1:16" ht="15.75" customHeight="1">
      <c r="A447">
        <v>7</v>
      </c>
      <c r="B447" t="s">
        <v>3418</v>
      </c>
      <c r="C447" s="38">
        <v>2005</v>
      </c>
      <c r="D447">
        <v>38</v>
      </c>
      <c r="E447">
        <v>14</v>
      </c>
      <c r="F447">
        <v>13</v>
      </c>
      <c r="G447">
        <v>11</v>
      </c>
      <c r="H447">
        <v>53</v>
      </c>
      <c r="I447">
        <v>46</v>
      </c>
      <c r="J447">
        <v>7</v>
      </c>
      <c r="K447">
        <v>55</v>
      </c>
      <c r="L447">
        <v>1.45</v>
      </c>
      <c r="M447" s="37">
        <v>31938</v>
      </c>
      <c r="N447" t="s">
        <v>3274</v>
      </c>
      <c r="O447" t="s">
        <v>3075</v>
      </c>
      <c r="P447" t="s">
        <v>3275</v>
      </c>
    </row>
    <row r="448" spans="1:16" ht="15.75" customHeight="1">
      <c r="A448">
        <v>8</v>
      </c>
      <c r="B448" t="s">
        <v>3388</v>
      </c>
      <c r="C448" s="38">
        <v>2005</v>
      </c>
      <c r="D448">
        <v>38</v>
      </c>
      <c r="E448">
        <v>13</v>
      </c>
      <c r="F448">
        <v>13</v>
      </c>
      <c r="G448">
        <v>12</v>
      </c>
      <c r="H448">
        <v>47</v>
      </c>
      <c r="I448">
        <v>39</v>
      </c>
      <c r="J448">
        <v>8</v>
      </c>
      <c r="K448">
        <v>52</v>
      </c>
      <c r="L448">
        <v>1.37</v>
      </c>
      <c r="M448" s="37">
        <v>45259</v>
      </c>
      <c r="N448" t="s">
        <v>3276</v>
      </c>
      <c r="O448" t="s">
        <v>3167</v>
      </c>
    </row>
    <row r="449" spans="1:16" ht="15.75" customHeight="1">
      <c r="A449">
        <v>9</v>
      </c>
      <c r="B449" t="s">
        <v>3391</v>
      </c>
      <c r="C449" s="38">
        <v>2005</v>
      </c>
      <c r="D449">
        <v>38</v>
      </c>
      <c r="E449">
        <v>14</v>
      </c>
      <c r="F449">
        <v>10</v>
      </c>
      <c r="G449">
        <v>14</v>
      </c>
      <c r="H449">
        <v>47</v>
      </c>
      <c r="I449">
        <v>41</v>
      </c>
      <c r="J449">
        <v>6</v>
      </c>
      <c r="K449">
        <v>52</v>
      </c>
      <c r="L449">
        <v>1.37</v>
      </c>
      <c r="M449" s="37">
        <v>35931</v>
      </c>
      <c r="N449" t="s">
        <v>3277</v>
      </c>
      <c r="O449" t="s">
        <v>3112</v>
      </c>
    </row>
    <row r="450" spans="1:16" ht="15.75" customHeight="1">
      <c r="A450">
        <v>10</v>
      </c>
      <c r="B450" t="s">
        <v>3403</v>
      </c>
      <c r="C450" s="38">
        <v>2005</v>
      </c>
      <c r="D450">
        <v>38</v>
      </c>
      <c r="E450">
        <v>12</v>
      </c>
      <c r="F450">
        <v>11</v>
      </c>
      <c r="G450">
        <v>15</v>
      </c>
      <c r="H450">
        <v>45</v>
      </c>
      <c r="I450">
        <v>52</v>
      </c>
      <c r="J450">
        <v>-7</v>
      </c>
      <c r="K450">
        <v>47</v>
      </c>
      <c r="L450">
        <v>1.24</v>
      </c>
      <c r="M450" s="37">
        <v>37354</v>
      </c>
      <c r="N450" t="s">
        <v>3278</v>
      </c>
      <c r="O450" t="s">
        <v>3152</v>
      </c>
    </row>
    <row r="451" spans="1:16" ht="15.75" customHeight="1">
      <c r="A451">
        <v>11</v>
      </c>
      <c r="B451" t="s">
        <v>3421</v>
      </c>
      <c r="C451" s="38">
        <v>2005</v>
      </c>
      <c r="D451">
        <v>38</v>
      </c>
      <c r="E451">
        <v>12</v>
      </c>
      <c r="F451">
        <v>10</v>
      </c>
      <c r="G451">
        <v>16</v>
      </c>
      <c r="H451">
        <v>42</v>
      </c>
      <c r="I451">
        <v>58</v>
      </c>
      <c r="J451">
        <v>-16</v>
      </c>
      <c r="K451">
        <v>46</v>
      </c>
      <c r="L451">
        <v>1.21</v>
      </c>
      <c r="M451" s="37">
        <v>26384</v>
      </c>
      <c r="N451" t="s">
        <v>3279</v>
      </c>
      <c r="O451" t="s">
        <v>3280</v>
      </c>
    </row>
    <row r="452" spans="1:16" ht="15.75" customHeight="1">
      <c r="A452">
        <v>12</v>
      </c>
      <c r="B452" t="s">
        <v>3415</v>
      </c>
      <c r="C452" s="38">
        <v>2005</v>
      </c>
      <c r="D452">
        <v>38</v>
      </c>
      <c r="E452">
        <v>11</v>
      </c>
      <c r="F452">
        <v>12</v>
      </c>
      <c r="G452">
        <v>15</v>
      </c>
      <c r="H452">
        <v>40</v>
      </c>
      <c r="I452">
        <v>46</v>
      </c>
      <c r="J452">
        <v>-6</v>
      </c>
      <c r="K452">
        <v>45</v>
      </c>
      <c r="L452">
        <v>1.18</v>
      </c>
      <c r="M452" s="37">
        <v>28760</v>
      </c>
      <c r="N452" t="s">
        <v>3281</v>
      </c>
      <c r="O452" t="s">
        <v>3212</v>
      </c>
    </row>
    <row r="453" spans="1:16" ht="15.75" customHeight="1">
      <c r="A453">
        <v>13</v>
      </c>
      <c r="B453" t="s">
        <v>3408</v>
      </c>
      <c r="C453" s="38">
        <v>2005</v>
      </c>
      <c r="D453">
        <v>38</v>
      </c>
      <c r="E453">
        <v>12</v>
      </c>
      <c r="F453">
        <v>8</v>
      </c>
      <c r="G453">
        <v>18</v>
      </c>
      <c r="H453">
        <v>52</v>
      </c>
      <c r="I453">
        <v>60</v>
      </c>
      <c r="J453">
        <v>-8</v>
      </c>
      <c r="K453">
        <v>44</v>
      </c>
      <c r="L453">
        <v>1.1599999999999999</v>
      </c>
      <c r="M453" s="37">
        <v>19839</v>
      </c>
      <c r="N453" t="s">
        <v>3282</v>
      </c>
      <c r="O453" t="s">
        <v>3116</v>
      </c>
    </row>
    <row r="454" spans="1:16" ht="15.75" customHeight="1">
      <c r="A454">
        <v>14</v>
      </c>
      <c r="B454" t="s">
        <v>3401</v>
      </c>
      <c r="C454" s="38">
        <v>2005</v>
      </c>
      <c r="D454">
        <v>38</v>
      </c>
      <c r="E454">
        <v>10</v>
      </c>
      <c r="F454">
        <v>14</v>
      </c>
      <c r="G454">
        <v>14</v>
      </c>
      <c r="H454">
        <v>47</v>
      </c>
      <c r="I454">
        <v>57</v>
      </c>
      <c r="J454">
        <v>-10</v>
      </c>
      <c r="K454">
        <v>44</v>
      </c>
      <c r="L454">
        <v>1.1599999999999999</v>
      </c>
      <c r="M454" s="37">
        <v>51846</v>
      </c>
      <c r="N454" t="s">
        <v>3283</v>
      </c>
      <c r="O454" t="s">
        <v>3106</v>
      </c>
      <c r="P454" t="s">
        <v>2824</v>
      </c>
    </row>
    <row r="455" spans="1:16" ht="15.75" customHeight="1">
      <c r="A455">
        <v>15</v>
      </c>
      <c r="B455" t="s">
        <v>3413</v>
      </c>
      <c r="C455" s="38">
        <v>2005</v>
      </c>
      <c r="D455">
        <v>38</v>
      </c>
      <c r="E455">
        <v>9</v>
      </c>
      <c r="F455">
        <v>15</v>
      </c>
      <c r="G455">
        <v>14</v>
      </c>
      <c r="H455">
        <v>32</v>
      </c>
      <c r="I455">
        <v>43</v>
      </c>
      <c r="J455">
        <v>-11</v>
      </c>
      <c r="K455">
        <v>42</v>
      </c>
      <c r="L455">
        <v>1.1100000000000001</v>
      </c>
      <c r="M455" s="37">
        <v>22315</v>
      </c>
      <c r="N455" t="s">
        <v>3284</v>
      </c>
      <c r="O455" t="s">
        <v>3092</v>
      </c>
    </row>
    <row r="456" spans="1:16" ht="15.75" customHeight="1">
      <c r="A456">
        <v>16</v>
      </c>
      <c r="B456" t="s">
        <v>3417</v>
      </c>
      <c r="C456" s="38">
        <v>2005</v>
      </c>
      <c r="D456">
        <v>38</v>
      </c>
      <c r="E456">
        <v>10</v>
      </c>
      <c r="F456">
        <v>9</v>
      </c>
      <c r="G456">
        <v>19</v>
      </c>
      <c r="H456">
        <v>43</v>
      </c>
      <c r="I456">
        <v>59</v>
      </c>
      <c r="J456">
        <v>-16</v>
      </c>
      <c r="K456">
        <v>39</v>
      </c>
      <c r="L456">
        <v>1.03</v>
      </c>
      <c r="M456" s="37">
        <v>20087</v>
      </c>
      <c r="N456" t="s">
        <v>3256</v>
      </c>
      <c r="O456" t="s">
        <v>3285</v>
      </c>
    </row>
    <row r="457" spans="1:16" ht="15.75" customHeight="1">
      <c r="A457">
        <v>17</v>
      </c>
      <c r="B457" t="s">
        <v>3399</v>
      </c>
      <c r="C457" s="38">
        <v>2005</v>
      </c>
      <c r="D457">
        <v>38</v>
      </c>
      <c r="E457">
        <v>6</v>
      </c>
      <c r="F457">
        <v>16</v>
      </c>
      <c r="G457">
        <v>16</v>
      </c>
      <c r="H457">
        <v>36</v>
      </c>
      <c r="I457">
        <v>61</v>
      </c>
      <c r="J457">
        <v>-25</v>
      </c>
      <c r="K457">
        <v>34</v>
      </c>
      <c r="L457">
        <v>0.89</v>
      </c>
      <c r="M457" s="37">
        <v>26044</v>
      </c>
      <c r="N457" t="s">
        <v>3286</v>
      </c>
      <c r="O457" t="s">
        <v>3287</v>
      </c>
    </row>
    <row r="458" spans="1:16" ht="15.75" customHeight="1">
      <c r="A458">
        <v>18</v>
      </c>
      <c r="B458" t="s">
        <v>3396</v>
      </c>
      <c r="C458" s="38">
        <v>2005</v>
      </c>
      <c r="D458">
        <v>38</v>
      </c>
      <c r="E458">
        <v>7</v>
      </c>
      <c r="F458">
        <v>12</v>
      </c>
      <c r="G458">
        <v>19</v>
      </c>
      <c r="H458">
        <v>41</v>
      </c>
      <c r="I458">
        <v>62</v>
      </c>
      <c r="J458">
        <v>-21</v>
      </c>
      <c r="K458">
        <v>33</v>
      </c>
      <c r="L458">
        <v>0.87</v>
      </c>
      <c r="M458" s="37">
        <v>24192</v>
      </c>
      <c r="N458" t="s">
        <v>3288</v>
      </c>
      <c r="O458" t="s">
        <v>3289</v>
      </c>
      <c r="P458" t="s">
        <v>894</v>
      </c>
    </row>
    <row r="459" spans="1:16" ht="15.75" customHeight="1">
      <c r="A459">
        <v>19</v>
      </c>
      <c r="B459" t="s">
        <v>3407</v>
      </c>
      <c r="C459" s="38">
        <v>2005</v>
      </c>
      <c r="D459">
        <v>38</v>
      </c>
      <c r="E459">
        <v>7</v>
      </c>
      <c r="F459">
        <v>12</v>
      </c>
      <c r="G459">
        <v>19</v>
      </c>
      <c r="H459">
        <v>42</v>
      </c>
      <c r="I459">
        <v>77</v>
      </c>
      <c r="J459">
        <v>-35</v>
      </c>
      <c r="K459">
        <v>33</v>
      </c>
      <c r="L459">
        <v>0.87</v>
      </c>
      <c r="M459" s="37">
        <v>24350</v>
      </c>
      <c r="N459" t="s">
        <v>3290</v>
      </c>
      <c r="O459" t="s">
        <v>3032</v>
      </c>
      <c r="P459" t="s">
        <v>894</v>
      </c>
    </row>
    <row r="460" spans="1:16" ht="15.75" customHeight="1">
      <c r="A460">
        <v>20</v>
      </c>
      <c r="B460" t="s">
        <v>3393</v>
      </c>
      <c r="C460" s="38">
        <v>2005</v>
      </c>
      <c r="D460">
        <v>38</v>
      </c>
      <c r="E460">
        <v>6</v>
      </c>
      <c r="F460">
        <v>14</v>
      </c>
      <c r="G460">
        <v>18</v>
      </c>
      <c r="H460">
        <v>45</v>
      </c>
      <c r="I460">
        <v>66</v>
      </c>
      <c r="J460">
        <v>-21</v>
      </c>
      <c r="K460">
        <v>32</v>
      </c>
      <c r="L460">
        <v>0.84</v>
      </c>
      <c r="M460" s="37">
        <v>30610</v>
      </c>
      <c r="N460" t="s">
        <v>3291</v>
      </c>
      <c r="O460" t="s">
        <v>3209</v>
      </c>
      <c r="P460" t="s">
        <v>894</v>
      </c>
    </row>
    <row r="462" spans="1:16" ht="15.75" customHeight="1">
      <c r="A462" t="s">
        <v>820</v>
      </c>
      <c r="B462" t="s">
        <v>821</v>
      </c>
      <c r="C462" s="31" t="s">
        <v>2</v>
      </c>
      <c r="D462" t="s">
        <v>822</v>
      </c>
      <c r="E462" t="s">
        <v>823</v>
      </c>
      <c r="F462" t="s">
        <v>824</v>
      </c>
      <c r="G462" t="s">
        <v>825</v>
      </c>
      <c r="H462" t="s">
        <v>826</v>
      </c>
      <c r="I462" t="s">
        <v>827</v>
      </c>
      <c r="J462" t="s">
        <v>828</v>
      </c>
      <c r="K462" t="s">
        <v>829</v>
      </c>
      <c r="L462" t="s">
        <v>830</v>
      </c>
      <c r="M462" t="s">
        <v>835</v>
      </c>
      <c r="N462" t="s">
        <v>836</v>
      </c>
      <c r="O462" t="s">
        <v>837</v>
      </c>
      <c r="P462" t="s">
        <v>838</v>
      </c>
    </row>
    <row r="463" spans="1:16" ht="15.75" customHeight="1">
      <c r="A463">
        <v>1</v>
      </c>
      <c r="B463" t="s">
        <v>3389</v>
      </c>
      <c r="C463" s="38">
        <v>2004</v>
      </c>
      <c r="D463">
        <v>38</v>
      </c>
      <c r="E463">
        <v>26</v>
      </c>
      <c r="F463">
        <v>12</v>
      </c>
      <c r="G463">
        <v>0</v>
      </c>
      <c r="H463">
        <v>73</v>
      </c>
      <c r="I463">
        <v>26</v>
      </c>
      <c r="J463">
        <v>47</v>
      </c>
      <c r="K463">
        <v>90</v>
      </c>
      <c r="L463">
        <v>2.37</v>
      </c>
      <c r="M463" s="37">
        <v>38079</v>
      </c>
      <c r="N463" t="s">
        <v>3292</v>
      </c>
      <c r="O463" t="s">
        <v>3218</v>
      </c>
      <c r="P463" t="s">
        <v>842</v>
      </c>
    </row>
    <row r="464" spans="1:16" ht="15.75" customHeight="1">
      <c r="A464">
        <v>2</v>
      </c>
      <c r="B464" t="s">
        <v>3387</v>
      </c>
      <c r="C464" s="38">
        <v>2004</v>
      </c>
      <c r="D464">
        <v>38</v>
      </c>
      <c r="E464">
        <v>24</v>
      </c>
      <c r="F464">
        <v>7</v>
      </c>
      <c r="G464">
        <v>7</v>
      </c>
      <c r="H464">
        <v>67</v>
      </c>
      <c r="I464">
        <v>30</v>
      </c>
      <c r="J464">
        <v>37</v>
      </c>
      <c r="K464">
        <v>79</v>
      </c>
      <c r="L464">
        <v>2.08</v>
      </c>
      <c r="M464" s="37">
        <v>41272</v>
      </c>
      <c r="N464" t="s">
        <v>3293</v>
      </c>
      <c r="O464" t="s">
        <v>3294</v>
      </c>
      <c r="P464" t="s">
        <v>842</v>
      </c>
    </row>
    <row r="465" spans="1:16" ht="15.75" customHeight="1">
      <c r="A465">
        <v>3</v>
      </c>
      <c r="B465" t="s">
        <v>3390</v>
      </c>
      <c r="C465" s="38">
        <v>2004</v>
      </c>
      <c r="D465">
        <v>38</v>
      </c>
      <c r="E465">
        <v>23</v>
      </c>
      <c r="F465">
        <v>6</v>
      </c>
      <c r="G465">
        <v>9</v>
      </c>
      <c r="H465">
        <v>64</v>
      </c>
      <c r="I465">
        <v>35</v>
      </c>
      <c r="J465">
        <v>29</v>
      </c>
      <c r="K465">
        <v>75</v>
      </c>
      <c r="L465">
        <v>1.97</v>
      </c>
      <c r="M465" s="37">
        <v>67641</v>
      </c>
      <c r="N465" t="s">
        <v>3295</v>
      </c>
      <c r="O465" t="s">
        <v>3013</v>
      </c>
      <c r="P465" t="s">
        <v>842</v>
      </c>
    </row>
    <row r="466" spans="1:16" ht="15.75" customHeight="1">
      <c r="A466">
        <v>4</v>
      </c>
      <c r="B466" t="s">
        <v>3392</v>
      </c>
      <c r="C466" s="38">
        <v>2004</v>
      </c>
      <c r="D466">
        <v>38</v>
      </c>
      <c r="E466">
        <v>16</v>
      </c>
      <c r="F466">
        <v>12</v>
      </c>
      <c r="G466">
        <v>10</v>
      </c>
      <c r="H466">
        <v>55</v>
      </c>
      <c r="I466">
        <v>37</v>
      </c>
      <c r="J466">
        <v>18</v>
      </c>
      <c r="K466">
        <v>60</v>
      </c>
      <c r="L466">
        <v>1.58</v>
      </c>
      <c r="M466" s="37">
        <v>42677</v>
      </c>
      <c r="N466" t="s">
        <v>3296</v>
      </c>
      <c r="O466" t="s">
        <v>3271</v>
      </c>
      <c r="P466" t="s">
        <v>842</v>
      </c>
    </row>
    <row r="467" spans="1:16" ht="15.75" customHeight="1">
      <c r="A467">
        <v>5</v>
      </c>
      <c r="B467" t="s">
        <v>3401</v>
      </c>
      <c r="C467" s="38">
        <v>2004</v>
      </c>
      <c r="D467">
        <v>38</v>
      </c>
      <c r="E467">
        <v>13</v>
      </c>
      <c r="F467">
        <v>17</v>
      </c>
      <c r="G467">
        <v>8</v>
      </c>
      <c r="H467">
        <v>52</v>
      </c>
      <c r="I467">
        <v>40</v>
      </c>
      <c r="J467">
        <v>12</v>
      </c>
      <c r="K467">
        <v>56</v>
      </c>
      <c r="L467">
        <v>1.47</v>
      </c>
      <c r="M467" s="37">
        <v>51966</v>
      </c>
      <c r="N467" t="s">
        <v>3297</v>
      </c>
      <c r="O467" t="s">
        <v>3106</v>
      </c>
      <c r="P467" t="s">
        <v>2820</v>
      </c>
    </row>
    <row r="468" spans="1:16" ht="15.75" customHeight="1">
      <c r="A468">
        <v>6</v>
      </c>
      <c r="B468" t="s">
        <v>3403</v>
      </c>
      <c r="C468" s="38">
        <v>2004</v>
      </c>
      <c r="D468">
        <v>38</v>
      </c>
      <c r="E468">
        <v>15</v>
      </c>
      <c r="F468">
        <v>11</v>
      </c>
      <c r="G468">
        <v>12</v>
      </c>
      <c r="H468">
        <v>48</v>
      </c>
      <c r="I468">
        <v>44</v>
      </c>
      <c r="J468">
        <v>4</v>
      </c>
      <c r="K468">
        <v>56</v>
      </c>
      <c r="L468">
        <v>1.47</v>
      </c>
      <c r="M468" s="37">
        <v>36622</v>
      </c>
      <c r="N468" t="s">
        <v>3298</v>
      </c>
      <c r="O468" t="s">
        <v>3152</v>
      </c>
    </row>
    <row r="469" spans="1:16" ht="15.75" customHeight="1">
      <c r="A469">
        <v>7</v>
      </c>
      <c r="B469" t="s">
        <v>3421</v>
      </c>
      <c r="C469" s="38">
        <v>2004</v>
      </c>
      <c r="D469">
        <v>38</v>
      </c>
      <c r="E469">
        <v>14</v>
      </c>
      <c r="F469">
        <v>11</v>
      </c>
      <c r="G469">
        <v>13</v>
      </c>
      <c r="H469">
        <v>51</v>
      </c>
      <c r="I469">
        <v>51</v>
      </c>
      <c r="J469">
        <v>0</v>
      </c>
      <c r="K469">
        <v>53</v>
      </c>
      <c r="L469">
        <v>1.39</v>
      </c>
      <c r="M469" s="37">
        <v>26278</v>
      </c>
      <c r="N469" t="s">
        <v>3299</v>
      </c>
      <c r="O469" t="s">
        <v>3280</v>
      </c>
    </row>
    <row r="470" spans="1:16" ht="15.75" customHeight="1">
      <c r="A470">
        <v>8</v>
      </c>
      <c r="B470" t="s">
        <v>3412</v>
      </c>
      <c r="C470" s="38">
        <v>2004</v>
      </c>
      <c r="D470">
        <v>38</v>
      </c>
      <c r="E470">
        <v>14</v>
      </c>
      <c r="F470">
        <v>11</v>
      </c>
      <c r="G470">
        <v>13</v>
      </c>
      <c r="H470">
        <v>48</v>
      </c>
      <c r="I470">
        <v>56</v>
      </c>
      <c r="J470">
        <v>-8</v>
      </c>
      <c r="K470">
        <v>53</v>
      </c>
      <c r="L470">
        <v>1.39</v>
      </c>
      <c r="M470" s="37">
        <v>26718</v>
      </c>
      <c r="N470" t="s">
        <v>3300</v>
      </c>
      <c r="O470" t="s">
        <v>3071</v>
      </c>
    </row>
    <row r="471" spans="1:16" ht="15.75" customHeight="1">
      <c r="A471">
        <v>9</v>
      </c>
      <c r="B471" t="s">
        <v>3408</v>
      </c>
      <c r="C471" s="38">
        <v>2004</v>
      </c>
      <c r="D471">
        <v>38</v>
      </c>
      <c r="E471">
        <v>14</v>
      </c>
      <c r="F471">
        <v>10</v>
      </c>
      <c r="G471">
        <v>14</v>
      </c>
      <c r="H471">
        <v>52</v>
      </c>
      <c r="I471">
        <v>46</v>
      </c>
      <c r="J471">
        <v>6</v>
      </c>
      <c r="K471">
        <v>52</v>
      </c>
      <c r="L471">
        <v>1.37</v>
      </c>
      <c r="M471" s="37">
        <v>16240</v>
      </c>
      <c r="N471" t="s">
        <v>3148</v>
      </c>
      <c r="O471" t="s">
        <v>3116</v>
      </c>
    </row>
    <row r="472" spans="1:16" ht="15.75" customHeight="1">
      <c r="A472">
        <v>10</v>
      </c>
      <c r="B472" t="s">
        <v>3415</v>
      </c>
      <c r="C472" s="38">
        <v>2004</v>
      </c>
      <c r="D472">
        <v>38</v>
      </c>
      <c r="E472">
        <v>12</v>
      </c>
      <c r="F472">
        <v>14</v>
      </c>
      <c r="G472">
        <v>12</v>
      </c>
      <c r="H472">
        <v>43</v>
      </c>
      <c r="I472">
        <v>48</v>
      </c>
      <c r="J472">
        <v>-5</v>
      </c>
      <c r="K472">
        <v>50</v>
      </c>
      <c r="L472">
        <v>1.32</v>
      </c>
      <c r="M472" s="37">
        <v>29078</v>
      </c>
      <c r="N472" t="s">
        <v>3301</v>
      </c>
      <c r="O472" t="s">
        <v>3212</v>
      </c>
    </row>
    <row r="473" spans="1:16" ht="15.75" customHeight="1">
      <c r="A473">
        <v>11</v>
      </c>
      <c r="B473" t="s">
        <v>3418</v>
      </c>
      <c r="C473" s="38">
        <v>2004</v>
      </c>
      <c r="D473">
        <v>38</v>
      </c>
      <c r="E473">
        <v>13</v>
      </c>
      <c r="F473">
        <v>9</v>
      </c>
      <c r="G473">
        <v>16</v>
      </c>
      <c r="H473">
        <v>44</v>
      </c>
      <c r="I473">
        <v>52</v>
      </c>
      <c r="J473">
        <v>-8</v>
      </c>
      <c r="K473">
        <v>48</v>
      </c>
      <c r="L473">
        <v>1.26</v>
      </c>
      <c r="M473" s="37">
        <v>30395</v>
      </c>
      <c r="N473" t="s">
        <v>3302</v>
      </c>
      <c r="O473" t="s">
        <v>3075</v>
      </c>
      <c r="P473" t="s">
        <v>2851</v>
      </c>
    </row>
    <row r="474" spans="1:16" ht="15.75" customHeight="1">
      <c r="A474">
        <v>12</v>
      </c>
      <c r="B474" t="s">
        <v>3393</v>
      </c>
      <c r="C474" s="38">
        <v>2004</v>
      </c>
      <c r="D474">
        <v>38</v>
      </c>
      <c r="E474">
        <v>12</v>
      </c>
      <c r="F474">
        <v>11</v>
      </c>
      <c r="G474">
        <v>15</v>
      </c>
      <c r="H474">
        <v>44</v>
      </c>
      <c r="I474">
        <v>45</v>
      </c>
      <c r="J474">
        <v>-1</v>
      </c>
      <c r="K474">
        <v>47</v>
      </c>
      <c r="L474">
        <v>1.24</v>
      </c>
      <c r="M474" s="37">
        <v>31717</v>
      </c>
      <c r="N474" t="s">
        <v>3303</v>
      </c>
      <c r="O474" t="s">
        <v>3209</v>
      </c>
    </row>
    <row r="475" spans="1:16" ht="15.75" customHeight="1">
      <c r="A475">
        <v>13</v>
      </c>
      <c r="B475" t="s">
        <v>3417</v>
      </c>
      <c r="C475" s="38">
        <v>2004</v>
      </c>
      <c r="D475">
        <v>38</v>
      </c>
      <c r="E475">
        <v>12</v>
      </c>
      <c r="F475">
        <v>9</v>
      </c>
      <c r="G475">
        <v>17</v>
      </c>
      <c r="H475">
        <v>47</v>
      </c>
      <c r="I475">
        <v>54</v>
      </c>
      <c r="J475">
        <v>-7</v>
      </c>
      <c r="K475">
        <v>45</v>
      </c>
      <c r="L475">
        <v>1.18</v>
      </c>
      <c r="M475" s="37">
        <v>20054</v>
      </c>
      <c r="N475" t="s">
        <v>3304</v>
      </c>
      <c r="O475" t="s">
        <v>3285</v>
      </c>
    </row>
    <row r="476" spans="1:16" ht="15.75" customHeight="1">
      <c r="A476">
        <v>14</v>
      </c>
      <c r="B476" t="s">
        <v>3391</v>
      </c>
      <c r="C476" s="38">
        <v>2004</v>
      </c>
      <c r="D476">
        <v>38</v>
      </c>
      <c r="E476">
        <v>13</v>
      </c>
      <c r="F476">
        <v>6</v>
      </c>
      <c r="G476">
        <v>19</v>
      </c>
      <c r="H476">
        <v>47</v>
      </c>
      <c r="I476">
        <v>57</v>
      </c>
      <c r="J476">
        <v>-10</v>
      </c>
      <c r="K476">
        <v>45</v>
      </c>
      <c r="L476">
        <v>1.18</v>
      </c>
      <c r="M476" s="37">
        <v>34872</v>
      </c>
      <c r="N476" t="s">
        <v>3305</v>
      </c>
      <c r="O476" t="s">
        <v>3306</v>
      </c>
    </row>
    <row r="477" spans="1:16" ht="15.75" customHeight="1">
      <c r="A477">
        <v>15</v>
      </c>
      <c r="B477" t="s">
        <v>3413</v>
      </c>
      <c r="C477" s="38">
        <v>2004</v>
      </c>
      <c r="D477">
        <v>38</v>
      </c>
      <c r="E477">
        <v>12</v>
      </c>
      <c r="F477">
        <v>8</v>
      </c>
      <c r="G477">
        <v>18</v>
      </c>
      <c r="H477">
        <v>51</v>
      </c>
      <c r="I477">
        <v>59</v>
      </c>
      <c r="J477">
        <v>-8</v>
      </c>
      <c r="K477">
        <v>44</v>
      </c>
      <c r="L477">
        <v>1.1599999999999999</v>
      </c>
      <c r="M477" s="37">
        <v>24376</v>
      </c>
      <c r="N477" t="s">
        <v>3307</v>
      </c>
      <c r="O477" t="s">
        <v>3092</v>
      </c>
    </row>
    <row r="478" spans="1:16" ht="15.75" customHeight="1">
      <c r="A478">
        <v>16</v>
      </c>
      <c r="B478" t="s">
        <v>3388</v>
      </c>
      <c r="C478" s="38">
        <v>2004</v>
      </c>
      <c r="D478">
        <v>38</v>
      </c>
      <c r="E478">
        <v>9</v>
      </c>
      <c r="F478">
        <v>14</v>
      </c>
      <c r="G478">
        <v>15</v>
      </c>
      <c r="H478">
        <v>55</v>
      </c>
      <c r="I478">
        <v>54</v>
      </c>
      <c r="J478">
        <v>1</v>
      </c>
      <c r="K478">
        <v>41</v>
      </c>
      <c r="L478">
        <v>1.08</v>
      </c>
      <c r="M478" s="37">
        <v>46830</v>
      </c>
      <c r="N478" t="s">
        <v>3308</v>
      </c>
      <c r="O478" t="s">
        <v>3309</v>
      </c>
    </row>
    <row r="479" spans="1:16" ht="15.75" customHeight="1">
      <c r="A479">
        <v>17</v>
      </c>
      <c r="B479" t="s">
        <v>3397</v>
      </c>
      <c r="C479" s="38">
        <v>2004</v>
      </c>
      <c r="D479">
        <v>38</v>
      </c>
      <c r="E479">
        <v>9</v>
      </c>
      <c r="F479">
        <v>12</v>
      </c>
      <c r="G479">
        <v>17</v>
      </c>
      <c r="H479">
        <v>45</v>
      </c>
      <c r="I479">
        <v>57</v>
      </c>
      <c r="J479">
        <v>-12</v>
      </c>
      <c r="K479">
        <v>39</v>
      </c>
      <c r="L479">
        <v>1.03</v>
      </c>
      <c r="M479" s="37">
        <v>38837</v>
      </c>
      <c r="N479" t="s">
        <v>3310</v>
      </c>
      <c r="O479" t="s">
        <v>3251</v>
      </c>
    </row>
    <row r="480" spans="1:16" ht="15.75" customHeight="1">
      <c r="A480">
        <v>18</v>
      </c>
      <c r="B480" t="s">
        <v>3400</v>
      </c>
      <c r="C480" s="38">
        <v>2004</v>
      </c>
      <c r="D480">
        <v>38</v>
      </c>
      <c r="E480">
        <v>6</v>
      </c>
      <c r="F480">
        <v>15</v>
      </c>
      <c r="G480">
        <v>17</v>
      </c>
      <c r="H480">
        <v>48</v>
      </c>
      <c r="I480">
        <v>65</v>
      </c>
      <c r="J480">
        <v>-17</v>
      </c>
      <c r="K480">
        <v>33</v>
      </c>
      <c r="L480">
        <v>0.87</v>
      </c>
      <c r="M480" s="37">
        <v>30983</v>
      </c>
      <c r="N480" t="s">
        <v>3311</v>
      </c>
      <c r="O480" t="s">
        <v>3312</v>
      </c>
      <c r="P480" t="s">
        <v>894</v>
      </c>
    </row>
    <row r="481" spans="1:16" ht="15.75" customHeight="1">
      <c r="A481">
        <v>19</v>
      </c>
      <c r="B481" t="s">
        <v>3423</v>
      </c>
      <c r="C481" s="38">
        <v>2004</v>
      </c>
      <c r="D481">
        <v>38</v>
      </c>
      <c r="E481">
        <v>8</v>
      </c>
      <c r="F481">
        <v>9</v>
      </c>
      <c r="G481">
        <v>21</v>
      </c>
      <c r="H481">
        <v>40</v>
      </c>
      <c r="I481">
        <v>79</v>
      </c>
      <c r="J481">
        <v>-39</v>
      </c>
      <c r="K481">
        <v>33</v>
      </c>
      <c r="L481">
        <v>0.87</v>
      </c>
      <c r="M481" s="37">
        <v>36666</v>
      </c>
      <c r="N481" t="s">
        <v>3313</v>
      </c>
      <c r="O481" t="s">
        <v>3112</v>
      </c>
      <c r="P481" t="s">
        <v>894</v>
      </c>
    </row>
    <row r="482" spans="1:16" ht="15.75" customHeight="1">
      <c r="A482">
        <v>20</v>
      </c>
      <c r="B482" t="s">
        <v>3414</v>
      </c>
      <c r="C482" s="38">
        <v>2004</v>
      </c>
      <c r="D482">
        <v>38</v>
      </c>
      <c r="E482">
        <v>7</v>
      </c>
      <c r="F482">
        <v>12</v>
      </c>
      <c r="G482">
        <v>19</v>
      </c>
      <c r="H482">
        <v>38</v>
      </c>
      <c r="I482">
        <v>77</v>
      </c>
      <c r="J482">
        <v>-39</v>
      </c>
      <c r="K482">
        <v>33</v>
      </c>
      <c r="L482">
        <v>0.87</v>
      </c>
      <c r="M482" s="37">
        <v>28864</v>
      </c>
      <c r="N482" t="s">
        <v>3314</v>
      </c>
      <c r="O482" t="s">
        <v>3315</v>
      </c>
      <c r="P482" t="s">
        <v>894</v>
      </c>
    </row>
    <row r="484" spans="1:16" ht="15.75" customHeight="1">
      <c r="A484" t="s">
        <v>820</v>
      </c>
      <c r="B484" t="s">
        <v>821</v>
      </c>
      <c r="C484" s="31" t="s">
        <v>2</v>
      </c>
      <c r="D484" t="s">
        <v>822</v>
      </c>
      <c r="E484" t="s">
        <v>823</v>
      </c>
      <c r="F484" t="s">
        <v>824</v>
      </c>
      <c r="G484" t="s">
        <v>825</v>
      </c>
      <c r="H484" t="s">
        <v>826</v>
      </c>
      <c r="I484" t="s">
        <v>827</v>
      </c>
      <c r="J484" t="s">
        <v>828</v>
      </c>
      <c r="K484" t="s">
        <v>829</v>
      </c>
      <c r="L484" t="s">
        <v>830</v>
      </c>
      <c r="M484" t="s">
        <v>835</v>
      </c>
      <c r="N484" t="s">
        <v>836</v>
      </c>
      <c r="O484" t="s">
        <v>837</v>
      </c>
      <c r="P484" t="s">
        <v>838</v>
      </c>
    </row>
    <row r="485" spans="1:16" ht="15.75" customHeight="1">
      <c r="A485">
        <v>1</v>
      </c>
      <c r="B485" t="s">
        <v>3390</v>
      </c>
      <c r="C485" s="38">
        <v>2003</v>
      </c>
      <c r="D485">
        <v>38</v>
      </c>
      <c r="E485">
        <v>25</v>
      </c>
      <c r="F485">
        <v>8</v>
      </c>
      <c r="G485">
        <v>5</v>
      </c>
      <c r="H485">
        <v>74</v>
      </c>
      <c r="I485">
        <v>34</v>
      </c>
      <c r="J485">
        <v>40</v>
      </c>
      <c r="K485">
        <v>83</v>
      </c>
      <c r="L485">
        <v>2.1800000000000002</v>
      </c>
      <c r="M485" s="37">
        <v>67602</v>
      </c>
      <c r="N485" t="s">
        <v>3316</v>
      </c>
      <c r="O485" t="s">
        <v>2867</v>
      </c>
      <c r="P485" t="s">
        <v>842</v>
      </c>
    </row>
    <row r="486" spans="1:16" ht="15.75" customHeight="1">
      <c r="A486">
        <v>2</v>
      </c>
      <c r="B486" t="s">
        <v>3389</v>
      </c>
      <c r="C486" s="38">
        <v>2003</v>
      </c>
      <c r="D486">
        <v>38</v>
      </c>
      <c r="E486">
        <v>23</v>
      </c>
      <c r="F486">
        <v>9</v>
      </c>
      <c r="G486">
        <v>6</v>
      </c>
      <c r="H486">
        <v>85</v>
      </c>
      <c r="I486">
        <v>42</v>
      </c>
      <c r="J486">
        <v>43</v>
      </c>
      <c r="K486">
        <v>78</v>
      </c>
      <c r="L486">
        <v>2.0499999999999998</v>
      </c>
      <c r="M486" s="37">
        <v>38042</v>
      </c>
      <c r="N486" t="s">
        <v>3317</v>
      </c>
      <c r="O486" t="s">
        <v>3309</v>
      </c>
      <c r="P486" t="s">
        <v>842</v>
      </c>
    </row>
    <row r="487" spans="1:16" ht="15.75" customHeight="1">
      <c r="A487">
        <v>3</v>
      </c>
      <c r="B487" t="s">
        <v>3401</v>
      </c>
      <c r="C487" s="38">
        <v>2003</v>
      </c>
      <c r="D487">
        <v>38</v>
      </c>
      <c r="E487">
        <v>21</v>
      </c>
      <c r="F487">
        <v>6</v>
      </c>
      <c r="G487">
        <v>11</v>
      </c>
      <c r="H487">
        <v>63</v>
      </c>
      <c r="I487">
        <v>48</v>
      </c>
      <c r="J487">
        <v>15</v>
      </c>
      <c r="K487">
        <v>69</v>
      </c>
      <c r="L487">
        <v>1.82</v>
      </c>
      <c r="M487" s="37">
        <v>51923</v>
      </c>
      <c r="N487" t="s">
        <v>3318</v>
      </c>
      <c r="O487" t="s">
        <v>3106</v>
      </c>
      <c r="P487" t="s">
        <v>842</v>
      </c>
    </row>
    <row r="488" spans="1:16" ht="15.75" customHeight="1">
      <c r="A488">
        <v>4</v>
      </c>
      <c r="B488" t="s">
        <v>3387</v>
      </c>
      <c r="C488" s="38">
        <v>2003</v>
      </c>
      <c r="D488">
        <v>38</v>
      </c>
      <c r="E488">
        <v>19</v>
      </c>
      <c r="F488">
        <v>10</v>
      </c>
      <c r="G488">
        <v>9</v>
      </c>
      <c r="H488">
        <v>68</v>
      </c>
      <c r="I488">
        <v>38</v>
      </c>
      <c r="J488">
        <v>30</v>
      </c>
      <c r="K488">
        <v>67</v>
      </c>
      <c r="L488">
        <v>1.76</v>
      </c>
      <c r="M488" s="37">
        <v>39784</v>
      </c>
      <c r="N488" t="s">
        <v>3319</v>
      </c>
      <c r="O488" t="s">
        <v>3294</v>
      </c>
      <c r="P488" t="s">
        <v>842</v>
      </c>
    </row>
    <row r="489" spans="1:16" ht="15.75" customHeight="1">
      <c r="A489">
        <v>5</v>
      </c>
      <c r="B489" t="s">
        <v>3392</v>
      </c>
      <c r="C489" s="38">
        <v>2003</v>
      </c>
      <c r="D489">
        <v>38</v>
      </c>
      <c r="E489">
        <v>18</v>
      </c>
      <c r="F489">
        <v>10</v>
      </c>
      <c r="G489">
        <v>10</v>
      </c>
      <c r="H489">
        <v>61</v>
      </c>
      <c r="I489">
        <v>41</v>
      </c>
      <c r="J489">
        <v>20</v>
      </c>
      <c r="K489">
        <v>64</v>
      </c>
      <c r="L489">
        <v>1.68</v>
      </c>
      <c r="M489" s="37">
        <v>43243</v>
      </c>
      <c r="N489" t="s">
        <v>3320</v>
      </c>
      <c r="O489" t="s">
        <v>3271</v>
      </c>
      <c r="P489" t="s">
        <v>2820</v>
      </c>
    </row>
    <row r="490" spans="1:16" ht="15.75" customHeight="1">
      <c r="A490">
        <v>6</v>
      </c>
      <c r="B490" t="s">
        <v>3413</v>
      </c>
      <c r="C490" s="38">
        <v>2003</v>
      </c>
      <c r="D490">
        <v>38</v>
      </c>
      <c r="E490">
        <v>16</v>
      </c>
      <c r="F490">
        <v>12</v>
      </c>
      <c r="G490">
        <v>10</v>
      </c>
      <c r="H490">
        <v>52</v>
      </c>
      <c r="I490">
        <v>43</v>
      </c>
      <c r="J490">
        <v>9</v>
      </c>
      <c r="K490">
        <v>60</v>
      </c>
      <c r="L490">
        <v>1.58</v>
      </c>
      <c r="M490" s="37">
        <v>26226</v>
      </c>
      <c r="N490" t="s">
        <v>3321</v>
      </c>
      <c r="O490" t="s">
        <v>3092</v>
      </c>
      <c r="P490" t="s">
        <v>2821</v>
      </c>
    </row>
    <row r="491" spans="1:16" ht="15.75" customHeight="1">
      <c r="A491">
        <v>7</v>
      </c>
      <c r="B491" t="s">
        <v>3397</v>
      </c>
      <c r="C491" s="38">
        <v>2003</v>
      </c>
      <c r="D491">
        <v>38</v>
      </c>
      <c r="E491">
        <v>17</v>
      </c>
      <c r="F491">
        <v>8</v>
      </c>
      <c r="G491">
        <v>13</v>
      </c>
      <c r="H491">
        <v>48</v>
      </c>
      <c r="I491">
        <v>49</v>
      </c>
      <c r="J491">
        <v>-1</v>
      </c>
      <c r="K491">
        <v>59</v>
      </c>
      <c r="L491">
        <v>1.55</v>
      </c>
      <c r="M491" s="37">
        <v>38504</v>
      </c>
      <c r="N491" t="s">
        <v>3322</v>
      </c>
      <c r="O491" t="s">
        <v>3323</v>
      </c>
    </row>
    <row r="492" spans="1:16" ht="15.75" customHeight="1">
      <c r="A492">
        <v>8</v>
      </c>
      <c r="B492" t="s">
        <v>3393</v>
      </c>
      <c r="C492" s="38">
        <v>2003</v>
      </c>
      <c r="D492">
        <v>38</v>
      </c>
      <c r="E492">
        <v>13</v>
      </c>
      <c r="F492">
        <v>13</v>
      </c>
      <c r="G492">
        <v>12</v>
      </c>
      <c r="H492">
        <v>43</v>
      </c>
      <c r="I492">
        <v>46</v>
      </c>
      <c r="J492">
        <v>-3</v>
      </c>
      <c r="K492">
        <v>52</v>
      </c>
      <c r="L492">
        <v>1.37</v>
      </c>
      <c r="M492" s="37">
        <v>30680</v>
      </c>
      <c r="N492" t="s">
        <v>3324</v>
      </c>
      <c r="O492" t="s">
        <v>3209</v>
      </c>
      <c r="P492" t="s">
        <v>3247</v>
      </c>
    </row>
    <row r="493" spans="1:16" ht="15.75" customHeight="1">
      <c r="A493">
        <v>9</v>
      </c>
      <c r="B493" t="s">
        <v>3388</v>
      </c>
      <c r="C493" s="38">
        <v>2003</v>
      </c>
      <c r="D493">
        <v>38</v>
      </c>
      <c r="E493">
        <v>15</v>
      </c>
      <c r="F493">
        <v>6</v>
      </c>
      <c r="G493">
        <v>17</v>
      </c>
      <c r="H493">
        <v>47</v>
      </c>
      <c r="I493">
        <v>54</v>
      </c>
      <c r="J493">
        <v>-7</v>
      </c>
      <c r="K493">
        <v>51</v>
      </c>
      <c r="L493">
        <v>1.34</v>
      </c>
      <c r="M493" s="37">
        <v>34565</v>
      </c>
      <c r="N493" t="s">
        <v>3325</v>
      </c>
      <c r="O493" t="s">
        <v>3326</v>
      </c>
      <c r="P493" t="s">
        <v>3327</v>
      </c>
    </row>
    <row r="494" spans="1:16" ht="15.75" customHeight="1">
      <c r="A494">
        <v>10</v>
      </c>
      <c r="B494" t="s">
        <v>3391</v>
      </c>
      <c r="C494" s="38">
        <v>2003</v>
      </c>
      <c r="D494">
        <v>38</v>
      </c>
      <c r="E494">
        <v>14</v>
      </c>
      <c r="F494">
        <v>8</v>
      </c>
      <c r="G494">
        <v>16</v>
      </c>
      <c r="H494">
        <v>51</v>
      </c>
      <c r="I494">
        <v>62</v>
      </c>
      <c r="J494">
        <v>-11</v>
      </c>
      <c r="K494">
        <v>50</v>
      </c>
      <c r="L494">
        <v>1.32</v>
      </c>
      <c r="M494" s="37">
        <v>35897</v>
      </c>
      <c r="N494" t="s">
        <v>3328</v>
      </c>
      <c r="O494" t="s">
        <v>3306</v>
      </c>
    </row>
    <row r="495" spans="1:16" ht="15.75" customHeight="1">
      <c r="A495">
        <v>11</v>
      </c>
      <c r="B495" t="s">
        <v>3418</v>
      </c>
      <c r="C495" s="38">
        <v>2003</v>
      </c>
      <c r="D495">
        <v>38</v>
      </c>
      <c r="E495">
        <v>13</v>
      </c>
      <c r="F495">
        <v>10</v>
      </c>
      <c r="G495">
        <v>15</v>
      </c>
      <c r="H495">
        <v>48</v>
      </c>
      <c r="I495">
        <v>44</v>
      </c>
      <c r="J495">
        <v>4</v>
      </c>
      <c r="K495">
        <v>49</v>
      </c>
      <c r="L495">
        <v>1.29</v>
      </c>
      <c r="M495" s="37">
        <v>31025</v>
      </c>
      <c r="N495" t="s">
        <v>3329</v>
      </c>
      <c r="O495" t="s">
        <v>3075</v>
      </c>
    </row>
    <row r="496" spans="1:16" ht="15.75" customHeight="1">
      <c r="A496">
        <v>12</v>
      </c>
      <c r="B496" t="s">
        <v>3421</v>
      </c>
      <c r="C496" s="38">
        <v>2003</v>
      </c>
      <c r="D496">
        <v>38</v>
      </c>
      <c r="E496">
        <v>14</v>
      </c>
      <c r="F496">
        <v>7</v>
      </c>
      <c r="G496">
        <v>17</v>
      </c>
      <c r="H496">
        <v>45</v>
      </c>
      <c r="I496">
        <v>56</v>
      </c>
      <c r="J496">
        <v>-11</v>
      </c>
      <c r="K496">
        <v>49</v>
      </c>
      <c r="L496">
        <v>1.29</v>
      </c>
      <c r="M496" s="37">
        <v>26258</v>
      </c>
      <c r="N496" t="s">
        <v>3299</v>
      </c>
      <c r="O496" t="s">
        <v>3280</v>
      </c>
    </row>
    <row r="497" spans="1:16" ht="15.75" customHeight="1">
      <c r="A497">
        <v>13</v>
      </c>
      <c r="B497" t="s">
        <v>3415</v>
      </c>
      <c r="C497" s="38">
        <v>2003</v>
      </c>
      <c r="D497">
        <v>38</v>
      </c>
      <c r="E497">
        <v>13</v>
      </c>
      <c r="F497">
        <v>9</v>
      </c>
      <c r="G497">
        <v>16</v>
      </c>
      <c r="H497">
        <v>41</v>
      </c>
      <c r="I497">
        <v>49</v>
      </c>
      <c r="J497">
        <v>-8</v>
      </c>
      <c r="K497">
        <v>48</v>
      </c>
      <c r="L497">
        <v>1.26</v>
      </c>
      <c r="M497" s="37">
        <v>28831</v>
      </c>
      <c r="N497" t="s">
        <v>3330</v>
      </c>
      <c r="O497" t="s">
        <v>3331</v>
      </c>
    </row>
    <row r="498" spans="1:16" ht="15.75" customHeight="1">
      <c r="A498">
        <v>14</v>
      </c>
      <c r="B498" t="s">
        <v>3408</v>
      </c>
      <c r="C498" s="38">
        <v>2003</v>
      </c>
      <c r="D498">
        <v>38</v>
      </c>
      <c r="E498">
        <v>13</v>
      </c>
      <c r="F498">
        <v>9</v>
      </c>
      <c r="G498">
        <v>16</v>
      </c>
      <c r="H498">
        <v>41</v>
      </c>
      <c r="I498">
        <v>50</v>
      </c>
      <c r="J498">
        <v>-9</v>
      </c>
      <c r="K498">
        <v>48</v>
      </c>
      <c r="L498">
        <v>1.26</v>
      </c>
      <c r="M498" s="37">
        <v>16707</v>
      </c>
      <c r="N498" t="s">
        <v>3332</v>
      </c>
      <c r="O498" t="s">
        <v>3116</v>
      </c>
    </row>
    <row r="499" spans="1:16" ht="15.75" customHeight="1">
      <c r="A499">
        <v>15</v>
      </c>
      <c r="B499" t="s">
        <v>3423</v>
      </c>
      <c r="C499" s="38">
        <v>2003</v>
      </c>
      <c r="D499">
        <v>38</v>
      </c>
      <c r="E499">
        <v>14</v>
      </c>
      <c r="F499">
        <v>5</v>
      </c>
      <c r="G499">
        <v>19</v>
      </c>
      <c r="H499">
        <v>58</v>
      </c>
      <c r="I499">
        <v>57</v>
      </c>
      <c r="J499">
        <v>1</v>
      </c>
      <c r="K499">
        <v>47</v>
      </c>
      <c r="L499">
        <v>1.24</v>
      </c>
      <c r="M499" s="37">
        <v>39120</v>
      </c>
      <c r="N499" t="s">
        <v>3333</v>
      </c>
      <c r="O499" t="s">
        <v>3112</v>
      </c>
    </row>
    <row r="500" spans="1:16" ht="15.75" customHeight="1">
      <c r="A500">
        <v>16</v>
      </c>
      <c r="B500" t="s">
        <v>3403</v>
      </c>
      <c r="C500" s="38">
        <v>2003</v>
      </c>
      <c r="D500">
        <v>38</v>
      </c>
      <c r="E500">
        <v>12</v>
      </c>
      <c r="F500">
        <v>9</v>
      </c>
      <c r="G500">
        <v>17</v>
      </c>
      <c r="H500">
        <v>42</v>
      </c>
      <c r="I500">
        <v>47</v>
      </c>
      <c r="J500">
        <v>-5</v>
      </c>
      <c r="K500">
        <v>45</v>
      </c>
      <c r="L500">
        <v>1.18</v>
      </c>
      <c r="M500" s="37">
        <v>34975</v>
      </c>
      <c r="N500" t="s">
        <v>3334</v>
      </c>
      <c r="O500" t="s">
        <v>3335</v>
      </c>
    </row>
    <row r="501" spans="1:16" ht="15.75" customHeight="1">
      <c r="A501">
        <v>17</v>
      </c>
      <c r="B501" t="s">
        <v>3412</v>
      </c>
      <c r="C501" s="38">
        <v>2003</v>
      </c>
      <c r="D501">
        <v>38</v>
      </c>
      <c r="E501">
        <v>10</v>
      </c>
      <c r="F501">
        <v>14</v>
      </c>
      <c r="G501">
        <v>14</v>
      </c>
      <c r="H501">
        <v>41</v>
      </c>
      <c r="I501">
        <v>51</v>
      </c>
      <c r="J501">
        <v>-10</v>
      </c>
      <c r="K501">
        <v>44</v>
      </c>
      <c r="L501">
        <v>1.1599999999999999</v>
      </c>
      <c r="M501" s="37">
        <v>25012</v>
      </c>
      <c r="N501" t="s">
        <v>3336</v>
      </c>
      <c r="O501" t="s">
        <v>3071</v>
      </c>
    </row>
    <row r="502" spans="1:16" ht="15.75" customHeight="1">
      <c r="A502">
        <v>18</v>
      </c>
      <c r="B502" t="s">
        <v>3398</v>
      </c>
      <c r="C502" s="38">
        <v>2003</v>
      </c>
      <c r="D502">
        <v>38</v>
      </c>
      <c r="E502">
        <v>10</v>
      </c>
      <c r="F502">
        <v>12</v>
      </c>
      <c r="G502">
        <v>16</v>
      </c>
      <c r="H502">
        <v>42</v>
      </c>
      <c r="I502">
        <v>59</v>
      </c>
      <c r="J502">
        <v>-17</v>
      </c>
      <c r="K502">
        <v>42</v>
      </c>
      <c r="L502">
        <v>1.1100000000000001</v>
      </c>
      <c r="M502" s="37">
        <v>34432</v>
      </c>
      <c r="N502" t="s">
        <v>3337</v>
      </c>
      <c r="O502" t="s">
        <v>3167</v>
      </c>
      <c r="P502" t="s">
        <v>894</v>
      </c>
    </row>
    <row r="503" spans="1:16" ht="15.75" customHeight="1">
      <c r="A503">
        <v>19</v>
      </c>
      <c r="B503" t="s">
        <v>3399</v>
      </c>
      <c r="C503" s="38">
        <v>2003</v>
      </c>
      <c r="D503">
        <v>38</v>
      </c>
      <c r="E503">
        <v>6</v>
      </c>
      <c r="F503">
        <v>8</v>
      </c>
      <c r="G503">
        <v>24</v>
      </c>
      <c r="H503">
        <v>29</v>
      </c>
      <c r="I503">
        <v>65</v>
      </c>
      <c r="J503">
        <v>-36</v>
      </c>
      <c r="K503">
        <v>26</v>
      </c>
      <c r="L503">
        <v>0.68</v>
      </c>
      <c r="M503" s="37">
        <v>26731</v>
      </c>
      <c r="N503" t="s">
        <v>3338</v>
      </c>
      <c r="O503" t="s">
        <v>3287</v>
      </c>
      <c r="P503" t="s">
        <v>894</v>
      </c>
    </row>
    <row r="504" spans="1:16" ht="15.75" customHeight="1">
      <c r="A504">
        <v>20</v>
      </c>
      <c r="B504" t="s">
        <v>3402</v>
      </c>
      <c r="C504" s="38">
        <v>2003</v>
      </c>
      <c r="D504">
        <v>38</v>
      </c>
      <c r="E504">
        <v>4</v>
      </c>
      <c r="F504">
        <v>7</v>
      </c>
      <c r="G504">
        <v>27</v>
      </c>
      <c r="H504">
        <v>21</v>
      </c>
      <c r="I504">
        <v>65</v>
      </c>
      <c r="J504">
        <v>-44</v>
      </c>
      <c r="K504">
        <v>19</v>
      </c>
      <c r="L504">
        <v>0.5</v>
      </c>
      <c r="M504" s="37">
        <v>39698</v>
      </c>
      <c r="N504" t="s">
        <v>3339</v>
      </c>
      <c r="O504" t="s">
        <v>3152</v>
      </c>
      <c r="P504" t="s">
        <v>894</v>
      </c>
    </row>
    <row r="506" spans="1:16" ht="15.75" customHeight="1">
      <c r="A506" t="s">
        <v>820</v>
      </c>
      <c r="B506" t="s">
        <v>821</v>
      </c>
      <c r="C506" s="31" t="s">
        <v>2</v>
      </c>
      <c r="D506" t="s">
        <v>822</v>
      </c>
      <c r="E506" t="s">
        <v>823</v>
      </c>
      <c r="F506" t="s">
        <v>824</v>
      </c>
      <c r="G506" t="s">
        <v>825</v>
      </c>
      <c r="H506" t="s">
        <v>826</v>
      </c>
      <c r="I506" t="s">
        <v>827</v>
      </c>
      <c r="J506" t="s">
        <v>828</v>
      </c>
      <c r="K506" t="s">
        <v>829</v>
      </c>
      <c r="L506" t="s">
        <v>830</v>
      </c>
      <c r="M506" t="s">
        <v>835</v>
      </c>
      <c r="N506" t="s">
        <v>836</v>
      </c>
      <c r="O506" t="s">
        <v>837</v>
      </c>
      <c r="P506" t="s">
        <v>838</v>
      </c>
    </row>
    <row r="507" spans="1:16" ht="15.75" customHeight="1">
      <c r="A507">
        <v>1</v>
      </c>
      <c r="B507" t="s">
        <v>3389</v>
      </c>
      <c r="C507" s="38">
        <v>2002</v>
      </c>
      <c r="D507">
        <v>38</v>
      </c>
      <c r="E507">
        <v>26</v>
      </c>
      <c r="F507">
        <v>9</v>
      </c>
      <c r="G507">
        <v>3</v>
      </c>
      <c r="H507">
        <v>79</v>
      </c>
      <c r="I507">
        <v>36</v>
      </c>
      <c r="J507">
        <v>43</v>
      </c>
      <c r="K507">
        <v>87</v>
      </c>
      <c r="L507">
        <v>2.29</v>
      </c>
      <c r="M507" s="37">
        <v>38055</v>
      </c>
      <c r="N507" t="s">
        <v>3317</v>
      </c>
      <c r="O507" t="s">
        <v>3309</v>
      </c>
      <c r="P507" t="s">
        <v>842</v>
      </c>
    </row>
    <row r="508" spans="1:16" ht="15.75" customHeight="1">
      <c r="A508">
        <v>2</v>
      </c>
      <c r="B508" t="s">
        <v>3392</v>
      </c>
      <c r="C508" s="38">
        <v>2002</v>
      </c>
      <c r="D508">
        <v>38</v>
      </c>
      <c r="E508">
        <v>24</v>
      </c>
      <c r="F508">
        <v>8</v>
      </c>
      <c r="G508">
        <v>6</v>
      </c>
      <c r="H508">
        <v>67</v>
      </c>
      <c r="I508">
        <v>30</v>
      </c>
      <c r="J508">
        <v>37</v>
      </c>
      <c r="K508">
        <v>80</v>
      </c>
      <c r="L508">
        <v>2.11</v>
      </c>
      <c r="M508" s="37">
        <v>43389</v>
      </c>
      <c r="N508" t="s">
        <v>3320</v>
      </c>
      <c r="O508" t="s">
        <v>3271</v>
      </c>
      <c r="P508" t="s">
        <v>842</v>
      </c>
    </row>
    <row r="509" spans="1:16" ht="15.75" customHeight="1">
      <c r="A509">
        <v>3</v>
      </c>
      <c r="B509" t="s">
        <v>3390</v>
      </c>
      <c r="C509" s="38">
        <v>2002</v>
      </c>
      <c r="D509">
        <v>38</v>
      </c>
      <c r="E509">
        <v>24</v>
      </c>
      <c r="F509">
        <v>5</v>
      </c>
      <c r="G509">
        <v>9</v>
      </c>
      <c r="H509">
        <v>87</v>
      </c>
      <c r="I509">
        <v>45</v>
      </c>
      <c r="J509">
        <v>42</v>
      </c>
      <c r="K509">
        <v>77</v>
      </c>
      <c r="L509">
        <v>2.0299999999999998</v>
      </c>
      <c r="M509" s="37">
        <v>67558</v>
      </c>
      <c r="N509" t="s">
        <v>3340</v>
      </c>
      <c r="O509" t="s">
        <v>2867</v>
      </c>
      <c r="P509" t="s">
        <v>842</v>
      </c>
    </row>
    <row r="510" spans="1:16" ht="15.75" customHeight="1">
      <c r="A510">
        <v>4</v>
      </c>
      <c r="B510" t="s">
        <v>3401</v>
      </c>
      <c r="C510" s="38">
        <v>2002</v>
      </c>
      <c r="D510">
        <v>38</v>
      </c>
      <c r="E510">
        <v>21</v>
      </c>
      <c r="F510">
        <v>8</v>
      </c>
      <c r="G510">
        <v>9</v>
      </c>
      <c r="H510">
        <v>74</v>
      </c>
      <c r="I510">
        <v>52</v>
      </c>
      <c r="J510">
        <v>22</v>
      </c>
      <c r="K510">
        <v>71</v>
      </c>
      <c r="L510">
        <v>1.87</v>
      </c>
      <c r="M510" s="37">
        <v>51373</v>
      </c>
      <c r="N510" t="s">
        <v>3341</v>
      </c>
      <c r="O510" t="s">
        <v>3106</v>
      </c>
      <c r="P510" t="s">
        <v>842</v>
      </c>
    </row>
    <row r="511" spans="1:16" ht="15.75" customHeight="1">
      <c r="A511">
        <v>5</v>
      </c>
      <c r="B511" t="s">
        <v>3423</v>
      </c>
      <c r="C511" s="38">
        <v>2002</v>
      </c>
      <c r="D511">
        <v>38</v>
      </c>
      <c r="E511">
        <v>18</v>
      </c>
      <c r="F511">
        <v>12</v>
      </c>
      <c r="G511">
        <v>8</v>
      </c>
      <c r="H511">
        <v>53</v>
      </c>
      <c r="I511">
        <v>37</v>
      </c>
      <c r="J511">
        <v>16</v>
      </c>
      <c r="K511">
        <v>66</v>
      </c>
      <c r="L511">
        <v>1.74</v>
      </c>
      <c r="M511" s="37">
        <v>39789</v>
      </c>
      <c r="N511" t="s">
        <v>3342</v>
      </c>
      <c r="O511" t="s">
        <v>3251</v>
      </c>
      <c r="P511" t="s">
        <v>2820</v>
      </c>
    </row>
    <row r="512" spans="1:16" ht="15.75" customHeight="1">
      <c r="A512">
        <v>6</v>
      </c>
      <c r="B512" t="s">
        <v>3387</v>
      </c>
      <c r="C512" s="38">
        <v>2002</v>
      </c>
      <c r="D512">
        <v>38</v>
      </c>
      <c r="E512">
        <v>17</v>
      </c>
      <c r="F512">
        <v>13</v>
      </c>
      <c r="G512">
        <v>8</v>
      </c>
      <c r="H512">
        <v>66</v>
      </c>
      <c r="I512">
        <v>38</v>
      </c>
      <c r="J512">
        <v>28</v>
      </c>
      <c r="K512">
        <v>64</v>
      </c>
      <c r="L512">
        <v>1.68</v>
      </c>
      <c r="M512" s="37">
        <v>39030</v>
      </c>
      <c r="N512" t="s">
        <v>3343</v>
      </c>
      <c r="O512" t="s">
        <v>3294</v>
      </c>
      <c r="P512" t="s">
        <v>3344</v>
      </c>
    </row>
    <row r="513" spans="1:16" ht="15.75" customHeight="1">
      <c r="A513">
        <v>7</v>
      </c>
      <c r="B513" t="s">
        <v>3398</v>
      </c>
      <c r="C513" s="38">
        <v>2002</v>
      </c>
      <c r="D513">
        <v>38</v>
      </c>
      <c r="E513">
        <v>15</v>
      </c>
      <c r="F513">
        <v>8</v>
      </c>
      <c r="G513">
        <v>15</v>
      </c>
      <c r="H513">
        <v>48</v>
      </c>
      <c r="I513">
        <v>57</v>
      </c>
      <c r="J513">
        <v>-9</v>
      </c>
      <c r="K513">
        <v>53</v>
      </c>
      <c r="L513">
        <v>1.39</v>
      </c>
      <c r="M513" s="37">
        <v>31569</v>
      </c>
      <c r="N513" t="s">
        <v>3345</v>
      </c>
      <c r="O513" t="s">
        <v>3167</v>
      </c>
    </row>
    <row r="514" spans="1:16" ht="15.75" customHeight="1">
      <c r="A514">
        <v>8</v>
      </c>
      <c r="B514" t="s">
        <v>3403</v>
      </c>
      <c r="C514" s="38">
        <v>2002</v>
      </c>
      <c r="D514">
        <v>38</v>
      </c>
      <c r="E514">
        <v>12</v>
      </c>
      <c r="F514">
        <v>14</v>
      </c>
      <c r="G514">
        <v>12</v>
      </c>
      <c r="H514">
        <v>46</v>
      </c>
      <c r="I514">
        <v>47</v>
      </c>
      <c r="J514">
        <v>-1</v>
      </c>
      <c r="K514">
        <v>50</v>
      </c>
      <c r="L514">
        <v>1.32</v>
      </c>
      <c r="M514" s="37">
        <v>35012</v>
      </c>
      <c r="N514" t="s">
        <v>3346</v>
      </c>
      <c r="O514" t="s">
        <v>3326</v>
      </c>
      <c r="P514" t="s">
        <v>2824</v>
      </c>
    </row>
    <row r="515" spans="1:16" ht="15.75" customHeight="1">
      <c r="A515">
        <v>9</v>
      </c>
      <c r="B515" t="s">
        <v>3391</v>
      </c>
      <c r="C515" s="38">
        <v>2002</v>
      </c>
      <c r="D515">
        <v>38</v>
      </c>
      <c r="E515">
        <v>14</v>
      </c>
      <c r="F515">
        <v>8</v>
      </c>
      <c r="G515">
        <v>16</v>
      </c>
      <c r="H515">
        <v>49</v>
      </c>
      <c r="I515">
        <v>53</v>
      </c>
      <c r="J515">
        <v>-4</v>
      </c>
      <c r="K515">
        <v>50</v>
      </c>
      <c r="L515">
        <v>1.32</v>
      </c>
      <c r="M515" s="37">
        <v>35001</v>
      </c>
      <c r="N515" t="s">
        <v>3347</v>
      </c>
      <c r="O515" t="s">
        <v>3348</v>
      </c>
    </row>
    <row r="516" spans="1:16" ht="15.75" customHeight="1">
      <c r="A516">
        <v>10</v>
      </c>
      <c r="B516" t="s">
        <v>3413</v>
      </c>
      <c r="C516" s="38">
        <v>2002</v>
      </c>
      <c r="D516">
        <v>38</v>
      </c>
      <c r="E516">
        <v>12</v>
      </c>
      <c r="F516">
        <v>10</v>
      </c>
      <c r="G516">
        <v>16</v>
      </c>
      <c r="H516">
        <v>55</v>
      </c>
      <c r="I516">
        <v>51</v>
      </c>
      <c r="J516">
        <v>4</v>
      </c>
      <c r="K516">
        <v>46</v>
      </c>
      <c r="L516">
        <v>1.21</v>
      </c>
      <c r="M516" s="37">
        <v>25976</v>
      </c>
      <c r="N516" t="s">
        <v>3349</v>
      </c>
      <c r="O516" t="s">
        <v>3092</v>
      </c>
      <c r="P516" t="s">
        <v>2837</v>
      </c>
    </row>
    <row r="517" spans="1:16" ht="15.75" customHeight="1">
      <c r="A517">
        <v>11</v>
      </c>
      <c r="B517" t="s">
        <v>3393</v>
      </c>
      <c r="C517" s="38">
        <v>2002</v>
      </c>
      <c r="D517">
        <v>38</v>
      </c>
      <c r="E517">
        <v>12</v>
      </c>
      <c r="F517">
        <v>9</v>
      </c>
      <c r="G517">
        <v>17</v>
      </c>
      <c r="H517">
        <v>46</v>
      </c>
      <c r="I517">
        <v>54</v>
      </c>
      <c r="J517">
        <v>-8</v>
      </c>
      <c r="K517">
        <v>45</v>
      </c>
      <c r="L517">
        <v>1.18</v>
      </c>
      <c r="M517" s="37">
        <v>30633</v>
      </c>
      <c r="N517" t="s">
        <v>3350</v>
      </c>
      <c r="O517" t="s">
        <v>3351</v>
      </c>
    </row>
    <row r="518" spans="1:16" ht="15.75" customHeight="1">
      <c r="A518">
        <v>12</v>
      </c>
      <c r="B518" t="s">
        <v>3418</v>
      </c>
      <c r="C518" s="38">
        <v>2002</v>
      </c>
      <c r="D518">
        <v>38</v>
      </c>
      <c r="E518">
        <v>12</v>
      </c>
      <c r="F518">
        <v>9</v>
      </c>
      <c r="G518">
        <v>17</v>
      </c>
      <c r="H518">
        <v>35</v>
      </c>
      <c r="I518">
        <v>47</v>
      </c>
      <c r="J518">
        <v>-12</v>
      </c>
      <c r="K518">
        <v>45</v>
      </c>
      <c r="L518">
        <v>1.18</v>
      </c>
      <c r="M518" s="37">
        <v>28461</v>
      </c>
      <c r="N518" t="s">
        <v>3352</v>
      </c>
      <c r="O518" t="s">
        <v>3075</v>
      </c>
    </row>
    <row r="519" spans="1:16" ht="15.75" customHeight="1">
      <c r="A519">
        <v>13</v>
      </c>
      <c r="B519" t="s">
        <v>3408</v>
      </c>
      <c r="C519" s="38">
        <v>2002</v>
      </c>
      <c r="D519">
        <v>38</v>
      </c>
      <c r="E519">
        <v>10</v>
      </c>
      <c r="F519">
        <v>14</v>
      </c>
      <c r="G519">
        <v>14</v>
      </c>
      <c r="H519">
        <v>36</v>
      </c>
      <c r="I519">
        <v>44</v>
      </c>
      <c r="J519">
        <v>-8</v>
      </c>
      <c r="K519">
        <v>44</v>
      </c>
      <c r="L519">
        <v>1.1599999999999999</v>
      </c>
      <c r="M519" s="37">
        <v>19343</v>
      </c>
      <c r="N519" t="s">
        <v>3353</v>
      </c>
      <c r="O519" t="s">
        <v>3116</v>
      </c>
      <c r="P519" t="s">
        <v>2824</v>
      </c>
    </row>
    <row r="520" spans="1:16" ht="15.75" customHeight="1">
      <c r="A520">
        <v>14</v>
      </c>
      <c r="B520" t="s">
        <v>3421</v>
      </c>
      <c r="C520" s="38">
        <v>2002</v>
      </c>
      <c r="D520">
        <v>38</v>
      </c>
      <c r="E520">
        <v>10</v>
      </c>
      <c r="F520">
        <v>14</v>
      </c>
      <c r="G520">
        <v>14</v>
      </c>
      <c r="H520">
        <v>38</v>
      </c>
      <c r="I520">
        <v>49</v>
      </c>
      <c r="J520">
        <v>-11</v>
      </c>
      <c r="K520">
        <v>44</v>
      </c>
      <c r="L520">
        <v>1.1599999999999999</v>
      </c>
      <c r="M520" s="37">
        <v>24165</v>
      </c>
      <c r="N520" t="s">
        <v>3354</v>
      </c>
      <c r="O520" t="s">
        <v>3280</v>
      </c>
    </row>
    <row r="521" spans="1:16" ht="15.75" customHeight="1">
      <c r="A521">
        <v>15</v>
      </c>
      <c r="B521" t="s">
        <v>3397</v>
      </c>
      <c r="C521" s="38">
        <v>2002</v>
      </c>
      <c r="D521">
        <v>38</v>
      </c>
      <c r="E521">
        <v>11</v>
      </c>
      <c r="F521">
        <v>10</v>
      </c>
      <c r="G521">
        <v>17</v>
      </c>
      <c r="H521">
        <v>45</v>
      </c>
      <c r="I521">
        <v>57</v>
      </c>
      <c r="J521">
        <v>-12</v>
      </c>
      <c r="K521">
        <v>43</v>
      </c>
      <c r="L521">
        <v>1.1299999999999999</v>
      </c>
      <c r="M521" s="37">
        <v>33582</v>
      </c>
      <c r="N521" t="s">
        <v>3355</v>
      </c>
      <c r="O521" t="s">
        <v>3356</v>
      </c>
    </row>
    <row r="522" spans="1:16" ht="15.75" customHeight="1">
      <c r="A522">
        <v>16</v>
      </c>
      <c r="B522" t="s">
        <v>3412</v>
      </c>
      <c r="C522" s="38">
        <v>2002</v>
      </c>
      <c r="D522">
        <v>38</v>
      </c>
      <c r="E522">
        <v>9</v>
      </c>
      <c r="F522">
        <v>13</v>
      </c>
      <c r="G522">
        <v>16</v>
      </c>
      <c r="H522">
        <v>44</v>
      </c>
      <c r="I522">
        <v>62</v>
      </c>
      <c r="J522">
        <v>-18</v>
      </c>
      <c r="K522">
        <v>40</v>
      </c>
      <c r="L522">
        <v>1.05</v>
      </c>
      <c r="M522" s="37">
        <v>25098</v>
      </c>
      <c r="N522" t="s">
        <v>3357</v>
      </c>
      <c r="O522" t="s">
        <v>3071</v>
      </c>
    </row>
    <row r="523" spans="1:16" ht="15.75" customHeight="1">
      <c r="A523">
        <v>17</v>
      </c>
      <c r="B523" t="s">
        <v>3402</v>
      </c>
      <c r="C523" s="38">
        <v>2002</v>
      </c>
      <c r="D523">
        <v>38</v>
      </c>
      <c r="E523">
        <v>10</v>
      </c>
      <c r="F523">
        <v>10</v>
      </c>
      <c r="G523">
        <v>18</v>
      </c>
      <c r="H523">
        <v>29</v>
      </c>
      <c r="I523">
        <v>51</v>
      </c>
      <c r="J523">
        <v>-22</v>
      </c>
      <c r="K523">
        <v>40</v>
      </c>
      <c r="L523">
        <v>1.05</v>
      </c>
      <c r="M523" s="37">
        <v>46744</v>
      </c>
      <c r="N523" t="s">
        <v>3358</v>
      </c>
      <c r="O523" t="s">
        <v>3152</v>
      </c>
    </row>
    <row r="524" spans="1:16" ht="15.75" customHeight="1">
      <c r="A524">
        <v>18</v>
      </c>
      <c r="B524" t="s">
        <v>3424</v>
      </c>
      <c r="C524" s="38">
        <v>2002</v>
      </c>
      <c r="D524">
        <v>38</v>
      </c>
      <c r="E524">
        <v>9</v>
      </c>
      <c r="F524">
        <v>9</v>
      </c>
      <c r="G524">
        <v>20</v>
      </c>
      <c r="H524">
        <v>41</v>
      </c>
      <c r="I524">
        <v>64</v>
      </c>
      <c r="J524">
        <v>-23</v>
      </c>
      <c r="K524">
        <v>36</v>
      </c>
      <c r="L524">
        <v>0.95</v>
      </c>
      <c r="M524" s="37">
        <v>24420</v>
      </c>
      <c r="N524" t="s">
        <v>3359</v>
      </c>
      <c r="O524" t="s">
        <v>3360</v>
      </c>
      <c r="P524" t="s">
        <v>3361</v>
      </c>
    </row>
    <row r="525" spans="1:16" ht="15.75" customHeight="1">
      <c r="A525">
        <v>19</v>
      </c>
      <c r="B525" t="s">
        <v>3419</v>
      </c>
      <c r="C525" s="38">
        <v>2002</v>
      </c>
      <c r="D525">
        <v>38</v>
      </c>
      <c r="E525">
        <v>8</v>
      </c>
      <c r="F525">
        <v>6</v>
      </c>
      <c r="G525">
        <v>24</v>
      </c>
      <c r="H525">
        <v>33</v>
      </c>
      <c r="I525">
        <v>63</v>
      </c>
      <c r="J525">
        <v>-30</v>
      </c>
      <c r="K525">
        <v>30</v>
      </c>
      <c r="L525">
        <v>0.79</v>
      </c>
      <c r="M525" s="37">
        <v>29816</v>
      </c>
      <c r="N525" t="s">
        <v>3362</v>
      </c>
      <c r="O525" t="s">
        <v>3363</v>
      </c>
      <c r="P525" t="s">
        <v>894</v>
      </c>
    </row>
    <row r="526" spans="1:16" ht="15.75" customHeight="1">
      <c r="A526">
        <v>20</v>
      </c>
      <c r="B526" t="s">
        <v>3400</v>
      </c>
      <c r="C526" s="38">
        <v>2002</v>
      </c>
      <c r="D526">
        <v>38</v>
      </c>
      <c r="E526">
        <v>5</v>
      </c>
      <c r="F526">
        <v>13</v>
      </c>
      <c r="G526">
        <v>20</v>
      </c>
      <c r="H526">
        <v>30</v>
      </c>
      <c r="I526">
        <v>64</v>
      </c>
      <c r="J526">
        <v>-34</v>
      </c>
      <c r="K526">
        <v>28</v>
      </c>
      <c r="L526">
        <v>0.74</v>
      </c>
      <c r="M526" s="37">
        <v>19913</v>
      </c>
      <c r="N526" t="s">
        <v>3364</v>
      </c>
      <c r="O526" t="s">
        <v>3312</v>
      </c>
      <c r="P526" t="s">
        <v>894</v>
      </c>
    </row>
    <row r="528" spans="1:16" ht="15.75" customHeight="1">
      <c r="A528" t="s">
        <v>820</v>
      </c>
      <c r="B528" t="s">
        <v>821</v>
      </c>
      <c r="C528" s="31" t="s">
        <v>2</v>
      </c>
      <c r="D528" t="s">
        <v>822</v>
      </c>
      <c r="E528" t="s">
        <v>823</v>
      </c>
      <c r="F528" t="s">
        <v>824</v>
      </c>
      <c r="G528" t="s">
        <v>825</v>
      </c>
      <c r="H528" t="s">
        <v>826</v>
      </c>
      <c r="I528" t="s">
        <v>827</v>
      </c>
      <c r="J528" t="s">
        <v>828</v>
      </c>
      <c r="K528" t="s">
        <v>829</v>
      </c>
      <c r="L528" t="s">
        <v>830</v>
      </c>
      <c r="M528" t="s">
        <v>835</v>
      </c>
      <c r="N528" t="s">
        <v>836</v>
      </c>
      <c r="O528" t="s">
        <v>837</v>
      </c>
      <c r="P528" t="s">
        <v>838</v>
      </c>
    </row>
    <row r="529" spans="1:16" ht="15.75" customHeight="1">
      <c r="A529">
        <v>1</v>
      </c>
      <c r="B529" t="s">
        <v>3390</v>
      </c>
      <c r="C529" s="38">
        <v>2001</v>
      </c>
      <c r="D529">
        <v>38</v>
      </c>
      <c r="E529">
        <v>24</v>
      </c>
      <c r="F529">
        <v>8</v>
      </c>
      <c r="G529">
        <v>6</v>
      </c>
      <c r="H529">
        <v>79</v>
      </c>
      <c r="I529">
        <v>31</v>
      </c>
      <c r="J529">
        <v>48</v>
      </c>
      <c r="K529">
        <v>80</v>
      </c>
      <c r="L529">
        <v>2.11</v>
      </c>
      <c r="M529" s="37">
        <v>67490</v>
      </c>
      <c r="N529" t="s">
        <v>3365</v>
      </c>
      <c r="O529" t="s">
        <v>2867</v>
      </c>
      <c r="P529" t="s">
        <v>842</v>
      </c>
    </row>
    <row r="530" spans="1:16" ht="15.75" customHeight="1">
      <c r="A530">
        <v>2</v>
      </c>
      <c r="B530" t="s">
        <v>3389</v>
      </c>
      <c r="C530" s="38">
        <v>2001</v>
      </c>
      <c r="D530">
        <v>38</v>
      </c>
      <c r="E530">
        <v>20</v>
      </c>
      <c r="F530">
        <v>10</v>
      </c>
      <c r="G530">
        <v>8</v>
      </c>
      <c r="H530">
        <v>63</v>
      </c>
      <c r="I530">
        <v>38</v>
      </c>
      <c r="J530">
        <v>25</v>
      </c>
      <c r="K530">
        <v>70</v>
      </c>
      <c r="L530">
        <v>1.84</v>
      </c>
      <c r="M530" s="37">
        <v>37974</v>
      </c>
      <c r="N530" t="s">
        <v>3366</v>
      </c>
      <c r="O530" t="s">
        <v>3309</v>
      </c>
      <c r="P530" t="s">
        <v>842</v>
      </c>
    </row>
    <row r="531" spans="1:16" ht="15.75" customHeight="1">
      <c r="A531">
        <v>3</v>
      </c>
      <c r="B531" t="s">
        <v>3392</v>
      </c>
      <c r="C531" s="38">
        <v>2001</v>
      </c>
      <c r="D531">
        <v>38</v>
      </c>
      <c r="E531">
        <v>20</v>
      </c>
      <c r="F531">
        <v>9</v>
      </c>
      <c r="G531">
        <v>9</v>
      </c>
      <c r="H531">
        <v>71</v>
      </c>
      <c r="I531">
        <v>39</v>
      </c>
      <c r="J531">
        <v>32</v>
      </c>
      <c r="K531">
        <v>69</v>
      </c>
      <c r="L531">
        <v>1.82</v>
      </c>
      <c r="M531" s="37">
        <v>43699</v>
      </c>
      <c r="N531" t="s">
        <v>3296</v>
      </c>
      <c r="O531" t="s">
        <v>3367</v>
      </c>
      <c r="P531" t="s">
        <v>842</v>
      </c>
    </row>
    <row r="532" spans="1:16" ht="15.75" customHeight="1">
      <c r="A532">
        <v>4</v>
      </c>
      <c r="B532" t="s">
        <v>3423</v>
      </c>
      <c r="C532" s="38">
        <v>2001</v>
      </c>
      <c r="D532">
        <v>38</v>
      </c>
      <c r="E532">
        <v>20</v>
      </c>
      <c r="F532">
        <v>8</v>
      </c>
      <c r="G532">
        <v>10</v>
      </c>
      <c r="H532">
        <v>64</v>
      </c>
      <c r="I532">
        <v>43</v>
      </c>
      <c r="J532">
        <v>21</v>
      </c>
      <c r="K532">
        <v>68</v>
      </c>
      <c r="L532">
        <v>1.79</v>
      </c>
      <c r="M532" s="37">
        <v>38974</v>
      </c>
      <c r="N532" t="s">
        <v>3368</v>
      </c>
      <c r="O532" t="s">
        <v>3251</v>
      </c>
      <c r="P532" t="s">
        <v>2820</v>
      </c>
    </row>
    <row r="533" spans="1:16" ht="15.75" customHeight="1">
      <c r="A533">
        <v>5</v>
      </c>
      <c r="B533" t="s">
        <v>3424</v>
      </c>
      <c r="C533" s="38">
        <v>2001</v>
      </c>
      <c r="D533">
        <v>38</v>
      </c>
      <c r="E533">
        <v>20</v>
      </c>
      <c r="F533">
        <v>6</v>
      </c>
      <c r="G533">
        <v>12</v>
      </c>
      <c r="H533">
        <v>57</v>
      </c>
      <c r="I533">
        <v>42</v>
      </c>
      <c r="J533">
        <v>15</v>
      </c>
      <c r="K533">
        <v>66</v>
      </c>
      <c r="L533">
        <v>1.74</v>
      </c>
      <c r="M533" s="37">
        <v>22459</v>
      </c>
      <c r="N533" t="s">
        <v>3369</v>
      </c>
      <c r="O533" t="s">
        <v>3323</v>
      </c>
      <c r="P533" t="s">
        <v>2821</v>
      </c>
    </row>
    <row r="534" spans="1:16" ht="15.75" customHeight="1">
      <c r="A534">
        <v>6</v>
      </c>
      <c r="B534" t="s">
        <v>3387</v>
      </c>
      <c r="C534" s="38">
        <v>2001</v>
      </c>
      <c r="D534">
        <v>38</v>
      </c>
      <c r="E534">
        <v>17</v>
      </c>
      <c r="F534">
        <v>10</v>
      </c>
      <c r="G534">
        <v>11</v>
      </c>
      <c r="H534">
        <v>68</v>
      </c>
      <c r="I534">
        <v>45</v>
      </c>
      <c r="J534">
        <v>23</v>
      </c>
      <c r="K534">
        <v>61</v>
      </c>
      <c r="L534">
        <v>1.61</v>
      </c>
      <c r="M534" s="37">
        <v>34700</v>
      </c>
      <c r="N534" t="s">
        <v>3343</v>
      </c>
      <c r="O534" t="s">
        <v>3294</v>
      </c>
      <c r="P534" t="s">
        <v>3222</v>
      </c>
    </row>
    <row r="535" spans="1:16" ht="15.75" customHeight="1">
      <c r="A535">
        <v>7</v>
      </c>
      <c r="B535" t="s">
        <v>3402</v>
      </c>
      <c r="C535" s="38">
        <v>2001</v>
      </c>
      <c r="D535">
        <v>38</v>
      </c>
      <c r="E535">
        <v>15</v>
      </c>
      <c r="F535">
        <v>12</v>
      </c>
      <c r="G535">
        <v>11</v>
      </c>
      <c r="H535">
        <v>46</v>
      </c>
      <c r="I535">
        <v>41</v>
      </c>
      <c r="J535">
        <v>5</v>
      </c>
      <c r="K535">
        <v>57</v>
      </c>
      <c r="L535">
        <v>1.5</v>
      </c>
      <c r="M535" s="37">
        <v>46831</v>
      </c>
      <c r="N535" t="s">
        <v>3370</v>
      </c>
      <c r="O535" t="s">
        <v>3152</v>
      </c>
    </row>
    <row r="536" spans="1:16" ht="15.75" customHeight="1">
      <c r="A536">
        <v>8</v>
      </c>
      <c r="B536" t="s">
        <v>3403</v>
      </c>
      <c r="C536" s="38">
        <v>2001</v>
      </c>
      <c r="D536">
        <v>38</v>
      </c>
      <c r="E536">
        <v>13</v>
      </c>
      <c r="F536">
        <v>15</v>
      </c>
      <c r="G536">
        <v>10</v>
      </c>
      <c r="H536">
        <v>46</v>
      </c>
      <c r="I536">
        <v>43</v>
      </c>
      <c r="J536">
        <v>3</v>
      </c>
      <c r="K536">
        <v>54</v>
      </c>
      <c r="L536">
        <v>1.42</v>
      </c>
      <c r="M536" s="37">
        <v>31521</v>
      </c>
      <c r="N536" t="s">
        <v>3371</v>
      </c>
      <c r="O536" t="s">
        <v>3167</v>
      </c>
      <c r="P536" t="s">
        <v>2824</v>
      </c>
    </row>
    <row r="537" spans="1:16" ht="15.75" customHeight="1">
      <c r="A537">
        <v>9</v>
      </c>
      <c r="B537" t="s">
        <v>3421</v>
      </c>
      <c r="C537" s="38">
        <v>2001</v>
      </c>
      <c r="D537">
        <v>38</v>
      </c>
      <c r="E537">
        <v>14</v>
      </c>
      <c r="F537">
        <v>10</v>
      </c>
      <c r="G537">
        <v>14</v>
      </c>
      <c r="H537">
        <v>50</v>
      </c>
      <c r="I537">
        <v>57</v>
      </c>
      <c r="J537">
        <v>-7</v>
      </c>
      <c r="K537">
        <v>52</v>
      </c>
      <c r="L537">
        <v>1.37</v>
      </c>
      <c r="M537" s="37">
        <v>20021</v>
      </c>
      <c r="N537" t="s">
        <v>3372</v>
      </c>
      <c r="O537" t="s">
        <v>3280</v>
      </c>
    </row>
    <row r="538" spans="1:16" ht="15.75" customHeight="1">
      <c r="A538">
        <v>10</v>
      </c>
      <c r="B538" t="s">
        <v>3393</v>
      </c>
      <c r="C538" s="38">
        <v>2001</v>
      </c>
      <c r="D538">
        <v>38</v>
      </c>
      <c r="E538">
        <v>14</v>
      </c>
      <c r="F538">
        <v>10</v>
      </c>
      <c r="G538">
        <v>14</v>
      </c>
      <c r="H538">
        <v>40</v>
      </c>
      <c r="I538">
        <v>48</v>
      </c>
      <c r="J538">
        <v>-8</v>
      </c>
      <c r="K538">
        <v>52</v>
      </c>
      <c r="L538">
        <v>1.37</v>
      </c>
      <c r="M538" s="37">
        <v>15115</v>
      </c>
      <c r="N538" t="s">
        <v>3373</v>
      </c>
      <c r="O538" t="s">
        <v>3351</v>
      </c>
    </row>
    <row r="539" spans="1:16" ht="15.75" customHeight="1">
      <c r="A539">
        <v>11</v>
      </c>
      <c r="B539" t="s">
        <v>3401</v>
      </c>
      <c r="C539" s="38">
        <v>2001</v>
      </c>
      <c r="D539">
        <v>38</v>
      </c>
      <c r="E539">
        <v>14</v>
      </c>
      <c r="F539">
        <v>9</v>
      </c>
      <c r="G539">
        <v>15</v>
      </c>
      <c r="H539">
        <v>44</v>
      </c>
      <c r="I539">
        <v>50</v>
      </c>
      <c r="J539">
        <v>-6</v>
      </c>
      <c r="K539">
        <v>51</v>
      </c>
      <c r="L539">
        <v>1.34</v>
      </c>
      <c r="M539" s="37">
        <v>51309</v>
      </c>
      <c r="N539" t="s">
        <v>3374</v>
      </c>
      <c r="O539" t="s">
        <v>3106</v>
      </c>
      <c r="P539" t="s">
        <v>2824</v>
      </c>
    </row>
    <row r="540" spans="1:16" ht="15.75" customHeight="1">
      <c r="A540">
        <v>12</v>
      </c>
      <c r="B540" t="s">
        <v>3391</v>
      </c>
      <c r="C540" s="38">
        <v>2001</v>
      </c>
      <c r="D540">
        <v>38</v>
      </c>
      <c r="E540">
        <v>13</v>
      </c>
      <c r="F540">
        <v>10</v>
      </c>
      <c r="G540">
        <v>15</v>
      </c>
      <c r="H540">
        <v>47</v>
      </c>
      <c r="I540">
        <v>54</v>
      </c>
      <c r="J540">
        <v>-7</v>
      </c>
      <c r="K540">
        <v>49</v>
      </c>
      <c r="L540">
        <v>1.29</v>
      </c>
      <c r="M540" s="37">
        <v>35195</v>
      </c>
      <c r="N540" t="s">
        <v>3375</v>
      </c>
      <c r="O540" t="s">
        <v>3348</v>
      </c>
    </row>
    <row r="541" spans="1:16" ht="15.75" customHeight="1">
      <c r="A541">
        <v>13</v>
      </c>
      <c r="B541" t="s">
        <v>3400</v>
      </c>
      <c r="C541" s="38">
        <v>2001</v>
      </c>
      <c r="D541">
        <v>38</v>
      </c>
      <c r="E541">
        <v>14</v>
      </c>
      <c r="F541">
        <v>6</v>
      </c>
      <c r="G541">
        <v>18</v>
      </c>
      <c r="H541">
        <v>39</v>
      </c>
      <c r="I541">
        <v>51</v>
      </c>
      <c r="J541">
        <v>-12</v>
      </c>
      <c r="K541">
        <v>48</v>
      </c>
      <c r="L541">
        <v>1.26</v>
      </c>
      <c r="M541" s="37">
        <v>20452</v>
      </c>
      <c r="N541" t="s">
        <v>3376</v>
      </c>
      <c r="O541" t="s">
        <v>3377</v>
      </c>
    </row>
    <row r="542" spans="1:16" ht="15.75" customHeight="1">
      <c r="A542">
        <v>14</v>
      </c>
      <c r="B542" t="s">
        <v>3418</v>
      </c>
      <c r="C542" s="38">
        <v>2001</v>
      </c>
      <c r="D542">
        <v>38</v>
      </c>
      <c r="E542">
        <v>9</v>
      </c>
      <c r="F542">
        <v>15</v>
      </c>
      <c r="G542">
        <v>14</v>
      </c>
      <c r="H542">
        <v>44</v>
      </c>
      <c r="I542">
        <v>44</v>
      </c>
      <c r="J542">
        <v>0</v>
      </c>
      <c r="K542">
        <v>42</v>
      </c>
      <c r="L542">
        <v>1.1100000000000001</v>
      </c>
      <c r="M542" s="37">
        <v>30748</v>
      </c>
      <c r="N542" t="s">
        <v>3378</v>
      </c>
      <c r="O542" t="s">
        <v>3075</v>
      </c>
    </row>
    <row r="543" spans="1:16" ht="15.75" customHeight="1">
      <c r="A543">
        <v>15</v>
      </c>
      <c r="B543" t="s">
        <v>3398</v>
      </c>
      <c r="C543" s="38">
        <v>2001</v>
      </c>
      <c r="D543">
        <v>38</v>
      </c>
      <c r="E543">
        <v>10</v>
      </c>
      <c r="F543">
        <v>12</v>
      </c>
      <c r="G543">
        <v>16</v>
      </c>
      <c r="H543">
        <v>45</v>
      </c>
      <c r="I543">
        <v>50</v>
      </c>
      <c r="J543">
        <v>-5</v>
      </c>
      <c r="K543">
        <v>42</v>
      </c>
      <c r="L543">
        <v>1.1100000000000001</v>
      </c>
      <c r="M543" s="37">
        <v>26223</v>
      </c>
      <c r="N543" t="s">
        <v>3345</v>
      </c>
      <c r="O543" t="s">
        <v>3285</v>
      </c>
    </row>
    <row r="544" spans="1:16" ht="15.75" customHeight="1">
      <c r="A544">
        <v>16</v>
      </c>
      <c r="B544" t="s">
        <v>3397</v>
      </c>
      <c r="C544" s="38">
        <v>2001</v>
      </c>
      <c r="D544">
        <v>38</v>
      </c>
      <c r="E544">
        <v>11</v>
      </c>
      <c r="F544">
        <v>9</v>
      </c>
      <c r="G544">
        <v>18</v>
      </c>
      <c r="H544">
        <v>45</v>
      </c>
      <c r="I544">
        <v>59</v>
      </c>
      <c r="J544">
        <v>-14</v>
      </c>
      <c r="K544">
        <v>42</v>
      </c>
      <c r="L544">
        <v>1.1100000000000001</v>
      </c>
      <c r="M544" s="37">
        <v>34131</v>
      </c>
      <c r="N544" t="s">
        <v>3379</v>
      </c>
      <c r="O544" t="s">
        <v>3380</v>
      </c>
    </row>
    <row r="545" spans="1:16" ht="15.75" customHeight="1">
      <c r="A545">
        <v>17</v>
      </c>
      <c r="B545" t="s">
        <v>3419</v>
      </c>
      <c r="C545" s="38">
        <v>2001</v>
      </c>
      <c r="D545">
        <v>38</v>
      </c>
      <c r="E545">
        <v>10</v>
      </c>
      <c r="F545">
        <v>12</v>
      </c>
      <c r="G545">
        <v>16</v>
      </c>
      <c r="H545">
        <v>37</v>
      </c>
      <c r="I545">
        <v>59</v>
      </c>
      <c r="J545">
        <v>-22</v>
      </c>
      <c r="K545">
        <v>42</v>
      </c>
      <c r="L545">
        <v>1.1100000000000001</v>
      </c>
      <c r="M545" s="37">
        <v>28551</v>
      </c>
      <c r="N545" t="s">
        <v>3381</v>
      </c>
      <c r="O545" t="s">
        <v>3382</v>
      </c>
    </row>
    <row r="546" spans="1:16" ht="15.75" customHeight="1">
      <c r="A546">
        <v>18</v>
      </c>
      <c r="B546" t="s">
        <v>3388</v>
      </c>
      <c r="C546" s="38">
        <v>2001</v>
      </c>
      <c r="D546">
        <v>38</v>
      </c>
      <c r="E546">
        <v>8</v>
      </c>
      <c r="F546">
        <v>10</v>
      </c>
      <c r="G546">
        <v>20</v>
      </c>
      <c r="H546">
        <v>41</v>
      </c>
      <c r="I546">
        <v>65</v>
      </c>
      <c r="J546">
        <v>-24</v>
      </c>
      <c r="K546">
        <v>34</v>
      </c>
      <c r="L546">
        <v>0.89</v>
      </c>
      <c r="M546" s="37">
        <v>34058</v>
      </c>
      <c r="N546" t="s">
        <v>3383</v>
      </c>
      <c r="O546" t="s">
        <v>3230</v>
      </c>
      <c r="P546" t="s">
        <v>894</v>
      </c>
    </row>
    <row r="547" spans="1:16" ht="15.75" customHeight="1">
      <c r="A547">
        <v>19</v>
      </c>
      <c r="B547" t="s">
        <v>3425</v>
      </c>
      <c r="C547" s="38">
        <v>2001</v>
      </c>
      <c r="D547">
        <v>38</v>
      </c>
      <c r="E547">
        <v>8</v>
      </c>
      <c r="F547">
        <v>10</v>
      </c>
      <c r="G547">
        <v>20</v>
      </c>
      <c r="H547">
        <v>36</v>
      </c>
      <c r="I547">
        <v>63</v>
      </c>
      <c r="J547">
        <v>-27</v>
      </c>
      <c r="K547">
        <v>34</v>
      </c>
      <c r="L547">
        <v>0.89</v>
      </c>
      <c r="M547" s="37">
        <v>20582</v>
      </c>
      <c r="N547" t="s">
        <v>3384</v>
      </c>
      <c r="O547" t="s">
        <v>3160</v>
      </c>
      <c r="P547" t="s">
        <v>894</v>
      </c>
    </row>
    <row r="548" spans="1:16" ht="15.75" customHeight="1">
      <c r="A548">
        <v>20</v>
      </c>
      <c r="B548" t="s">
        <v>3426</v>
      </c>
      <c r="C548" s="38">
        <v>2001</v>
      </c>
      <c r="D548">
        <v>38</v>
      </c>
      <c r="E548">
        <v>5</v>
      </c>
      <c r="F548">
        <v>11</v>
      </c>
      <c r="G548">
        <v>22</v>
      </c>
      <c r="H548">
        <v>30</v>
      </c>
      <c r="I548">
        <v>70</v>
      </c>
      <c r="J548">
        <v>-40</v>
      </c>
      <c r="K548">
        <v>26</v>
      </c>
      <c r="L548">
        <v>0.68</v>
      </c>
      <c r="M548" s="37">
        <v>18511</v>
      </c>
      <c r="N548" t="s">
        <v>3385</v>
      </c>
      <c r="O548" t="s">
        <v>3386</v>
      </c>
      <c r="P548" t="s">
        <v>894</v>
      </c>
    </row>
  </sheetData>
  <hyperlinks>
    <hyperlink ref="B2" r:id="rId1" xr:uid="{00000000-0004-0000-0200-000000000000}"/>
    <hyperlink ref="R2" r:id="rId2" xr:uid="{00000000-0004-0000-0200-000001000000}"/>
    <hyperlink ref="S2" r:id="rId3" xr:uid="{00000000-0004-0000-0200-000002000000}"/>
    <hyperlink ref="B3" r:id="rId4" xr:uid="{00000000-0004-0000-0200-000003000000}"/>
    <hyperlink ref="R3" r:id="rId5" xr:uid="{00000000-0004-0000-0200-000004000000}"/>
    <hyperlink ref="S3" r:id="rId6" xr:uid="{00000000-0004-0000-0200-000005000000}"/>
    <hyperlink ref="B4" r:id="rId7" xr:uid="{00000000-0004-0000-0200-000006000000}"/>
    <hyperlink ref="R4" r:id="rId8" xr:uid="{00000000-0004-0000-0200-000007000000}"/>
    <hyperlink ref="S4" r:id="rId9" xr:uid="{00000000-0004-0000-0200-000008000000}"/>
    <hyperlink ref="B5" r:id="rId10" xr:uid="{00000000-0004-0000-0200-000009000000}"/>
    <hyperlink ref="R5" r:id="rId11" xr:uid="{00000000-0004-0000-0200-00000A000000}"/>
    <hyperlink ref="S5" r:id="rId12" xr:uid="{00000000-0004-0000-0200-00000B000000}"/>
    <hyperlink ref="B6" r:id="rId13" xr:uid="{00000000-0004-0000-0200-00000C000000}"/>
    <hyperlink ref="R6" r:id="rId14" xr:uid="{00000000-0004-0000-0200-00000D000000}"/>
    <hyperlink ref="S6" r:id="rId15" xr:uid="{00000000-0004-0000-0200-00000E000000}"/>
    <hyperlink ref="B7" r:id="rId16" xr:uid="{00000000-0004-0000-0200-00000F000000}"/>
    <hyperlink ref="R7" r:id="rId17" xr:uid="{00000000-0004-0000-0200-000010000000}"/>
    <hyperlink ref="S7" r:id="rId18" xr:uid="{00000000-0004-0000-0200-000011000000}"/>
    <hyperlink ref="B8" r:id="rId19" xr:uid="{00000000-0004-0000-0200-000012000000}"/>
    <hyperlink ref="R8" r:id="rId20" xr:uid="{00000000-0004-0000-0200-000013000000}"/>
    <hyperlink ref="S8" r:id="rId21" xr:uid="{00000000-0004-0000-0200-000014000000}"/>
    <hyperlink ref="B9" r:id="rId22" xr:uid="{00000000-0004-0000-0200-000015000000}"/>
    <hyperlink ref="R9" r:id="rId23" xr:uid="{00000000-0004-0000-0200-000016000000}"/>
    <hyperlink ref="S9" r:id="rId24" xr:uid="{00000000-0004-0000-0200-000017000000}"/>
    <hyperlink ref="B10" r:id="rId25" xr:uid="{00000000-0004-0000-0200-000018000000}"/>
    <hyperlink ref="R10" r:id="rId26" xr:uid="{00000000-0004-0000-0200-000019000000}"/>
    <hyperlink ref="S10" r:id="rId27" xr:uid="{00000000-0004-0000-0200-00001A000000}"/>
    <hyperlink ref="B11" r:id="rId28" xr:uid="{00000000-0004-0000-0200-00001B000000}"/>
    <hyperlink ref="R11" r:id="rId29" xr:uid="{00000000-0004-0000-0200-00001C000000}"/>
    <hyperlink ref="S11" r:id="rId30" xr:uid="{00000000-0004-0000-0200-00001D000000}"/>
    <hyperlink ref="B12" r:id="rId31" xr:uid="{00000000-0004-0000-0200-00001E000000}"/>
    <hyperlink ref="R12" r:id="rId32" xr:uid="{00000000-0004-0000-0200-00001F000000}"/>
    <hyperlink ref="S12" r:id="rId33" xr:uid="{00000000-0004-0000-0200-000020000000}"/>
    <hyperlink ref="B13" r:id="rId34" xr:uid="{00000000-0004-0000-0200-000021000000}"/>
    <hyperlink ref="R13" r:id="rId35" xr:uid="{00000000-0004-0000-0200-000022000000}"/>
    <hyperlink ref="S13" r:id="rId36" xr:uid="{00000000-0004-0000-0200-000023000000}"/>
    <hyperlink ref="B14" r:id="rId37" xr:uid="{00000000-0004-0000-0200-000024000000}"/>
    <hyperlink ref="R14" r:id="rId38" xr:uid="{00000000-0004-0000-0200-000025000000}"/>
    <hyperlink ref="S14" r:id="rId39" xr:uid="{00000000-0004-0000-0200-000026000000}"/>
    <hyperlink ref="B15" r:id="rId40" xr:uid="{00000000-0004-0000-0200-000027000000}"/>
    <hyperlink ref="R15" r:id="rId41" xr:uid="{00000000-0004-0000-0200-000028000000}"/>
    <hyperlink ref="S15" r:id="rId42" xr:uid="{00000000-0004-0000-0200-000029000000}"/>
    <hyperlink ref="B16" r:id="rId43" xr:uid="{00000000-0004-0000-0200-00002A000000}"/>
    <hyperlink ref="R16" r:id="rId44" xr:uid="{00000000-0004-0000-0200-00002B000000}"/>
    <hyperlink ref="S16" r:id="rId45" xr:uid="{00000000-0004-0000-0200-00002C000000}"/>
    <hyperlink ref="B17" r:id="rId46" xr:uid="{00000000-0004-0000-0200-00002D000000}"/>
    <hyperlink ref="R17" r:id="rId47" xr:uid="{00000000-0004-0000-0200-00002E000000}"/>
    <hyperlink ref="S17" r:id="rId48" xr:uid="{00000000-0004-0000-0200-00002F000000}"/>
    <hyperlink ref="B18" r:id="rId49" xr:uid="{00000000-0004-0000-0200-000030000000}"/>
    <hyperlink ref="R18" r:id="rId50" xr:uid="{00000000-0004-0000-0200-000031000000}"/>
    <hyperlink ref="S18" r:id="rId51" xr:uid="{00000000-0004-0000-0200-000032000000}"/>
    <hyperlink ref="B19" r:id="rId52" xr:uid="{00000000-0004-0000-0200-000033000000}"/>
    <hyperlink ref="R19" r:id="rId53" xr:uid="{00000000-0004-0000-0200-000034000000}"/>
    <hyperlink ref="S19" r:id="rId54" xr:uid="{00000000-0004-0000-0200-000035000000}"/>
    <hyperlink ref="B20" r:id="rId55" xr:uid="{00000000-0004-0000-0200-000036000000}"/>
    <hyperlink ref="R20" r:id="rId56" xr:uid="{00000000-0004-0000-0200-000037000000}"/>
    <hyperlink ref="S20" r:id="rId57" xr:uid="{00000000-0004-0000-0200-000038000000}"/>
    <hyperlink ref="B21" r:id="rId58" xr:uid="{00000000-0004-0000-0200-000039000000}"/>
    <hyperlink ref="R21" r:id="rId59" xr:uid="{00000000-0004-0000-0200-00003A000000}"/>
    <hyperlink ref="S21" r:id="rId60" xr:uid="{00000000-0004-0000-0200-00003B000000}"/>
    <hyperlink ref="B24" r:id="rId61" xr:uid="{00000000-0004-0000-0200-00003C000000}"/>
    <hyperlink ref="R24" r:id="rId62" xr:uid="{00000000-0004-0000-0200-00003D000000}"/>
    <hyperlink ref="S24" r:id="rId63" xr:uid="{00000000-0004-0000-0200-00003E000000}"/>
    <hyperlink ref="B25" r:id="rId64" xr:uid="{00000000-0004-0000-0200-00003F000000}"/>
    <hyperlink ref="R25" r:id="rId65" xr:uid="{00000000-0004-0000-0200-000040000000}"/>
    <hyperlink ref="S25" r:id="rId66" xr:uid="{00000000-0004-0000-0200-000041000000}"/>
    <hyperlink ref="B26" r:id="rId67" xr:uid="{00000000-0004-0000-0200-000042000000}"/>
    <hyperlink ref="R26" r:id="rId68" xr:uid="{00000000-0004-0000-0200-000043000000}"/>
    <hyperlink ref="S26" r:id="rId69" xr:uid="{00000000-0004-0000-0200-000044000000}"/>
    <hyperlink ref="B27" r:id="rId70" xr:uid="{00000000-0004-0000-0200-000045000000}"/>
    <hyperlink ref="R27" r:id="rId71" xr:uid="{00000000-0004-0000-0200-000046000000}"/>
    <hyperlink ref="S27" r:id="rId72" xr:uid="{00000000-0004-0000-0200-000047000000}"/>
    <hyperlink ref="B28" r:id="rId73" xr:uid="{00000000-0004-0000-0200-000048000000}"/>
    <hyperlink ref="R28" r:id="rId74" xr:uid="{00000000-0004-0000-0200-000049000000}"/>
    <hyperlink ref="S28" r:id="rId75" xr:uid="{00000000-0004-0000-0200-00004A000000}"/>
    <hyperlink ref="B29" r:id="rId76" xr:uid="{00000000-0004-0000-0200-00004B000000}"/>
    <hyperlink ref="R29" r:id="rId77" xr:uid="{00000000-0004-0000-0200-00004C000000}"/>
    <hyperlink ref="S29" r:id="rId78" xr:uid="{00000000-0004-0000-0200-00004D000000}"/>
    <hyperlink ref="B30" r:id="rId79" xr:uid="{00000000-0004-0000-0200-00004E000000}"/>
    <hyperlink ref="R30" r:id="rId80" xr:uid="{00000000-0004-0000-0200-00004F000000}"/>
    <hyperlink ref="S30" r:id="rId81" xr:uid="{00000000-0004-0000-0200-000050000000}"/>
    <hyperlink ref="B31" r:id="rId82" xr:uid="{00000000-0004-0000-0200-000051000000}"/>
    <hyperlink ref="R31" r:id="rId83" xr:uid="{00000000-0004-0000-0200-000052000000}"/>
    <hyperlink ref="S31" r:id="rId84" xr:uid="{00000000-0004-0000-0200-000053000000}"/>
    <hyperlink ref="B32" r:id="rId85" xr:uid="{00000000-0004-0000-0200-000054000000}"/>
    <hyperlink ref="R32" r:id="rId86" xr:uid="{00000000-0004-0000-0200-000055000000}"/>
    <hyperlink ref="S32" r:id="rId87" xr:uid="{00000000-0004-0000-0200-000056000000}"/>
    <hyperlink ref="B33" r:id="rId88" xr:uid="{00000000-0004-0000-0200-000057000000}"/>
    <hyperlink ref="R33" r:id="rId89" xr:uid="{00000000-0004-0000-0200-000058000000}"/>
    <hyperlink ref="S33" r:id="rId90" xr:uid="{00000000-0004-0000-0200-000059000000}"/>
    <hyperlink ref="B34" r:id="rId91" xr:uid="{00000000-0004-0000-0200-00005A000000}"/>
    <hyperlink ref="R34" r:id="rId92" xr:uid="{00000000-0004-0000-0200-00005B000000}"/>
    <hyperlink ref="S34" r:id="rId93" xr:uid="{00000000-0004-0000-0200-00005C000000}"/>
    <hyperlink ref="B35" r:id="rId94" xr:uid="{00000000-0004-0000-0200-00005D000000}"/>
    <hyperlink ref="R35" r:id="rId95" xr:uid="{00000000-0004-0000-0200-00005E000000}"/>
    <hyperlink ref="S35" r:id="rId96" xr:uid="{00000000-0004-0000-0200-00005F000000}"/>
    <hyperlink ref="B36" r:id="rId97" xr:uid="{00000000-0004-0000-0200-000060000000}"/>
    <hyperlink ref="R36" r:id="rId98" xr:uid="{00000000-0004-0000-0200-000061000000}"/>
    <hyperlink ref="S36" r:id="rId99" xr:uid="{00000000-0004-0000-0200-000062000000}"/>
    <hyperlink ref="B37" r:id="rId100" xr:uid="{00000000-0004-0000-0200-000063000000}"/>
    <hyperlink ref="R37" r:id="rId101" xr:uid="{00000000-0004-0000-0200-000064000000}"/>
    <hyperlink ref="S37" r:id="rId102" xr:uid="{00000000-0004-0000-0200-000065000000}"/>
    <hyperlink ref="B38" r:id="rId103" xr:uid="{00000000-0004-0000-0200-000066000000}"/>
    <hyperlink ref="R38" r:id="rId104" xr:uid="{00000000-0004-0000-0200-000067000000}"/>
    <hyperlink ref="S38" r:id="rId105" xr:uid="{00000000-0004-0000-0200-000068000000}"/>
    <hyperlink ref="B39" r:id="rId106" xr:uid="{00000000-0004-0000-0200-000069000000}"/>
    <hyperlink ref="R39" r:id="rId107" xr:uid="{00000000-0004-0000-0200-00006A000000}"/>
    <hyperlink ref="S39" r:id="rId108" xr:uid="{00000000-0004-0000-0200-00006B000000}"/>
    <hyperlink ref="B40" r:id="rId109" xr:uid="{00000000-0004-0000-0200-00006C000000}"/>
    <hyperlink ref="R40" r:id="rId110" xr:uid="{00000000-0004-0000-0200-00006D000000}"/>
    <hyperlink ref="S40" r:id="rId111" xr:uid="{00000000-0004-0000-0200-00006E000000}"/>
    <hyperlink ref="B41" r:id="rId112" xr:uid="{00000000-0004-0000-0200-00006F000000}"/>
    <hyperlink ref="R41" r:id="rId113" xr:uid="{00000000-0004-0000-0200-000070000000}"/>
    <hyperlink ref="S41" r:id="rId114" xr:uid="{00000000-0004-0000-0200-000071000000}"/>
    <hyperlink ref="B42" r:id="rId115" xr:uid="{00000000-0004-0000-0200-000072000000}"/>
    <hyperlink ref="R42" r:id="rId116" xr:uid="{00000000-0004-0000-0200-000073000000}"/>
    <hyperlink ref="S42" r:id="rId117" xr:uid="{00000000-0004-0000-0200-000074000000}"/>
    <hyperlink ref="B43" r:id="rId118" xr:uid="{00000000-0004-0000-0200-000075000000}"/>
    <hyperlink ref="R43" r:id="rId119" xr:uid="{00000000-0004-0000-0200-000076000000}"/>
    <hyperlink ref="S43" r:id="rId120" xr:uid="{00000000-0004-0000-0200-000077000000}"/>
    <hyperlink ref="B46" r:id="rId121" xr:uid="{00000000-0004-0000-0200-000078000000}"/>
    <hyperlink ref="R46" r:id="rId122" xr:uid="{00000000-0004-0000-0200-000079000000}"/>
    <hyperlink ref="S46" r:id="rId123" xr:uid="{00000000-0004-0000-0200-00007A000000}"/>
    <hyperlink ref="B47" r:id="rId124" xr:uid="{00000000-0004-0000-0200-00007B000000}"/>
    <hyperlink ref="R47" r:id="rId125" xr:uid="{00000000-0004-0000-0200-00007C000000}"/>
    <hyperlink ref="S47" r:id="rId126" xr:uid="{00000000-0004-0000-0200-00007D000000}"/>
    <hyperlink ref="B48" r:id="rId127" xr:uid="{00000000-0004-0000-0200-00007E000000}"/>
    <hyperlink ref="R48" r:id="rId128" xr:uid="{00000000-0004-0000-0200-00007F000000}"/>
    <hyperlink ref="S48" r:id="rId129" xr:uid="{00000000-0004-0000-0200-000080000000}"/>
    <hyperlink ref="B49" r:id="rId130" xr:uid="{00000000-0004-0000-0200-000081000000}"/>
    <hyperlink ref="R49" r:id="rId131" xr:uid="{00000000-0004-0000-0200-000082000000}"/>
    <hyperlink ref="S49" r:id="rId132" xr:uid="{00000000-0004-0000-0200-000083000000}"/>
    <hyperlink ref="B50" r:id="rId133" xr:uid="{00000000-0004-0000-0200-000084000000}"/>
    <hyperlink ref="R50" r:id="rId134" xr:uid="{00000000-0004-0000-0200-000085000000}"/>
    <hyperlink ref="S50" r:id="rId135" xr:uid="{00000000-0004-0000-0200-000086000000}"/>
    <hyperlink ref="B51" r:id="rId136" xr:uid="{00000000-0004-0000-0200-000087000000}"/>
    <hyperlink ref="R51" r:id="rId137" xr:uid="{00000000-0004-0000-0200-000088000000}"/>
    <hyperlink ref="S51" r:id="rId138" xr:uid="{00000000-0004-0000-0200-000089000000}"/>
    <hyperlink ref="B52" r:id="rId139" xr:uid="{00000000-0004-0000-0200-00008A000000}"/>
    <hyperlink ref="R52" r:id="rId140" xr:uid="{00000000-0004-0000-0200-00008B000000}"/>
    <hyperlink ref="S52" r:id="rId141" xr:uid="{00000000-0004-0000-0200-00008C000000}"/>
    <hyperlink ref="B53" r:id="rId142" xr:uid="{00000000-0004-0000-0200-00008D000000}"/>
    <hyperlink ref="R53" r:id="rId143" xr:uid="{00000000-0004-0000-0200-00008E000000}"/>
    <hyperlink ref="S53" r:id="rId144" xr:uid="{00000000-0004-0000-0200-00008F000000}"/>
    <hyperlink ref="B54" r:id="rId145" xr:uid="{00000000-0004-0000-0200-000090000000}"/>
    <hyperlink ref="R54" r:id="rId146" xr:uid="{00000000-0004-0000-0200-000091000000}"/>
    <hyperlink ref="S54" r:id="rId147" xr:uid="{00000000-0004-0000-0200-000092000000}"/>
    <hyperlink ref="B55" r:id="rId148" xr:uid="{00000000-0004-0000-0200-000093000000}"/>
    <hyperlink ref="R55" r:id="rId149" xr:uid="{00000000-0004-0000-0200-000094000000}"/>
    <hyperlink ref="S55" r:id="rId150" xr:uid="{00000000-0004-0000-0200-000095000000}"/>
    <hyperlink ref="B56" r:id="rId151" xr:uid="{00000000-0004-0000-0200-000096000000}"/>
    <hyperlink ref="R56" r:id="rId152" xr:uid="{00000000-0004-0000-0200-000097000000}"/>
    <hyperlink ref="S56" r:id="rId153" xr:uid="{00000000-0004-0000-0200-000098000000}"/>
    <hyperlink ref="B57" r:id="rId154" xr:uid="{00000000-0004-0000-0200-000099000000}"/>
    <hyperlink ref="R57" r:id="rId155" xr:uid="{00000000-0004-0000-0200-00009A000000}"/>
    <hyperlink ref="S57" r:id="rId156" xr:uid="{00000000-0004-0000-0200-00009B000000}"/>
    <hyperlink ref="B58" r:id="rId157" xr:uid="{00000000-0004-0000-0200-00009C000000}"/>
    <hyperlink ref="R58" r:id="rId158" xr:uid="{00000000-0004-0000-0200-00009D000000}"/>
    <hyperlink ref="S58" r:id="rId159" xr:uid="{00000000-0004-0000-0200-00009E000000}"/>
    <hyperlink ref="B59" r:id="rId160" xr:uid="{00000000-0004-0000-0200-00009F000000}"/>
    <hyperlink ref="R59" r:id="rId161" xr:uid="{00000000-0004-0000-0200-0000A0000000}"/>
    <hyperlink ref="S59" r:id="rId162" xr:uid="{00000000-0004-0000-0200-0000A1000000}"/>
    <hyperlink ref="B60" r:id="rId163" xr:uid="{00000000-0004-0000-0200-0000A2000000}"/>
    <hyperlink ref="R60" r:id="rId164" xr:uid="{00000000-0004-0000-0200-0000A3000000}"/>
    <hyperlink ref="S60" r:id="rId165" xr:uid="{00000000-0004-0000-0200-0000A4000000}"/>
    <hyperlink ref="B61" r:id="rId166" xr:uid="{00000000-0004-0000-0200-0000A5000000}"/>
    <hyperlink ref="R61" r:id="rId167" xr:uid="{00000000-0004-0000-0200-0000A6000000}"/>
    <hyperlink ref="S61" r:id="rId168" xr:uid="{00000000-0004-0000-0200-0000A7000000}"/>
    <hyperlink ref="B62" r:id="rId169" xr:uid="{00000000-0004-0000-0200-0000A8000000}"/>
    <hyperlink ref="R62" r:id="rId170" xr:uid="{00000000-0004-0000-0200-0000A9000000}"/>
    <hyperlink ref="S62" r:id="rId171" xr:uid="{00000000-0004-0000-0200-0000AA000000}"/>
    <hyperlink ref="B63" r:id="rId172" xr:uid="{00000000-0004-0000-0200-0000AB000000}"/>
    <hyperlink ref="R63" r:id="rId173" xr:uid="{00000000-0004-0000-0200-0000AC000000}"/>
    <hyperlink ref="S63" r:id="rId174" xr:uid="{00000000-0004-0000-0200-0000AD000000}"/>
    <hyperlink ref="B64" r:id="rId175" xr:uid="{00000000-0004-0000-0200-0000AE000000}"/>
    <hyperlink ref="R64" r:id="rId176" xr:uid="{00000000-0004-0000-0200-0000AF000000}"/>
    <hyperlink ref="S64" r:id="rId177" xr:uid="{00000000-0004-0000-0200-0000B0000000}"/>
    <hyperlink ref="B65" r:id="rId178" xr:uid="{00000000-0004-0000-0200-0000B1000000}"/>
    <hyperlink ref="R65" r:id="rId179" xr:uid="{00000000-0004-0000-0200-0000B2000000}"/>
    <hyperlink ref="S65" r:id="rId180" xr:uid="{00000000-0004-0000-0200-0000B3000000}"/>
    <hyperlink ref="B68" r:id="rId181" xr:uid="{00000000-0004-0000-0200-0000B4000000}"/>
    <hyperlink ref="R68" r:id="rId182" xr:uid="{00000000-0004-0000-0200-0000B5000000}"/>
    <hyperlink ref="S68" r:id="rId183" xr:uid="{00000000-0004-0000-0200-0000B6000000}"/>
    <hyperlink ref="B69" r:id="rId184" xr:uid="{00000000-0004-0000-0200-0000B7000000}"/>
    <hyperlink ref="R69" r:id="rId185" xr:uid="{00000000-0004-0000-0200-0000B8000000}"/>
    <hyperlink ref="S69" r:id="rId186" xr:uid="{00000000-0004-0000-0200-0000B9000000}"/>
    <hyperlink ref="B70" r:id="rId187" xr:uid="{00000000-0004-0000-0200-0000BA000000}"/>
    <hyperlink ref="R70" r:id="rId188" xr:uid="{00000000-0004-0000-0200-0000BB000000}"/>
    <hyperlink ref="S70" r:id="rId189" xr:uid="{00000000-0004-0000-0200-0000BC000000}"/>
    <hyperlink ref="B71" r:id="rId190" xr:uid="{00000000-0004-0000-0200-0000BD000000}"/>
    <hyperlink ref="R71" r:id="rId191" xr:uid="{00000000-0004-0000-0200-0000BE000000}"/>
    <hyperlink ref="S71" r:id="rId192" xr:uid="{00000000-0004-0000-0200-0000BF000000}"/>
    <hyperlink ref="B72" r:id="rId193" xr:uid="{00000000-0004-0000-0200-0000C0000000}"/>
    <hyperlink ref="R72" r:id="rId194" xr:uid="{00000000-0004-0000-0200-0000C1000000}"/>
    <hyperlink ref="S72" r:id="rId195" xr:uid="{00000000-0004-0000-0200-0000C2000000}"/>
    <hyperlink ref="B73" r:id="rId196" xr:uid="{00000000-0004-0000-0200-0000C3000000}"/>
    <hyperlink ref="R73" r:id="rId197" xr:uid="{00000000-0004-0000-0200-0000C4000000}"/>
    <hyperlink ref="S73" r:id="rId198" xr:uid="{00000000-0004-0000-0200-0000C5000000}"/>
    <hyperlink ref="B74" r:id="rId199" xr:uid="{00000000-0004-0000-0200-0000C6000000}"/>
    <hyperlink ref="R74" r:id="rId200" xr:uid="{00000000-0004-0000-0200-0000C7000000}"/>
    <hyperlink ref="S74" r:id="rId201" xr:uid="{00000000-0004-0000-0200-0000C8000000}"/>
    <hyperlink ref="B75" r:id="rId202" xr:uid="{00000000-0004-0000-0200-0000C9000000}"/>
    <hyperlink ref="R75" r:id="rId203" xr:uid="{00000000-0004-0000-0200-0000CA000000}"/>
    <hyperlink ref="S75" r:id="rId204" xr:uid="{00000000-0004-0000-0200-0000CB000000}"/>
    <hyperlink ref="B76" r:id="rId205" xr:uid="{00000000-0004-0000-0200-0000CC000000}"/>
    <hyperlink ref="R76" r:id="rId206" xr:uid="{00000000-0004-0000-0200-0000CD000000}"/>
    <hyperlink ref="S76" r:id="rId207" xr:uid="{00000000-0004-0000-0200-0000CE000000}"/>
    <hyperlink ref="B77" r:id="rId208" xr:uid="{00000000-0004-0000-0200-0000CF000000}"/>
    <hyperlink ref="R77" r:id="rId209" xr:uid="{00000000-0004-0000-0200-0000D0000000}"/>
    <hyperlink ref="S77" r:id="rId210" xr:uid="{00000000-0004-0000-0200-0000D1000000}"/>
    <hyperlink ref="B78" r:id="rId211" xr:uid="{00000000-0004-0000-0200-0000D2000000}"/>
    <hyperlink ref="R78" r:id="rId212" xr:uid="{00000000-0004-0000-0200-0000D3000000}"/>
    <hyperlink ref="S78" r:id="rId213" xr:uid="{00000000-0004-0000-0200-0000D4000000}"/>
    <hyperlink ref="B79" r:id="rId214" xr:uid="{00000000-0004-0000-0200-0000D5000000}"/>
    <hyperlink ref="R79" r:id="rId215" xr:uid="{00000000-0004-0000-0200-0000D6000000}"/>
    <hyperlink ref="S79" r:id="rId216" xr:uid="{00000000-0004-0000-0200-0000D7000000}"/>
    <hyperlink ref="B80" r:id="rId217" xr:uid="{00000000-0004-0000-0200-0000D8000000}"/>
    <hyperlink ref="R80" r:id="rId218" xr:uid="{00000000-0004-0000-0200-0000D9000000}"/>
    <hyperlink ref="S80" r:id="rId219" xr:uid="{00000000-0004-0000-0200-0000DA000000}"/>
    <hyperlink ref="B81" r:id="rId220" xr:uid="{00000000-0004-0000-0200-0000DB000000}"/>
    <hyperlink ref="R81" r:id="rId221" xr:uid="{00000000-0004-0000-0200-0000DC000000}"/>
    <hyperlink ref="S81" r:id="rId222" xr:uid="{00000000-0004-0000-0200-0000DD000000}"/>
    <hyperlink ref="B82" r:id="rId223" xr:uid="{00000000-0004-0000-0200-0000DE000000}"/>
    <hyperlink ref="R82" r:id="rId224" xr:uid="{00000000-0004-0000-0200-0000DF000000}"/>
    <hyperlink ref="S82" r:id="rId225" xr:uid="{00000000-0004-0000-0200-0000E0000000}"/>
    <hyperlink ref="B83" r:id="rId226" xr:uid="{00000000-0004-0000-0200-0000E1000000}"/>
    <hyperlink ref="R83" r:id="rId227" xr:uid="{00000000-0004-0000-0200-0000E2000000}"/>
    <hyperlink ref="S83" r:id="rId228" xr:uid="{00000000-0004-0000-0200-0000E3000000}"/>
    <hyperlink ref="B84" r:id="rId229" xr:uid="{00000000-0004-0000-0200-0000E4000000}"/>
    <hyperlink ref="R84" r:id="rId230" xr:uid="{00000000-0004-0000-0200-0000E5000000}"/>
    <hyperlink ref="S84" r:id="rId231" xr:uid="{00000000-0004-0000-0200-0000E6000000}"/>
    <hyperlink ref="B85" r:id="rId232" xr:uid="{00000000-0004-0000-0200-0000E7000000}"/>
    <hyperlink ref="R85" r:id="rId233" xr:uid="{00000000-0004-0000-0200-0000E8000000}"/>
    <hyperlink ref="S85" r:id="rId234" xr:uid="{00000000-0004-0000-0200-0000E9000000}"/>
    <hyperlink ref="B86" r:id="rId235" xr:uid="{00000000-0004-0000-0200-0000EA000000}"/>
    <hyperlink ref="R86" r:id="rId236" xr:uid="{00000000-0004-0000-0200-0000EB000000}"/>
    <hyperlink ref="S86" r:id="rId237" xr:uid="{00000000-0004-0000-0200-0000EC000000}"/>
    <hyperlink ref="B87" r:id="rId238" xr:uid="{00000000-0004-0000-0200-0000ED000000}"/>
    <hyperlink ref="R87" r:id="rId239" xr:uid="{00000000-0004-0000-0200-0000EE000000}"/>
    <hyperlink ref="S87" r:id="rId240" xr:uid="{00000000-0004-0000-0200-0000EF000000}"/>
    <hyperlink ref="B90" r:id="rId241" xr:uid="{00000000-0004-0000-0200-0000F0000000}"/>
    <hyperlink ref="R90" r:id="rId242" xr:uid="{00000000-0004-0000-0200-0000F1000000}"/>
    <hyperlink ref="S90" r:id="rId243" xr:uid="{00000000-0004-0000-0200-0000F2000000}"/>
    <hyperlink ref="B91" r:id="rId244" xr:uid="{00000000-0004-0000-0200-0000F3000000}"/>
    <hyperlink ref="R91" r:id="rId245" xr:uid="{00000000-0004-0000-0200-0000F4000000}"/>
    <hyperlink ref="S91" r:id="rId246" xr:uid="{00000000-0004-0000-0200-0000F5000000}"/>
    <hyperlink ref="B92" r:id="rId247" xr:uid="{00000000-0004-0000-0200-0000F6000000}"/>
    <hyperlink ref="R92" r:id="rId248" xr:uid="{00000000-0004-0000-0200-0000F7000000}"/>
    <hyperlink ref="S92" r:id="rId249" xr:uid="{00000000-0004-0000-0200-0000F8000000}"/>
    <hyperlink ref="B93" r:id="rId250" xr:uid="{00000000-0004-0000-0200-0000F9000000}"/>
    <hyperlink ref="R93" r:id="rId251" xr:uid="{00000000-0004-0000-0200-0000FA000000}"/>
    <hyperlink ref="S93" r:id="rId252" xr:uid="{00000000-0004-0000-0200-0000FB000000}"/>
    <hyperlink ref="B94" r:id="rId253" xr:uid="{00000000-0004-0000-0200-0000FC000000}"/>
    <hyperlink ref="R94" r:id="rId254" xr:uid="{00000000-0004-0000-0200-0000FD000000}"/>
    <hyperlink ref="S94" r:id="rId255" xr:uid="{00000000-0004-0000-0200-0000FE000000}"/>
    <hyperlink ref="B95" r:id="rId256" xr:uid="{00000000-0004-0000-0200-0000FF000000}"/>
    <hyperlink ref="R95" r:id="rId257" xr:uid="{00000000-0004-0000-0200-000000010000}"/>
    <hyperlink ref="S95" r:id="rId258" xr:uid="{00000000-0004-0000-0200-000001010000}"/>
    <hyperlink ref="B96" r:id="rId259" xr:uid="{00000000-0004-0000-0200-000002010000}"/>
    <hyperlink ref="R96" r:id="rId260" xr:uid="{00000000-0004-0000-0200-000003010000}"/>
    <hyperlink ref="S96" r:id="rId261" xr:uid="{00000000-0004-0000-0200-000004010000}"/>
    <hyperlink ref="B97" r:id="rId262" xr:uid="{00000000-0004-0000-0200-000005010000}"/>
    <hyperlink ref="R97" r:id="rId263" xr:uid="{00000000-0004-0000-0200-000006010000}"/>
    <hyperlink ref="S97" r:id="rId264" xr:uid="{00000000-0004-0000-0200-000007010000}"/>
    <hyperlink ref="B98" r:id="rId265" xr:uid="{00000000-0004-0000-0200-000008010000}"/>
    <hyperlink ref="R98" r:id="rId266" xr:uid="{00000000-0004-0000-0200-000009010000}"/>
    <hyperlink ref="S98" r:id="rId267" xr:uid="{00000000-0004-0000-0200-00000A010000}"/>
    <hyperlink ref="B99" r:id="rId268" xr:uid="{00000000-0004-0000-0200-00000B010000}"/>
    <hyperlink ref="R99" r:id="rId269" xr:uid="{00000000-0004-0000-0200-00000C010000}"/>
    <hyperlink ref="S99" r:id="rId270" xr:uid="{00000000-0004-0000-0200-00000D010000}"/>
    <hyperlink ref="B100" r:id="rId271" xr:uid="{00000000-0004-0000-0200-00000E010000}"/>
    <hyperlink ref="R100" r:id="rId272" xr:uid="{00000000-0004-0000-0200-00000F010000}"/>
    <hyperlink ref="S100" r:id="rId273" xr:uid="{00000000-0004-0000-0200-000010010000}"/>
    <hyperlink ref="B101" r:id="rId274" xr:uid="{00000000-0004-0000-0200-000011010000}"/>
    <hyperlink ref="R101" r:id="rId275" xr:uid="{00000000-0004-0000-0200-000012010000}"/>
    <hyperlink ref="S101" r:id="rId276" xr:uid="{00000000-0004-0000-0200-000013010000}"/>
    <hyperlink ref="B102" r:id="rId277" xr:uid="{00000000-0004-0000-0200-000014010000}"/>
    <hyperlink ref="R102" r:id="rId278" xr:uid="{00000000-0004-0000-0200-000015010000}"/>
    <hyperlink ref="S102" r:id="rId279" xr:uid="{00000000-0004-0000-0200-000016010000}"/>
    <hyperlink ref="B103" r:id="rId280" xr:uid="{00000000-0004-0000-0200-000017010000}"/>
    <hyperlink ref="R103" r:id="rId281" xr:uid="{00000000-0004-0000-0200-000018010000}"/>
    <hyperlink ref="S103" r:id="rId282" xr:uid="{00000000-0004-0000-0200-000019010000}"/>
    <hyperlink ref="B104" r:id="rId283" xr:uid="{00000000-0004-0000-0200-00001A010000}"/>
    <hyperlink ref="R104" r:id="rId284" xr:uid="{00000000-0004-0000-0200-00001B010000}"/>
    <hyperlink ref="S104" r:id="rId285" xr:uid="{00000000-0004-0000-0200-00001C010000}"/>
    <hyperlink ref="B105" r:id="rId286" xr:uid="{00000000-0004-0000-0200-00001D010000}"/>
    <hyperlink ref="R105" r:id="rId287" xr:uid="{00000000-0004-0000-0200-00001E010000}"/>
    <hyperlink ref="S105" r:id="rId288" xr:uid="{00000000-0004-0000-0200-00001F010000}"/>
    <hyperlink ref="B106" r:id="rId289" xr:uid="{00000000-0004-0000-0200-000020010000}"/>
    <hyperlink ref="R106" r:id="rId290" xr:uid="{00000000-0004-0000-0200-000021010000}"/>
    <hyperlink ref="S106" r:id="rId291" xr:uid="{00000000-0004-0000-0200-000022010000}"/>
    <hyperlink ref="B107" r:id="rId292" xr:uid="{00000000-0004-0000-0200-000023010000}"/>
    <hyperlink ref="R107" r:id="rId293" xr:uid="{00000000-0004-0000-0200-000024010000}"/>
    <hyperlink ref="S107" r:id="rId294" xr:uid="{00000000-0004-0000-0200-000025010000}"/>
    <hyperlink ref="B108" r:id="rId295" xr:uid="{00000000-0004-0000-0200-000026010000}"/>
    <hyperlink ref="R108" r:id="rId296" xr:uid="{00000000-0004-0000-0200-000027010000}"/>
    <hyperlink ref="S108" r:id="rId297" xr:uid="{00000000-0004-0000-0200-000028010000}"/>
    <hyperlink ref="B109" r:id="rId298" xr:uid="{00000000-0004-0000-0200-000029010000}"/>
    <hyperlink ref="R109" r:id="rId299" xr:uid="{00000000-0004-0000-0200-00002A010000}"/>
    <hyperlink ref="S109" r:id="rId300" xr:uid="{00000000-0004-0000-0200-00002B010000}"/>
    <hyperlink ref="B112" r:id="rId301" xr:uid="{00000000-0004-0000-0200-00002C010000}"/>
    <hyperlink ref="R112" r:id="rId302" xr:uid="{00000000-0004-0000-0200-00002D010000}"/>
    <hyperlink ref="S112" r:id="rId303" xr:uid="{00000000-0004-0000-0200-00002E010000}"/>
    <hyperlink ref="B113" r:id="rId304" xr:uid="{00000000-0004-0000-0200-00002F010000}"/>
    <hyperlink ref="R113" r:id="rId305" xr:uid="{00000000-0004-0000-0200-000030010000}"/>
    <hyperlink ref="S113" r:id="rId306" xr:uid="{00000000-0004-0000-0200-000031010000}"/>
    <hyperlink ref="B114" r:id="rId307" xr:uid="{00000000-0004-0000-0200-000032010000}"/>
    <hyperlink ref="R114" r:id="rId308" xr:uid="{00000000-0004-0000-0200-000033010000}"/>
    <hyperlink ref="S114" r:id="rId309" xr:uid="{00000000-0004-0000-0200-000034010000}"/>
    <hyperlink ref="B115" r:id="rId310" xr:uid="{00000000-0004-0000-0200-000035010000}"/>
    <hyperlink ref="R115" r:id="rId311" xr:uid="{00000000-0004-0000-0200-000036010000}"/>
    <hyperlink ref="S115" r:id="rId312" xr:uid="{00000000-0004-0000-0200-000037010000}"/>
    <hyperlink ref="B116" r:id="rId313" xr:uid="{00000000-0004-0000-0200-000038010000}"/>
    <hyperlink ref="R116" r:id="rId314" xr:uid="{00000000-0004-0000-0200-000039010000}"/>
    <hyperlink ref="S116" r:id="rId315" xr:uid="{00000000-0004-0000-0200-00003A010000}"/>
    <hyperlink ref="B117" r:id="rId316" xr:uid="{00000000-0004-0000-0200-00003B010000}"/>
    <hyperlink ref="R117" r:id="rId317" xr:uid="{00000000-0004-0000-0200-00003C010000}"/>
    <hyperlink ref="S117" r:id="rId318" xr:uid="{00000000-0004-0000-0200-00003D010000}"/>
    <hyperlink ref="B118" r:id="rId319" xr:uid="{00000000-0004-0000-0200-00003E010000}"/>
    <hyperlink ref="R118" r:id="rId320" xr:uid="{00000000-0004-0000-0200-00003F010000}"/>
    <hyperlink ref="S118" r:id="rId321" xr:uid="{00000000-0004-0000-0200-000040010000}"/>
    <hyperlink ref="B119" r:id="rId322" xr:uid="{00000000-0004-0000-0200-000041010000}"/>
    <hyperlink ref="R119" r:id="rId323" xr:uid="{00000000-0004-0000-0200-000042010000}"/>
    <hyperlink ref="S119" r:id="rId324" xr:uid="{00000000-0004-0000-0200-000043010000}"/>
    <hyperlink ref="B120" r:id="rId325" xr:uid="{00000000-0004-0000-0200-000044010000}"/>
    <hyperlink ref="R120" r:id="rId326" xr:uid="{00000000-0004-0000-0200-000045010000}"/>
    <hyperlink ref="S120" r:id="rId327" xr:uid="{00000000-0004-0000-0200-000046010000}"/>
    <hyperlink ref="B121" r:id="rId328" xr:uid="{00000000-0004-0000-0200-000047010000}"/>
    <hyperlink ref="R121" r:id="rId329" xr:uid="{00000000-0004-0000-0200-000048010000}"/>
    <hyperlink ref="S121" r:id="rId330" xr:uid="{00000000-0004-0000-0200-000049010000}"/>
    <hyperlink ref="B122" r:id="rId331" xr:uid="{00000000-0004-0000-0200-00004A010000}"/>
    <hyperlink ref="R122" r:id="rId332" xr:uid="{00000000-0004-0000-0200-00004B010000}"/>
    <hyperlink ref="S122" r:id="rId333" xr:uid="{00000000-0004-0000-0200-00004C010000}"/>
    <hyperlink ref="B123" r:id="rId334" xr:uid="{00000000-0004-0000-0200-00004D010000}"/>
    <hyperlink ref="R123" r:id="rId335" xr:uid="{00000000-0004-0000-0200-00004E010000}"/>
    <hyperlink ref="S123" r:id="rId336" xr:uid="{00000000-0004-0000-0200-00004F010000}"/>
    <hyperlink ref="B124" r:id="rId337" xr:uid="{00000000-0004-0000-0200-000050010000}"/>
    <hyperlink ref="R124" r:id="rId338" xr:uid="{00000000-0004-0000-0200-000051010000}"/>
    <hyperlink ref="S124" r:id="rId339" xr:uid="{00000000-0004-0000-0200-000052010000}"/>
    <hyperlink ref="B125" r:id="rId340" xr:uid="{00000000-0004-0000-0200-000053010000}"/>
    <hyperlink ref="R125" r:id="rId341" xr:uid="{00000000-0004-0000-0200-000054010000}"/>
    <hyperlink ref="S125" r:id="rId342" xr:uid="{00000000-0004-0000-0200-000055010000}"/>
    <hyperlink ref="B126" r:id="rId343" xr:uid="{00000000-0004-0000-0200-000056010000}"/>
    <hyperlink ref="R126" r:id="rId344" xr:uid="{00000000-0004-0000-0200-000057010000}"/>
    <hyperlink ref="S126" r:id="rId345" xr:uid="{00000000-0004-0000-0200-000058010000}"/>
    <hyperlink ref="B127" r:id="rId346" xr:uid="{00000000-0004-0000-0200-000059010000}"/>
    <hyperlink ref="R127" r:id="rId347" xr:uid="{00000000-0004-0000-0200-00005A010000}"/>
    <hyperlink ref="S127" r:id="rId348" xr:uid="{00000000-0004-0000-0200-00005B010000}"/>
    <hyperlink ref="B128" r:id="rId349" xr:uid="{00000000-0004-0000-0200-00005C010000}"/>
    <hyperlink ref="R128" r:id="rId350" xr:uid="{00000000-0004-0000-0200-00005D010000}"/>
    <hyperlink ref="S128" r:id="rId351" xr:uid="{00000000-0004-0000-0200-00005E010000}"/>
    <hyperlink ref="B129" r:id="rId352" xr:uid="{00000000-0004-0000-0200-00005F010000}"/>
    <hyperlink ref="R129" r:id="rId353" xr:uid="{00000000-0004-0000-0200-000060010000}"/>
    <hyperlink ref="S129" r:id="rId354" xr:uid="{00000000-0004-0000-0200-000061010000}"/>
    <hyperlink ref="B130" r:id="rId355" xr:uid="{00000000-0004-0000-0200-000062010000}"/>
    <hyperlink ref="R130" r:id="rId356" xr:uid="{00000000-0004-0000-0200-000063010000}"/>
    <hyperlink ref="S130" r:id="rId357" xr:uid="{00000000-0004-0000-0200-000064010000}"/>
    <hyperlink ref="B131" r:id="rId358" xr:uid="{00000000-0004-0000-0200-000065010000}"/>
    <hyperlink ref="R131" r:id="rId359" xr:uid="{00000000-0004-0000-0200-000066010000}"/>
    <hyperlink ref="S131" r:id="rId360" xr:uid="{00000000-0004-0000-0200-000067010000}"/>
    <hyperlink ref="B134" r:id="rId361" xr:uid="{00000000-0004-0000-0200-000068010000}"/>
    <hyperlink ref="R134" r:id="rId362" xr:uid="{00000000-0004-0000-0200-000069010000}"/>
    <hyperlink ref="S134" r:id="rId363" xr:uid="{00000000-0004-0000-0200-00006A010000}"/>
    <hyperlink ref="B135" r:id="rId364" xr:uid="{00000000-0004-0000-0200-00006B010000}"/>
    <hyperlink ref="R135" r:id="rId365" xr:uid="{00000000-0004-0000-0200-00006C010000}"/>
    <hyperlink ref="S135" r:id="rId366" xr:uid="{00000000-0004-0000-0200-00006D010000}"/>
    <hyperlink ref="B136" r:id="rId367" xr:uid="{00000000-0004-0000-0200-00006E010000}"/>
    <hyperlink ref="R136" r:id="rId368" xr:uid="{00000000-0004-0000-0200-00006F010000}"/>
    <hyperlink ref="S136" r:id="rId369" xr:uid="{00000000-0004-0000-0200-000070010000}"/>
    <hyperlink ref="B137" r:id="rId370" xr:uid="{00000000-0004-0000-0200-000071010000}"/>
    <hyperlink ref="R137" r:id="rId371" xr:uid="{00000000-0004-0000-0200-000072010000}"/>
    <hyperlink ref="S137" r:id="rId372" xr:uid="{00000000-0004-0000-0200-000073010000}"/>
    <hyperlink ref="B138" r:id="rId373" xr:uid="{00000000-0004-0000-0200-000074010000}"/>
    <hyperlink ref="R138" r:id="rId374" xr:uid="{00000000-0004-0000-0200-000075010000}"/>
    <hyperlink ref="S138" r:id="rId375" xr:uid="{00000000-0004-0000-0200-000076010000}"/>
    <hyperlink ref="B139" r:id="rId376" xr:uid="{00000000-0004-0000-0200-000077010000}"/>
    <hyperlink ref="R139" r:id="rId377" xr:uid="{00000000-0004-0000-0200-000078010000}"/>
    <hyperlink ref="S139" r:id="rId378" xr:uid="{00000000-0004-0000-0200-000079010000}"/>
    <hyperlink ref="B140" r:id="rId379" xr:uid="{00000000-0004-0000-0200-00007A010000}"/>
    <hyperlink ref="R140" r:id="rId380" xr:uid="{00000000-0004-0000-0200-00007B010000}"/>
    <hyperlink ref="S140" r:id="rId381" xr:uid="{00000000-0004-0000-0200-00007C010000}"/>
    <hyperlink ref="B141" r:id="rId382" xr:uid="{00000000-0004-0000-0200-00007D010000}"/>
    <hyperlink ref="R141" r:id="rId383" xr:uid="{00000000-0004-0000-0200-00007E010000}"/>
    <hyperlink ref="S141" r:id="rId384" xr:uid="{00000000-0004-0000-0200-00007F010000}"/>
    <hyperlink ref="B142" r:id="rId385" xr:uid="{00000000-0004-0000-0200-000080010000}"/>
    <hyperlink ref="R142" r:id="rId386" xr:uid="{00000000-0004-0000-0200-000081010000}"/>
    <hyperlink ref="S142" r:id="rId387" xr:uid="{00000000-0004-0000-0200-000082010000}"/>
    <hyperlink ref="B143" r:id="rId388" xr:uid="{00000000-0004-0000-0200-000083010000}"/>
    <hyperlink ref="R143" r:id="rId389" xr:uid="{00000000-0004-0000-0200-000084010000}"/>
    <hyperlink ref="S143" r:id="rId390" xr:uid="{00000000-0004-0000-0200-000085010000}"/>
    <hyperlink ref="B144" r:id="rId391" xr:uid="{00000000-0004-0000-0200-000086010000}"/>
    <hyperlink ref="R144" r:id="rId392" xr:uid="{00000000-0004-0000-0200-000087010000}"/>
    <hyperlink ref="S144" r:id="rId393" xr:uid="{00000000-0004-0000-0200-000088010000}"/>
    <hyperlink ref="B145" r:id="rId394" xr:uid="{00000000-0004-0000-0200-000089010000}"/>
    <hyperlink ref="R145" r:id="rId395" xr:uid="{00000000-0004-0000-0200-00008A010000}"/>
    <hyperlink ref="S145" r:id="rId396" xr:uid="{00000000-0004-0000-0200-00008B010000}"/>
    <hyperlink ref="B146" r:id="rId397" xr:uid="{00000000-0004-0000-0200-00008C010000}"/>
    <hyperlink ref="R146" r:id="rId398" xr:uid="{00000000-0004-0000-0200-00008D010000}"/>
    <hyperlink ref="S146" r:id="rId399" xr:uid="{00000000-0004-0000-0200-00008E010000}"/>
    <hyperlink ref="B147" r:id="rId400" xr:uid="{00000000-0004-0000-0200-00008F010000}"/>
    <hyperlink ref="R147" r:id="rId401" xr:uid="{00000000-0004-0000-0200-000090010000}"/>
    <hyperlink ref="S147" r:id="rId402" xr:uid="{00000000-0004-0000-0200-000091010000}"/>
    <hyperlink ref="B148" r:id="rId403" xr:uid="{00000000-0004-0000-0200-000092010000}"/>
    <hyperlink ref="R148" r:id="rId404" xr:uid="{00000000-0004-0000-0200-000093010000}"/>
    <hyperlink ref="S148" r:id="rId405" xr:uid="{00000000-0004-0000-0200-000094010000}"/>
    <hyperlink ref="B149" r:id="rId406" xr:uid="{00000000-0004-0000-0200-000095010000}"/>
    <hyperlink ref="R149" r:id="rId407" xr:uid="{00000000-0004-0000-0200-000096010000}"/>
    <hyperlink ref="S149" r:id="rId408" xr:uid="{00000000-0004-0000-0200-000097010000}"/>
    <hyperlink ref="B150" r:id="rId409" xr:uid="{00000000-0004-0000-0200-000098010000}"/>
    <hyperlink ref="R150" r:id="rId410" xr:uid="{00000000-0004-0000-0200-000099010000}"/>
    <hyperlink ref="S150" r:id="rId411" xr:uid="{00000000-0004-0000-0200-00009A010000}"/>
    <hyperlink ref="B151" r:id="rId412" xr:uid="{00000000-0004-0000-0200-00009B010000}"/>
    <hyperlink ref="R151" r:id="rId413" xr:uid="{00000000-0004-0000-0200-00009C010000}"/>
    <hyperlink ref="S151" r:id="rId414" xr:uid="{00000000-0004-0000-0200-00009D010000}"/>
    <hyperlink ref="B152" r:id="rId415" xr:uid="{00000000-0004-0000-0200-00009E010000}"/>
    <hyperlink ref="R152" r:id="rId416" xr:uid="{00000000-0004-0000-0200-00009F010000}"/>
    <hyperlink ref="S152" r:id="rId417" xr:uid="{00000000-0004-0000-0200-0000A0010000}"/>
    <hyperlink ref="B153" r:id="rId418" xr:uid="{00000000-0004-0000-0200-0000A1010000}"/>
    <hyperlink ref="R153" r:id="rId419" xr:uid="{00000000-0004-0000-0200-0000A2010000}"/>
    <hyperlink ref="S153" r:id="rId420" xr:uid="{00000000-0004-0000-0200-0000A3010000}"/>
    <hyperlink ref="B155" r:id="rId421" xr:uid="{00000000-0004-0000-0200-0000A4010000}"/>
    <hyperlink ref="R155" r:id="rId422" xr:uid="{00000000-0004-0000-0200-0000A5010000}"/>
    <hyperlink ref="S155" r:id="rId423" xr:uid="{00000000-0004-0000-0200-0000A6010000}"/>
    <hyperlink ref="B156" r:id="rId424" xr:uid="{00000000-0004-0000-0200-0000A7010000}"/>
    <hyperlink ref="R156" r:id="rId425" xr:uid="{00000000-0004-0000-0200-0000A8010000}"/>
    <hyperlink ref="S156" r:id="rId426" xr:uid="{00000000-0004-0000-0200-0000A9010000}"/>
    <hyperlink ref="B157" r:id="rId427" xr:uid="{00000000-0004-0000-0200-0000AA010000}"/>
    <hyperlink ref="R157" r:id="rId428" xr:uid="{00000000-0004-0000-0200-0000AB010000}"/>
    <hyperlink ref="S157" r:id="rId429" xr:uid="{00000000-0004-0000-0200-0000AC010000}"/>
    <hyperlink ref="B158" r:id="rId430" xr:uid="{00000000-0004-0000-0200-0000AD010000}"/>
    <hyperlink ref="R158" r:id="rId431" xr:uid="{00000000-0004-0000-0200-0000AE010000}"/>
    <hyperlink ref="S158" r:id="rId432" xr:uid="{00000000-0004-0000-0200-0000AF010000}"/>
    <hyperlink ref="B159" r:id="rId433" xr:uid="{00000000-0004-0000-0200-0000B0010000}"/>
    <hyperlink ref="R159" r:id="rId434" xr:uid="{00000000-0004-0000-0200-0000B1010000}"/>
    <hyperlink ref="S159" r:id="rId435" xr:uid="{00000000-0004-0000-0200-0000B2010000}"/>
    <hyperlink ref="B160" r:id="rId436" xr:uid="{00000000-0004-0000-0200-0000B3010000}"/>
    <hyperlink ref="R160" r:id="rId437" xr:uid="{00000000-0004-0000-0200-0000B4010000}"/>
    <hyperlink ref="S160" r:id="rId438" xr:uid="{00000000-0004-0000-0200-0000B5010000}"/>
    <hyperlink ref="B161" r:id="rId439" xr:uid="{00000000-0004-0000-0200-0000B6010000}"/>
    <hyperlink ref="R161" r:id="rId440" xr:uid="{00000000-0004-0000-0200-0000B7010000}"/>
    <hyperlink ref="S161" r:id="rId441" xr:uid="{00000000-0004-0000-0200-0000B8010000}"/>
    <hyperlink ref="B162" r:id="rId442" xr:uid="{00000000-0004-0000-0200-0000B9010000}"/>
    <hyperlink ref="R162" r:id="rId443" xr:uid="{00000000-0004-0000-0200-0000BA010000}"/>
    <hyperlink ref="S162" r:id="rId444" xr:uid="{00000000-0004-0000-0200-0000BB010000}"/>
    <hyperlink ref="B163" r:id="rId445" xr:uid="{00000000-0004-0000-0200-0000BC010000}"/>
    <hyperlink ref="R163" r:id="rId446" xr:uid="{00000000-0004-0000-0200-0000BD010000}"/>
    <hyperlink ref="S163" r:id="rId447" xr:uid="{00000000-0004-0000-0200-0000BE010000}"/>
    <hyperlink ref="B164" r:id="rId448" xr:uid="{00000000-0004-0000-0200-0000BF010000}"/>
    <hyperlink ref="R164" r:id="rId449" xr:uid="{00000000-0004-0000-0200-0000C0010000}"/>
    <hyperlink ref="S164" r:id="rId450" xr:uid="{00000000-0004-0000-0200-0000C1010000}"/>
    <hyperlink ref="B165" r:id="rId451" xr:uid="{00000000-0004-0000-0200-0000C2010000}"/>
    <hyperlink ref="R165" r:id="rId452" xr:uid="{00000000-0004-0000-0200-0000C3010000}"/>
    <hyperlink ref="S165" r:id="rId453" xr:uid="{00000000-0004-0000-0200-0000C4010000}"/>
    <hyperlink ref="B166" r:id="rId454" xr:uid="{00000000-0004-0000-0200-0000C5010000}"/>
    <hyperlink ref="R166" r:id="rId455" xr:uid="{00000000-0004-0000-0200-0000C6010000}"/>
    <hyperlink ref="S166" r:id="rId456" xr:uid="{00000000-0004-0000-0200-0000C7010000}"/>
    <hyperlink ref="B167" r:id="rId457" xr:uid="{00000000-0004-0000-0200-0000C8010000}"/>
    <hyperlink ref="R167" r:id="rId458" xr:uid="{00000000-0004-0000-0200-0000C9010000}"/>
    <hyperlink ref="S167" r:id="rId459" xr:uid="{00000000-0004-0000-0200-0000CA010000}"/>
    <hyperlink ref="B168" r:id="rId460" xr:uid="{00000000-0004-0000-0200-0000CB010000}"/>
    <hyperlink ref="R168" r:id="rId461" xr:uid="{00000000-0004-0000-0200-0000CC010000}"/>
    <hyperlink ref="S168" r:id="rId462" xr:uid="{00000000-0004-0000-0200-0000CD010000}"/>
    <hyperlink ref="B169" r:id="rId463" xr:uid="{00000000-0004-0000-0200-0000CE010000}"/>
    <hyperlink ref="R169" r:id="rId464" xr:uid="{00000000-0004-0000-0200-0000CF010000}"/>
    <hyperlink ref="S169" r:id="rId465" xr:uid="{00000000-0004-0000-0200-0000D0010000}"/>
    <hyperlink ref="B170" r:id="rId466" xr:uid="{00000000-0004-0000-0200-0000D1010000}"/>
    <hyperlink ref="R170" r:id="rId467" xr:uid="{00000000-0004-0000-0200-0000D2010000}"/>
    <hyperlink ref="S170" r:id="rId468" xr:uid="{00000000-0004-0000-0200-0000D3010000}"/>
    <hyperlink ref="B171" r:id="rId469" xr:uid="{00000000-0004-0000-0200-0000D4010000}"/>
    <hyperlink ref="R171" r:id="rId470" xr:uid="{00000000-0004-0000-0200-0000D5010000}"/>
    <hyperlink ref="S171" r:id="rId471" xr:uid="{00000000-0004-0000-0200-0000D6010000}"/>
    <hyperlink ref="B172" r:id="rId472" xr:uid="{00000000-0004-0000-0200-0000D7010000}"/>
    <hyperlink ref="R172" r:id="rId473" xr:uid="{00000000-0004-0000-0200-0000D8010000}"/>
    <hyperlink ref="S172" r:id="rId474" xr:uid="{00000000-0004-0000-0200-0000D9010000}"/>
    <hyperlink ref="B173" r:id="rId475" xr:uid="{00000000-0004-0000-0200-0000DA010000}"/>
    <hyperlink ref="R173" r:id="rId476" xr:uid="{00000000-0004-0000-0200-0000DB010000}"/>
    <hyperlink ref="S173" r:id="rId477" xr:uid="{00000000-0004-0000-0200-0000DC010000}"/>
    <hyperlink ref="B174" r:id="rId478" xr:uid="{00000000-0004-0000-0200-0000DD010000}"/>
    <hyperlink ref="R174" r:id="rId479" xr:uid="{00000000-0004-0000-0200-0000DE010000}"/>
    <hyperlink ref="S174" r:id="rId480" xr:uid="{00000000-0004-0000-0200-0000DF010000}"/>
    <hyperlink ref="B177" r:id="rId481" xr:uid="{00000000-0004-0000-0200-0000E0010000}"/>
    <hyperlink ref="N177" r:id="rId482" xr:uid="{00000000-0004-0000-0200-0000E1010000}"/>
    <hyperlink ref="O177" r:id="rId483" xr:uid="{00000000-0004-0000-0200-0000E2010000}"/>
    <hyperlink ref="B178" r:id="rId484" xr:uid="{00000000-0004-0000-0200-0000E3010000}"/>
    <hyperlink ref="N178" r:id="rId485" xr:uid="{00000000-0004-0000-0200-0000E4010000}"/>
    <hyperlink ref="O178" r:id="rId486" xr:uid="{00000000-0004-0000-0200-0000E5010000}"/>
    <hyperlink ref="B179" r:id="rId487" xr:uid="{00000000-0004-0000-0200-0000E6010000}"/>
    <hyperlink ref="N179" r:id="rId488" xr:uid="{00000000-0004-0000-0200-0000E7010000}"/>
    <hyperlink ref="O179" r:id="rId489" xr:uid="{00000000-0004-0000-0200-0000E8010000}"/>
    <hyperlink ref="B180" r:id="rId490" xr:uid="{00000000-0004-0000-0200-0000E9010000}"/>
    <hyperlink ref="N180" r:id="rId491" xr:uid="{00000000-0004-0000-0200-0000EA010000}"/>
    <hyperlink ref="O180" r:id="rId492" xr:uid="{00000000-0004-0000-0200-0000EB010000}"/>
    <hyperlink ref="B181" r:id="rId493" xr:uid="{00000000-0004-0000-0200-0000EC010000}"/>
    <hyperlink ref="N181" r:id="rId494" xr:uid="{00000000-0004-0000-0200-0000ED010000}"/>
    <hyperlink ref="O181" r:id="rId495" xr:uid="{00000000-0004-0000-0200-0000EE010000}"/>
    <hyperlink ref="B182" r:id="rId496" xr:uid="{00000000-0004-0000-0200-0000EF010000}"/>
    <hyperlink ref="N182" r:id="rId497" xr:uid="{00000000-0004-0000-0200-0000F0010000}"/>
    <hyperlink ref="O182" r:id="rId498" xr:uid="{00000000-0004-0000-0200-0000F1010000}"/>
    <hyperlink ref="B183" r:id="rId499" xr:uid="{00000000-0004-0000-0200-0000F2010000}"/>
    <hyperlink ref="N183" r:id="rId500" xr:uid="{00000000-0004-0000-0200-0000F3010000}"/>
    <hyperlink ref="O183" r:id="rId501" xr:uid="{00000000-0004-0000-0200-0000F4010000}"/>
    <hyperlink ref="B184" r:id="rId502" xr:uid="{00000000-0004-0000-0200-0000F5010000}"/>
    <hyperlink ref="N184" r:id="rId503" xr:uid="{00000000-0004-0000-0200-0000F6010000}"/>
    <hyperlink ref="O184" r:id="rId504" xr:uid="{00000000-0004-0000-0200-0000F7010000}"/>
    <hyperlink ref="B185" r:id="rId505" xr:uid="{00000000-0004-0000-0200-0000F8010000}"/>
    <hyperlink ref="N185" r:id="rId506" xr:uid="{00000000-0004-0000-0200-0000F9010000}"/>
    <hyperlink ref="O185" r:id="rId507" xr:uid="{00000000-0004-0000-0200-0000FA010000}"/>
    <hyperlink ref="B186" r:id="rId508" xr:uid="{00000000-0004-0000-0200-0000FB010000}"/>
    <hyperlink ref="N186" r:id="rId509" xr:uid="{00000000-0004-0000-0200-0000FC010000}"/>
    <hyperlink ref="O186" r:id="rId510" xr:uid="{00000000-0004-0000-0200-0000FD010000}"/>
    <hyperlink ref="B187" r:id="rId511" xr:uid="{00000000-0004-0000-0200-0000FE010000}"/>
    <hyperlink ref="N187" r:id="rId512" xr:uid="{00000000-0004-0000-0200-0000FF010000}"/>
    <hyperlink ref="O187" r:id="rId513" xr:uid="{00000000-0004-0000-0200-000000020000}"/>
    <hyperlink ref="B188" r:id="rId514" xr:uid="{00000000-0004-0000-0200-000001020000}"/>
    <hyperlink ref="N188" r:id="rId515" xr:uid="{00000000-0004-0000-0200-000002020000}"/>
    <hyperlink ref="O188" r:id="rId516" xr:uid="{00000000-0004-0000-0200-000003020000}"/>
    <hyperlink ref="B189" r:id="rId517" xr:uid="{00000000-0004-0000-0200-000004020000}"/>
    <hyperlink ref="N189" r:id="rId518" xr:uid="{00000000-0004-0000-0200-000005020000}"/>
    <hyperlink ref="O189" r:id="rId519" xr:uid="{00000000-0004-0000-0200-000006020000}"/>
    <hyperlink ref="B190" r:id="rId520" xr:uid="{00000000-0004-0000-0200-000007020000}"/>
    <hyperlink ref="N190" r:id="rId521" xr:uid="{00000000-0004-0000-0200-000008020000}"/>
    <hyperlink ref="O190" r:id="rId522" xr:uid="{00000000-0004-0000-0200-000009020000}"/>
    <hyperlink ref="B191" r:id="rId523" xr:uid="{00000000-0004-0000-0200-00000A020000}"/>
    <hyperlink ref="N191" r:id="rId524" xr:uid="{00000000-0004-0000-0200-00000B020000}"/>
    <hyperlink ref="O191" r:id="rId525" xr:uid="{00000000-0004-0000-0200-00000C020000}"/>
    <hyperlink ref="B192" r:id="rId526" xr:uid="{00000000-0004-0000-0200-00000D020000}"/>
    <hyperlink ref="N192" r:id="rId527" xr:uid="{00000000-0004-0000-0200-00000E020000}"/>
    <hyperlink ref="O192" r:id="rId528" xr:uid="{00000000-0004-0000-0200-00000F020000}"/>
    <hyperlink ref="B193" r:id="rId529" xr:uid="{00000000-0004-0000-0200-000010020000}"/>
    <hyperlink ref="N193" r:id="rId530" xr:uid="{00000000-0004-0000-0200-000011020000}"/>
    <hyperlink ref="O193" r:id="rId531" xr:uid="{00000000-0004-0000-0200-000012020000}"/>
    <hyperlink ref="B194" r:id="rId532" xr:uid="{00000000-0004-0000-0200-000013020000}"/>
    <hyperlink ref="N194" r:id="rId533" xr:uid="{00000000-0004-0000-0200-000014020000}"/>
    <hyperlink ref="O194" r:id="rId534" xr:uid="{00000000-0004-0000-0200-000015020000}"/>
    <hyperlink ref="B195" r:id="rId535" xr:uid="{00000000-0004-0000-0200-000016020000}"/>
    <hyperlink ref="N195" r:id="rId536" xr:uid="{00000000-0004-0000-0200-000017020000}"/>
    <hyperlink ref="O195" r:id="rId537" xr:uid="{00000000-0004-0000-0200-000018020000}"/>
    <hyperlink ref="B196" r:id="rId538" xr:uid="{00000000-0004-0000-0200-000019020000}"/>
    <hyperlink ref="N196" r:id="rId539" xr:uid="{00000000-0004-0000-0200-00001A020000}"/>
    <hyperlink ref="O196" r:id="rId540" xr:uid="{00000000-0004-0000-0200-00001B020000}"/>
    <hyperlink ref="B199" r:id="rId541" xr:uid="{00000000-0004-0000-0200-00001C020000}"/>
    <hyperlink ref="N199" r:id="rId542" xr:uid="{00000000-0004-0000-0200-00001D020000}"/>
    <hyperlink ref="O199" r:id="rId543" xr:uid="{00000000-0004-0000-0200-00001E020000}"/>
    <hyperlink ref="B200" r:id="rId544" xr:uid="{00000000-0004-0000-0200-00001F020000}"/>
    <hyperlink ref="N200" r:id="rId545" xr:uid="{00000000-0004-0000-0200-000020020000}"/>
    <hyperlink ref="O200" r:id="rId546" xr:uid="{00000000-0004-0000-0200-000021020000}"/>
    <hyperlink ref="B201" r:id="rId547" xr:uid="{00000000-0004-0000-0200-000022020000}"/>
    <hyperlink ref="N201" r:id="rId548" xr:uid="{00000000-0004-0000-0200-000023020000}"/>
    <hyperlink ref="O201" r:id="rId549" xr:uid="{00000000-0004-0000-0200-000024020000}"/>
    <hyperlink ref="B202" r:id="rId550" xr:uid="{00000000-0004-0000-0200-000025020000}"/>
    <hyperlink ref="N202" r:id="rId551" xr:uid="{00000000-0004-0000-0200-000026020000}"/>
    <hyperlink ref="O202" r:id="rId552" xr:uid="{00000000-0004-0000-0200-000027020000}"/>
    <hyperlink ref="B203" r:id="rId553" xr:uid="{00000000-0004-0000-0200-000028020000}"/>
    <hyperlink ref="N203" r:id="rId554" xr:uid="{00000000-0004-0000-0200-000029020000}"/>
    <hyperlink ref="O203" r:id="rId555" xr:uid="{00000000-0004-0000-0200-00002A020000}"/>
    <hyperlink ref="B204" r:id="rId556" xr:uid="{00000000-0004-0000-0200-00002B020000}"/>
    <hyperlink ref="N204" r:id="rId557" xr:uid="{00000000-0004-0000-0200-00002C020000}"/>
    <hyperlink ref="O204" r:id="rId558" xr:uid="{00000000-0004-0000-0200-00002D020000}"/>
    <hyperlink ref="B205" r:id="rId559" xr:uid="{00000000-0004-0000-0200-00002E020000}"/>
    <hyperlink ref="N205" r:id="rId560" xr:uid="{00000000-0004-0000-0200-00002F020000}"/>
    <hyperlink ref="O205" r:id="rId561" xr:uid="{00000000-0004-0000-0200-000030020000}"/>
    <hyperlink ref="B206" r:id="rId562" xr:uid="{00000000-0004-0000-0200-000031020000}"/>
    <hyperlink ref="N206" r:id="rId563" xr:uid="{00000000-0004-0000-0200-000032020000}"/>
    <hyperlink ref="O206" r:id="rId564" xr:uid="{00000000-0004-0000-0200-000033020000}"/>
    <hyperlink ref="B207" r:id="rId565" xr:uid="{00000000-0004-0000-0200-000034020000}"/>
    <hyperlink ref="N207" r:id="rId566" xr:uid="{00000000-0004-0000-0200-000035020000}"/>
    <hyperlink ref="O207" r:id="rId567" xr:uid="{00000000-0004-0000-0200-000036020000}"/>
    <hyperlink ref="B208" r:id="rId568" xr:uid="{00000000-0004-0000-0200-000037020000}"/>
    <hyperlink ref="N208" r:id="rId569" xr:uid="{00000000-0004-0000-0200-000038020000}"/>
    <hyperlink ref="O208" r:id="rId570" xr:uid="{00000000-0004-0000-0200-000039020000}"/>
    <hyperlink ref="B209" r:id="rId571" xr:uid="{00000000-0004-0000-0200-00003A020000}"/>
    <hyperlink ref="N209" r:id="rId572" xr:uid="{00000000-0004-0000-0200-00003B020000}"/>
    <hyperlink ref="O209" r:id="rId573" xr:uid="{00000000-0004-0000-0200-00003C020000}"/>
    <hyperlink ref="B210" r:id="rId574" xr:uid="{00000000-0004-0000-0200-00003D020000}"/>
    <hyperlink ref="N210" r:id="rId575" xr:uid="{00000000-0004-0000-0200-00003E020000}"/>
    <hyperlink ref="O210" r:id="rId576" xr:uid="{00000000-0004-0000-0200-00003F020000}"/>
    <hyperlink ref="B211" r:id="rId577" xr:uid="{00000000-0004-0000-0200-000040020000}"/>
    <hyperlink ref="N211" r:id="rId578" xr:uid="{00000000-0004-0000-0200-000041020000}"/>
    <hyperlink ref="O211" r:id="rId579" xr:uid="{00000000-0004-0000-0200-000042020000}"/>
    <hyperlink ref="B212" r:id="rId580" xr:uid="{00000000-0004-0000-0200-000043020000}"/>
    <hyperlink ref="N212" r:id="rId581" xr:uid="{00000000-0004-0000-0200-000044020000}"/>
    <hyperlink ref="O212" r:id="rId582" xr:uid="{00000000-0004-0000-0200-000045020000}"/>
    <hyperlink ref="B213" r:id="rId583" xr:uid="{00000000-0004-0000-0200-000046020000}"/>
    <hyperlink ref="N213" r:id="rId584" xr:uid="{00000000-0004-0000-0200-000047020000}"/>
    <hyperlink ref="O213" r:id="rId585" xr:uid="{00000000-0004-0000-0200-000048020000}"/>
    <hyperlink ref="B214" r:id="rId586" xr:uid="{00000000-0004-0000-0200-000049020000}"/>
    <hyperlink ref="N214" r:id="rId587" xr:uid="{00000000-0004-0000-0200-00004A020000}"/>
    <hyperlink ref="O214" r:id="rId588" xr:uid="{00000000-0004-0000-0200-00004B020000}"/>
    <hyperlink ref="B215" r:id="rId589" xr:uid="{00000000-0004-0000-0200-00004C020000}"/>
    <hyperlink ref="N215" r:id="rId590" xr:uid="{00000000-0004-0000-0200-00004D020000}"/>
    <hyperlink ref="O215" r:id="rId591" xr:uid="{00000000-0004-0000-0200-00004E020000}"/>
    <hyperlink ref="B216" r:id="rId592" xr:uid="{00000000-0004-0000-0200-00004F020000}"/>
    <hyperlink ref="N216" r:id="rId593" xr:uid="{00000000-0004-0000-0200-000050020000}"/>
    <hyperlink ref="O216" r:id="rId594" xr:uid="{00000000-0004-0000-0200-000051020000}"/>
    <hyperlink ref="B217" r:id="rId595" xr:uid="{00000000-0004-0000-0200-000052020000}"/>
    <hyperlink ref="N217" r:id="rId596" xr:uid="{00000000-0004-0000-0200-000053020000}"/>
    <hyperlink ref="O217" r:id="rId597" xr:uid="{00000000-0004-0000-0200-000054020000}"/>
    <hyperlink ref="B218" r:id="rId598" xr:uid="{00000000-0004-0000-0200-000055020000}"/>
    <hyperlink ref="N218" r:id="rId599" xr:uid="{00000000-0004-0000-0200-000056020000}"/>
    <hyperlink ref="O218" r:id="rId600" xr:uid="{00000000-0004-0000-0200-000057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AFL</vt:lpstr>
      <vt:lpstr>Ligue 1</vt:lpstr>
      <vt:lpstr>Prem League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Wetherall</cp:lastModifiedBy>
  <dcterms:modified xsi:type="dcterms:W3CDTF">2026-02-11T03:59:41Z</dcterms:modified>
</cp:coreProperties>
</file>